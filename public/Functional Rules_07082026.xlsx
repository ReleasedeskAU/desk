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141426210af9d495/Desktop/Release Desk/Documents/"/>
    </mc:Choice>
  </mc:AlternateContent>
  <xr:revisionPtr revIDLastSave="0" documentId="8_{BCECAF77-B62C-41E1-830C-C4F814CDE20D}" xr6:coauthVersionLast="47" xr6:coauthVersionMax="47" xr10:uidLastSave="{00000000-0000-0000-0000-000000000000}"/>
  <bookViews>
    <workbookView xWindow="-28920" yWindow="-120" windowWidth="29040" windowHeight="15720" firstSheet="5" activeTab="7" xr2:uid="{094F694F-9C07-4BB8-87A5-A4E5BFA58B76}"/>
  </bookViews>
  <sheets>
    <sheet name="Release Desk Theme" sheetId="32" r:id="rId1"/>
    <sheet name="Notes for Development" sheetId="71" r:id="rId2"/>
    <sheet name="Signal Classification" sheetId="38" r:id="rId3"/>
    <sheet name="Change Log" sheetId="35" r:id="rId4"/>
    <sheet name="RD Functional improvements" sheetId="25" r:id="rId5"/>
    <sheet name="Missing Edge Cases" sheetId="2" r:id="rId6"/>
    <sheet name="Rule Gap Register" sheetId="29" state="hidden" r:id="rId7"/>
    <sheet name="Rules Specification" sheetId="4" r:id="rId8"/>
    <sheet name="Entity Classification" sheetId="37" r:id="rId9"/>
    <sheet name="Reference Data" sheetId="40" r:id="rId10"/>
    <sheet name="Status Lifecycles" sheetId="7" r:id="rId11"/>
    <sheet name="Release Fields" sheetId="10" r:id="rId12"/>
    <sheet name="LC_Releases" sheetId="61" r:id="rId13"/>
    <sheet name="LC_Blockers" sheetId="69" r:id="rId14"/>
    <sheet name="LC_Incidents" sheetId="68" r:id="rId15"/>
    <sheet name="LC_Approvals" sheetId="62" r:id="rId16"/>
    <sheet name="LC_Sign-Offs" sheetId="70" r:id="rId17"/>
    <sheet name="LC_Risk" sheetId="63" r:id="rId18"/>
    <sheet name="LC_Dependency" sheetId="65" r:id="rId19"/>
    <sheet name="LC_Conflict" sheetId="66" r:id="rId20"/>
    <sheet name="LC_Alerts" sheetId="67" r:id="rId21"/>
    <sheet name="LC_Drift" sheetId="64" r:id="rId22"/>
    <sheet name="System Mapping" sheetId="55" r:id="rId23"/>
    <sheet name="Applications" sheetId="42" r:id="rId24"/>
    <sheet name="Users" sheetId="43" r:id="rId25"/>
    <sheet name="Super Admins" sheetId="46" r:id="rId26"/>
    <sheet name="Admin (Release Managers)" sheetId="45" r:id="rId27"/>
    <sheet name="Risk Factors" sheetId="41" r:id="rId28"/>
    <sheet name="Releases" sheetId="47" r:id="rId29"/>
    <sheet name="Blockers" sheetId="72" r:id="rId30"/>
    <sheet name="Override Log" sheetId="74" r:id="rId31"/>
    <sheet name="Approvals" sheetId="53" r:id="rId32"/>
    <sheet name="Sign-Offs" sheetId="60" r:id="rId33"/>
    <sheet name="Risk" sheetId="50" r:id="rId34"/>
    <sheet name="Dependencies" sheetId="52" r:id="rId35"/>
    <sheet name="Environment Conflicts" sheetId="49" r:id="rId36"/>
    <sheet name="Drift" sheetId="51" r:id="rId37"/>
    <sheet name="Incidents" sheetId="58" r:id="rId38"/>
    <sheet name="Monitoring Alerts" sheetId="57" r:id="rId39"/>
    <sheet name="Calendar" sheetId="48" r:id="rId40"/>
    <sheet name="Maintenance Windows" sheetId="73" r:id="rId41"/>
    <sheet name="Env booking" sheetId="44" r:id="rId42"/>
    <sheet name="Leave Calendar" sheetId="54" r:id="rId43"/>
    <sheet name="Application Status" sheetId="59" r:id="rId44"/>
    <sheet name="Versions" sheetId="56" r:id="rId45"/>
    <sheet name="Release Test Suite" sheetId="12" r:id="rId46"/>
    <sheet name="CAB Approvals Test Suite" sheetId="14" r:id="rId47"/>
    <sheet name="Sign-Off Test Suite" sheetId="17" r:id="rId48"/>
    <sheet name="Risk Test Suite" sheetId="13" r:id="rId49"/>
    <sheet name="Dependencies Test Suite" sheetId="21" r:id="rId50"/>
    <sheet name="Conflicts Test Suite" sheetId="19" r:id="rId51"/>
    <sheet name="Drift Test Suite" sheetId="20" r:id="rId52"/>
    <sheet name="Incident Test Suite" sheetId="15" r:id="rId53"/>
    <sheet name="Alerts Test Suite" sheetId="16" r:id="rId54"/>
    <sheet name="Blockers Test Suite" sheetId="18" r:id="rId55"/>
    <sheet name="Leave Records Test Suite" sheetId="22" r:id="rId56"/>
    <sheet name="Maintenance Windows Test Suite" sheetId="23" r:id="rId57"/>
    <sheet name="Environment Booking Test Suite" sheetId="24" r:id="rId58"/>
    <sheet name="Ownership &amp; Linking Test Suite" sheetId="26" r:id="rId59"/>
    <sheet name="Override &amp; Config Tests" sheetId="30" r:id="rId60"/>
  </sheets>
  <externalReferences>
    <externalReference r:id="rId61"/>
  </externalReferences>
  <definedNames>
    <definedName name="_xlnm._FilterDatabase" localSheetId="41" hidden="1">'Env booking'!$A$4:$V$4</definedName>
    <definedName name="_xlnm._FilterDatabase" localSheetId="28" hidden="1">Releases!$A$6:$AE$86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 i="44" l="1"/>
  <c r="B267" i="44"/>
  <c r="B266" i="44"/>
  <c r="B265" i="44"/>
  <c r="B264" i="44"/>
  <c r="B263" i="44"/>
  <c r="B262" i="44"/>
  <c r="B261" i="44"/>
  <c r="J245" i="44"/>
  <c r="I245" i="44"/>
  <c r="J246" i="44"/>
  <c r="J5" i="44"/>
  <c r="J6" i="44"/>
  <c r="J7" i="44"/>
  <c r="J8" i="44"/>
  <c r="J9" i="44"/>
  <c r="J10" i="44"/>
  <c r="J11" i="44"/>
  <c r="J12" i="44"/>
  <c r="J13" i="44"/>
  <c r="J14" i="44"/>
  <c r="J15" i="44"/>
  <c r="J16" i="44"/>
  <c r="J17" i="44"/>
  <c r="J18" i="44"/>
  <c r="J19" i="44"/>
  <c r="J20" i="44"/>
  <c r="J21" i="44"/>
  <c r="J22" i="44"/>
  <c r="J23" i="44"/>
  <c r="J24" i="44"/>
  <c r="J25" i="44"/>
  <c r="J26" i="44"/>
  <c r="J27" i="44"/>
  <c r="J28" i="44"/>
  <c r="J29" i="44"/>
  <c r="J30" i="44"/>
  <c r="J31" i="44"/>
  <c r="J32" i="44"/>
  <c r="J33" i="44"/>
  <c r="J34" i="44"/>
  <c r="J35" i="44"/>
  <c r="J36" i="44"/>
  <c r="J37" i="44"/>
  <c r="J38" i="44"/>
  <c r="J39" i="44"/>
  <c r="J40" i="44"/>
  <c r="J41" i="44"/>
  <c r="J42" i="44"/>
  <c r="J43" i="44"/>
  <c r="J44" i="44"/>
  <c r="J45" i="44"/>
  <c r="J46" i="44"/>
  <c r="J47" i="44"/>
  <c r="J48" i="44"/>
  <c r="J49" i="44"/>
  <c r="J50" i="44"/>
  <c r="J51" i="44"/>
  <c r="J52" i="44"/>
  <c r="J53" i="44"/>
  <c r="J54" i="44"/>
  <c r="J55" i="44"/>
  <c r="J56" i="44"/>
  <c r="J57" i="44"/>
  <c r="J58" i="44"/>
  <c r="J59" i="44"/>
  <c r="J60" i="44"/>
  <c r="J61" i="44"/>
  <c r="J62" i="44"/>
  <c r="J63" i="44"/>
  <c r="J64" i="44"/>
  <c r="J65" i="44"/>
  <c r="J66" i="44"/>
  <c r="J67" i="44"/>
  <c r="J68" i="44"/>
  <c r="J69" i="44"/>
  <c r="J70" i="44"/>
  <c r="J71" i="44"/>
  <c r="J72" i="44"/>
  <c r="J73" i="44"/>
  <c r="J74" i="44"/>
  <c r="J75" i="44"/>
  <c r="J76" i="44"/>
  <c r="J77" i="44"/>
  <c r="J78" i="44"/>
  <c r="J79" i="44"/>
  <c r="J80" i="44"/>
  <c r="J81" i="44"/>
  <c r="J82" i="44"/>
  <c r="J83" i="44"/>
  <c r="J84" i="44"/>
  <c r="J85" i="44"/>
  <c r="J86" i="44"/>
  <c r="J87" i="44"/>
  <c r="J88" i="44"/>
  <c r="J89" i="44"/>
  <c r="J90" i="44"/>
  <c r="J91" i="44"/>
  <c r="J92" i="44"/>
  <c r="J93" i="44"/>
  <c r="J94" i="44"/>
  <c r="J95" i="44"/>
  <c r="J96" i="44"/>
  <c r="J97" i="44"/>
  <c r="J98" i="44"/>
  <c r="J99" i="44"/>
  <c r="J100" i="44"/>
  <c r="J101" i="44"/>
  <c r="J102" i="44"/>
  <c r="J103" i="44"/>
  <c r="J104" i="44"/>
  <c r="J105" i="44"/>
  <c r="J106" i="44"/>
  <c r="J107" i="44"/>
  <c r="J108" i="44"/>
  <c r="J109" i="44"/>
  <c r="J110" i="44"/>
  <c r="J111" i="44"/>
  <c r="J112" i="44"/>
  <c r="J113" i="44"/>
  <c r="J114" i="44"/>
  <c r="J115" i="44"/>
  <c r="J116" i="44"/>
  <c r="J117" i="44"/>
  <c r="J118" i="44"/>
  <c r="J119" i="44"/>
  <c r="J120" i="44"/>
  <c r="J121" i="44"/>
  <c r="J122" i="44"/>
  <c r="J123" i="44"/>
  <c r="J124" i="44"/>
  <c r="J125" i="44"/>
  <c r="J126" i="44"/>
  <c r="J127" i="44"/>
  <c r="J128" i="44"/>
  <c r="J129" i="44"/>
  <c r="J130" i="44"/>
  <c r="J131" i="44"/>
  <c r="J132" i="44"/>
  <c r="J133" i="44"/>
  <c r="J134" i="44"/>
  <c r="J135" i="44"/>
  <c r="J136" i="44"/>
  <c r="J137" i="44"/>
  <c r="J138" i="44"/>
  <c r="J139" i="44"/>
  <c r="J140" i="44"/>
  <c r="J141" i="44"/>
  <c r="J142" i="44"/>
  <c r="J143" i="44"/>
  <c r="J144" i="44"/>
  <c r="J145" i="44"/>
  <c r="J146" i="44"/>
  <c r="J147" i="44"/>
  <c r="J148" i="44"/>
  <c r="J149" i="44"/>
  <c r="J150" i="44"/>
  <c r="J151" i="44"/>
  <c r="J152" i="44"/>
  <c r="J153" i="44"/>
  <c r="J154" i="44"/>
  <c r="J155" i="44"/>
  <c r="J156" i="44"/>
  <c r="J157" i="44"/>
  <c r="J158" i="44"/>
  <c r="J159" i="44"/>
  <c r="J160" i="44"/>
  <c r="J161" i="44"/>
  <c r="J162" i="44"/>
  <c r="J163" i="44"/>
  <c r="J164" i="44"/>
  <c r="J165" i="44"/>
  <c r="J166" i="44"/>
  <c r="J167" i="44"/>
  <c r="J168" i="44"/>
  <c r="J169" i="44"/>
  <c r="J170" i="44"/>
  <c r="J171" i="44"/>
  <c r="J172" i="44"/>
  <c r="J173" i="44"/>
  <c r="J174" i="44"/>
  <c r="J175" i="44"/>
  <c r="J176" i="44"/>
  <c r="J177" i="44"/>
  <c r="J178" i="44"/>
  <c r="J179" i="44"/>
  <c r="J180" i="44"/>
  <c r="J181" i="44"/>
  <c r="J182" i="44"/>
  <c r="J183" i="44"/>
  <c r="J184" i="44"/>
  <c r="J185" i="44"/>
  <c r="J186" i="44"/>
  <c r="J187" i="44"/>
  <c r="J188" i="44"/>
  <c r="J189" i="44"/>
  <c r="J190" i="44"/>
  <c r="J191" i="44"/>
  <c r="J192" i="44"/>
  <c r="J193" i="44"/>
  <c r="J194" i="44"/>
  <c r="J195" i="44"/>
  <c r="J196" i="44"/>
  <c r="J197" i="44"/>
  <c r="J198" i="44"/>
  <c r="J199" i="44"/>
  <c r="J200" i="44"/>
  <c r="J201" i="44"/>
  <c r="J202" i="44"/>
  <c r="J203" i="44"/>
  <c r="J204" i="44"/>
  <c r="J205" i="44"/>
  <c r="J206" i="44"/>
  <c r="J207" i="44"/>
  <c r="J208" i="44"/>
  <c r="J209" i="44"/>
  <c r="J210" i="44"/>
  <c r="J211" i="44"/>
  <c r="J212" i="44"/>
  <c r="J213" i="44"/>
  <c r="J214" i="44"/>
  <c r="J215" i="44"/>
  <c r="J216" i="44"/>
  <c r="J217" i="44"/>
  <c r="J218" i="44"/>
  <c r="J219" i="44"/>
  <c r="J220" i="44"/>
  <c r="J221" i="44"/>
  <c r="J222" i="44"/>
  <c r="J223" i="44"/>
  <c r="J224" i="44"/>
  <c r="J225" i="44"/>
  <c r="J226" i="44"/>
  <c r="J227" i="44"/>
  <c r="J228" i="44"/>
  <c r="J229" i="44"/>
  <c r="J230" i="44"/>
  <c r="J231" i="44"/>
  <c r="J232" i="44"/>
  <c r="J233" i="44"/>
  <c r="J234" i="44"/>
  <c r="J235" i="44"/>
  <c r="J236" i="44"/>
  <c r="J237" i="44"/>
  <c r="J238" i="44"/>
  <c r="J239" i="44"/>
  <c r="J240" i="44"/>
  <c r="J241" i="44"/>
  <c r="J242" i="44"/>
  <c r="J243" i="44"/>
  <c r="J244" i="44"/>
  <c r="O86" i="47"/>
  <c r="O85" i="47"/>
  <c r="O84" i="47"/>
  <c r="O83" i="47"/>
  <c r="O82" i="47"/>
  <c r="O81" i="47"/>
  <c r="O80" i="47"/>
  <c r="O79" i="47"/>
  <c r="O78" i="47"/>
  <c r="O77" i="47"/>
  <c r="O76" i="47"/>
  <c r="O75" i="47"/>
  <c r="O74" i="47"/>
  <c r="O73" i="47"/>
  <c r="O72" i="47"/>
  <c r="O71" i="47"/>
  <c r="O70" i="47"/>
  <c r="O69" i="47"/>
  <c r="O68" i="47"/>
  <c r="O67" i="47"/>
  <c r="O66" i="47"/>
  <c r="O65" i="47"/>
  <c r="O64" i="47"/>
  <c r="O63" i="47"/>
  <c r="O62" i="47"/>
  <c r="O61" i="47"/>
  <c r="O60" i="47"/>
  <c r="O59" i="47"/>
  <c r="O58" i="47"/>
  <c r="O57" i="47"/>
  <c r="O56" i="47"/>
  <c r="O55" i="47"/>
  <c r="O54" i="47"/>
  <c r="O53" i="47"/>
  <c r="O52" i="47"/>
  <c r="O51" i="47"/>
  <c r="O50" i="47"/>
  <c r="O49" i="47"/>
  <c r="O48" i="47"/>
  <c r="O47" i="47"/>
  <c r="O46" i="47"/>
  <c r="O45" i="47"/>
  <c r="O44" i="47"/>
  <c r="O43" i="47"/>
  <c r="O42" i="47"/>
  <c r="O41" i="47"/>
  <c r="O40" i="47"/>
  <c r="O39" i="47"/>
  <c r="O38" i="47"/>
  <c r="O37" i="47"/>
  <c r="O36" i="47"/>
  <c r="O35" i="47"/>
  <c r="O34" i="47"/>
  <c r="O33" i="47"/>
  <c r="O32" i="47"/>
  <c r="O31" i="47"/>
  <c r="O30" i="47"/>
  <c r="O29" i="47"/>
  <c r="O28" i="47"/>
  <c r="O27" i="47"/>
  <c r="O26" i="47"/>
  <c r="O25" i="47"/>
  <c r="O24" i="47"/>
  <c r="O23" i="47"/>
  <c r="O22" i="47"/>
  <c r="O21" i="47"/>
  <c r="O20" i="47"/>
  <c r="O19" i="47"/>
  <c r="O18" i="47"/>
  <c r="O17" i="47"/>
  <c r="O16" i="47"/>
  <c r="O15" i="47"/>
  <c r="O14" i="47"/>
  <c r="O13" i="47"/>
  <c r="O12" i="47"/>
  <c r="O11" i="47"/>
  <c r="O10" i="47"/>
  <c r="O9" i="47"/>
  <c r="O8" i="47"/>
  <c r="O7" i="47"/>
  <c r="B2" i="54" a="1"/>
  <c r="E77" i="53"/>
  <c r="D77" i="53"/>
  <c r="E76" i="53"/>
  <c r="D76" i="53"/>
  <c r="E75" i="53"/>
  <c r="D75" i="53"/>
  <c r="E74" i="53"/>
  <c r="D74" i="53"/>
  <c r="E73" i="53"/>
  <c r="D73" i="53"/>
  <c r="E72" i="53"/>
  <c r="D72" i="53"/>
  <c r="E71" i="53"/>
  <c r="D71" i="53"/>
  <c r="E70" i="53"/>
  <c r="D70" i="53"/>
  <c r="E69" i="53"/>
  <c r="D69" i="53"/>
  <c r="E68" i="53"/>
  <c r="D68" i="53"/>
  <c r="E67" i="53"/>
  <c r="D67" i="53"/>
  <c r="E66" i="53"/>
  <c r="D66" i="53"/>
  <c r="E65" i="53"/>
  <c r="D65" i="53"/>
  <c r="E64" i="53"/>
  <c r="D64" i="53"/>
  <c r="E63" i="53"/>
  <c r="D63" i="53"/>
  <c r="E62" i="53"/>
  <c r="D62" i="53"/>
  <c r="E61" i="53"/>
  <c r="D61" i="53"/>
  <c r="E60" i="53"/>
  <c r="D60" i="53"/>
  <c r="E59" i="53"/>
  <c r="D59" i="53"/>
  <c r="E58" i="53"/>
  <c r="D58" i="53"/>
  <c r="E57" i="53"/>
  <c r="D57" i="53"/>
  <c r="E56" i="53"/>
  <c r="D56" i="53"/>
  <c r="E55" i="53"/>
  <c r="D55" i="53"/>
  <c r="E54" i="53"/>
  <c r="D54" i="53"/>
  <c r="E53" i="53"/>
  <c r="D53" i="53"/>
  <c r="E52" i="53"/>
  <c r="D52" i="53"/>
  <c r="E51" i="53"/>
  <c r="D51" i="53"/>
  <c r="E50" i="53"/>
  <c r="D50" i="53"/>
  <c r="E49" i="53"/>
  <c r="D49" i="53"/>
  <c r="E48" i="53"/>
  <c r="D48" i="53"/>
  <c r="E47" i="53"/>
  <c r="D47" i="53"/>
  <c r="E46" i="53"/>
  <c r="D46" i="53"/>
  <c r="E45" i="53"/>
  <c r="D45" i="53"/>
  <c r="E44" i="53"/>
  <c r="D44" i="53"/>
  <c r="E43" i="53"/>
  <c r="D43" i="53"/>
  <c r="E42" i="53"/>
  <c r="D42" i="53"/>
  <c r="E41" i="53"/>
  <c r="D41" i="53"/>
  <c r="E40" i="53"/>
  <c r="D40" i="53"/>
  <c r="E39" i="53"/>
  <c r="D39" i="53"/>
  <c r="E38" i="53"/>
  <c r="D38" i="53"/>
  <c r="E37" i="53"/>
  <c r="D37" i="53"/>
  <c r="E36" i="53"/>
  <c r="D36" i="53"/>
  <c r="E35" i="53"/>
  <c r="D35" i="53"/>
  <c r="E33" i="53"/>
  <c r="D33" i="53"/>
  <c r="E32" i="53"/>
  <c r="D32" i="53"/>
  <c r="I2" i="52" a="1"/>
  <c r="E64" i="51"/>
  <c r="E63" i="51"/>
  <c r="E62" i="51"/>
  <c r="E61" i="51"/>
  <c r="E60" i="51"/>
  <c r="E59" i="51"/>
  <c r="E58" i="51"/>
  <c r="E57" i="51"/>
  <c r="E56" i="51"/>
  <c r="E55" i="51"/>
  <c r="E54" i="51"/>
  <c r="E53" i="51"/>
  <c r="E52" i="51"/>
  <c r="E51" i="51"/>
  <c r="E50" i="51"/>
  <c r="E49" i="51"/>
  <c r="E48" i="51"/>
  <c r="E47" i="51"/>
  <c r="E46" i="51"/>
  <c r="E45" i="51"/>
  <c r="E44" i="51"/>
  <c r="E43" i="51"/>
  <c r="E42" i="51"/>
  <c r="E41" i="51"/>
  <c r="E40" i="51"/>
  <c r="E39" i="51"/>
  <c r="E38" i="51"/>
  <c r="E37" i="51"/>
  <c r="E36" i="51"/>
  <c r="E35" i="51"/>
  <c r="E34" i="51"/>
  <c r="E33" i="51"/>
  <c r="E32" i="51"/>
  <c r="E31" i="51"/>
  <c r="E30" i="51"/>
  <c r="E29" i="51"/>
  <c r="E28" i="51"/>
  <c r="E27" i="51"/>
  <c r="E26" i="51"/>
  <c r="E24" i="51"/>
  <c r="E23" i="51"/>
  <c r="E22" i="51"/>
  <c r="E11" i="51"/>
  <c r="E10" i="51"/>
  <c r="E9" i="51"/>
  <c r="E8" i="51"/>
  <c r="E7" i="51"/>
  <c r="E6" i="51"/>
  <c r="E5" i="51"/>
  <c r="N3" i="51" a="1"/>
  <c r="E111" i="50"/>
  <c r="D111" i="50"/>
  <c r="E110" i="50"/>
  <c r="D110" i="50"/>
  <c r="E109" i="50"/>
  <c r="D109" i="50"/>
  <c r="E108" i="50"/>
  <c r="D108" i="50"/>
  <c r="E107" i="50"/>
  <c r="D107" i="50"/>
  <c r="E106" i="50"/>
  <c r="D106" i="50"/>
  <c r="E105" i="50"/>
  <c r="D105" i="50"/>
  <c r="E104" i="50"/>
  <c r="D104" i="50"/>
  <c r="E103" i="50"/>
  <c r="D103" i="50"/>
  <c r="E102" i="50"/>
  <c r="D102" i="50"/>
  <c r="E101" i="50"/>
  <c r="D101" i="50"/>
  <c r="E100" i="50"/>
  <c r="D100" i="50"/>
  <c r="E99" i="50"/>
  <c r="D99" i="50"/>
  <c r="E98" i="50"/>
  <c r="D98" i="50"/>
  <c r="E97" i="50"/>
  <c r="D97" i="50"/>
  <c r="E96" i="50"/>
  <c r="D96" i="50"/>
  <c r="E95" i="50"/>
  <c r="D95" i="50"/>
  <c r="E94" i="50"/>
  <c r="D94" i="50"/>
  <c r="E93" i="50"/>
  <c r="D93" i="50"/>
  <c r="E92" i="50"/>
  <c r="D92" i="50"/>
  <c r="E91" i="50"/>
  <c r="D91" i="50"/>
  <c r="E90" i="50"/>
  <c r="D90" i="50"/>
  <c r="E89" i="50"/>
  <c r="D89" i="50"/>
  <c r="E88" i="50"/>
  <c r="D88" i="50"/>
  <c r="E87" i="50"/>
  <c r="D87" i="50"/>
  <c r="E86" i="50"/>
  <c r="D86" i="50"/>
  <c r="E85" i="50"/>
  <c r="D85" i="50"/>
  <c r="E84" i="50"/>
  <c r="D84" i="50"/>
  <c r="E83" i="50"/>
  <c r="D83" i="50"/>
  <c r="E82" i="50"/>
  <c r="D82" i="50"/>
  <c r="E81" i="50"/>
  <c r="D81" i="50"/>
  <c r="E80" i="50"/>
  <c r="D80" i="50"/>
  <c r="E79" i="50"/>
  <c r="D79" i="50"/>
  <c r="E78" i="50"/>
  <c r="D78" i="50"/>
  <c r="E77" i="50"/>
  <c r="D77" i="50"/>
  <c r="E76" i="50"/>
  <c r="D76" i="50"/>
  <c r="E75" i="50"/>
  <c r="D75" i="50"/>
  <c r="E74" i="50"/>
  <c r="D74" i="50"/>
  <c r="E73" i="50"/>
  <c r="D73" i="50"/>
  <c r="E72" i="50"/>
  <c r="D72" i="50"/>
  <c r="E71" i="50"/>
  <c r="D71" i="50"/>
  <c r="E70" i="50"/>
  <c r="D70" i="50"/>
  <c r="E69" i="50"/>
  <c r="D69" i="50"/>
  <c r="E67" i="50"/>
  <c r="D67" i="50"/>
  <c r="E66" i="50"/>
  <c r="D66" i="50"/>
  <c r="E65" i="50"/>
  <c r="D65" i="50"/>
  <c r="E64" i="50"/>
  <c r="D64" i="50"/>
  <c r="E63" i="50"/>
  <c r="D63" i="50"/>
  <c r="E62" i="50"/>
  <c r="D62" i="50"/>
  <c r="E61" i="50"/>
  <c r="D61" i="50"/>
  <c r="E60" i="50"/>
  <c r="D60" i="50"/>
  <c r="E59" i="50"/>
  <c r="D59" i="50"/>
  <c r="E58" i="50"/>
  <c r="D58" i="50"/>
  <c r="E57" i="50"/>
  <c r="D57" i="50"/>
  <c r="E56" i="50"/>
  <c r="D56" i="50"/>
  <c r="E55" i="50"/>
  <c r="D55" i="50"/>
  <c r="E54" i="50"/>
  <c r="D54" i="50"/>
  <c r="E52" i="50"/>
  <c r="D52" i="50"/>
  <c r="U35" i="50"/>
  <c r="L35" i="50"/>
  <c r="G35" i="50"/>
  <c r="E35" i="50"/>
  <c r="D35" i="50"/>
  <c r="U34" i="50"/>
  <c r="L34" i="50"/>
  <c r="G34" i="50"/>
  <c r="E34" i="50"/>
  <c r="D34" i="50"/>
  <c r="U33" i="50"/>
  <c r="L33" i="50"/>
  <c r="G33" i="50"/>
  <c r="E33" i="50"/>
  <c r="D33" i="50"/>
  <c r="L32" i="50"/>
  <c r="G32" i="50"/>
  <c r="E32" i="50"/>
  <c r="D32" i="50"/>
  <c r="L31" i="50"/>
  <c r="G31" i="50"/>
  <c r="E31" i="50"/>
  <c r="D31" i="50"/>
  <c r="L30" i="50"/>
  <c r="G30" i="50"/>
  <c r="E30" i="50"/>
  <c r="D30" i="50"/>
  <c r="L29" i="50"/>
  <c r="G29" i="50"/>
  <c r="E29" i="50"/>
  <c r="D29" i="50"/>
  <c r="L28" i="50"/>
  <c r="G28" i="50"/>
  <c r="E28" i="50"/>
  <c r="D28" i="50"/>
  <c r="U27" i="50"/>
  <c r="L27" i="50"/>
  <c r="G27" i="50"/>
  <c r="E27" i="50"/>
  <c r="D27" i="50"/>
  <c r="L26" i="50"/>
  <c r="G26" i="50"/>
  <c r="E26" i="50"/>
  <c r="D26" i="50"/>
  <c r="L25" i="50"/>
  <c r="G25" i="50"/>
  <c r="E25" i="50"/>
  <c r="D25" i="50"/>
  <c r="L24" i="50"/>
  <c r="G24" i="50"/>
  <c r="E24" i="50"/>
  <c r="D24" i="50"/>
  <c r="L23" i="50"/>
  <c r="G23" i="50"/>
  <c r="E23" i="50"/>
  <c r="D23" i="50"/>
  <c r="L22" i="50"/>
  <c r="G22" i="50"/>
  <c r="E22" i="50"/>
  <c r="D22" i="50"/>
  <c r="L21" i="50"/>
  <c r="G21" i="50"/>
  <c r="E21" i="50"/>
  <c r="D21" i="50"/>
  <c r="L20" i="50"/>
  <c r="G20" i="50"/>
  <c r="E20" i="50"/>
  <c r="D20" i="50"/>
  <c r="L19" i="50"/>
  <c r="G19" i="50"/>
  <c r="E19" i="50"/>
  <c r="D19" i="50"/>
  <c r="L18" i="50"/>
  <c r="G18" i="50"/>
  <c r="E18" i="50"/>
  <c r="D18" i="50"/>
  <c r="L17" i="50"/>
  <c r="G17" i="50"/>
  <c r="E17" i="50"/>
  <c r="D17" i="50"/>
  <c r="L16" i="50"/>
  <c r="G16" i="50"/>
  <c r="E16" i="50"/>
  <c r="D16" i="50"/>
  <c r="L15" i="50"/>
  <c r="G15" i="50"/>
  <c r="E15" i="50"/>
  <c r="D15" i="50"/>
  <c r="L14" i="50"/>
  <c r="E14" i="50"/>
  <c r="D14" i="50"/>
  <c r="L13" i="50"/>
  <c r="E13" i="50"/>
  <c r="D13" i="50"/>
  <c r="L12" i="50"/>
  <c r="E12" i="50"/>
  <c r="D12" i="50"/>
  <c r="L11" i="50"/>
  <c r="E11" i="50"/>
  <c r="D11" i="50"/>
  <c r="L10" i="50"/>
  <c r="E10" i="50"/>
  <c r="D10" i="50"/>
  <c r="L9" i="50"/>
  <c r="E9" i="50"/>
  <c r="D9" i="50"/>
  <c r="L8" i="50"/>
  <c r="E8" i="50"/>
  <c r="D8" i="50"/>
  <c r="L7" i="50"/>
  <c r="E7" i="50"/>
  <c r="D7" i="50"/>
  <c r="L6" i="50"/>
  <c r="E6" i="50"/>
  <c r="D6" i="50"/>
  <c r="L5" i="50"/>
  <c r="E5" i="50"/>
  <c r="D5" i="50"/>
  <c r="N3" i="50" a="1"/>
  <c r="B44" i="49"/>
  <c r="B43" i="49"/>
  <c r="B42" i="49"/>
  <c r="B41" i="49"/>
  <c r="B40" i="49"/>
  <c r="B39" i="49"/>
  <c r="H180" i="48"/>
  <c r="A180" i="48"/>
  <c r="H179" i="48"/>
  <c r="A179" i="48"/>
  <c r="H178" i="48"/>
  <c r="A178" i="48"/>
  <c r="H177" i="48"/>
  <c r="A177" i="48"/>
  <c r="H176" i="48"/>
  <c r="A176" i="48"/>
  <c r="H175" i="48"/>
  <c r="A175" i="48"/>
  <c r="H174" i="48"/>
  <c r="A174" i="48"/>
  <c r="H173" i="48"/>
  <c r="A173" i="48"/>
  <c r="H172" i="48"/>
  <c r="A172" i="48"/>
  <c r="H171" i="48"/>
  <c r="A171" i="48"/>
  <c r="H170" i="48"/>
  <c r="A170" i="48"/>
  <c r="H169" i="48"/>
  <c r="A169" i="48"/>
  <c r="H168" i="48"/>
  <c r="A168" i="48"/>
  <c r="H167" i="48"/>
  <c r="A167" i="48"/>
  <c r="H166" i="48"/>
  <c r="A166" i="48"/>
  <c r="H165" i="48"/>
  <c r="A165" i="48"/>
  <c r="H164" i="48"/>
  <c r="A164" i="48"/>
  <c r="H163" i="48"/>
  <c r="A163" i="48"/>
  <c r="H162" i="48"/>
  <c r="A162" i="48"/>
  <c r="H161" i="48"/>
  <c r="A161" i="48"/>
  <c r="H160" i="48"/>
  <c r="A160" i="48"/>
  <c r="H159" i="48"/>
  <c r="A159" i="48"/>
  <c r="H158" i="48"/>
  <c r="A158" i="48"/>
  <c r="H157" i="48"/>
  <c r="A157" i="48"/>
  <c r="H156" i="48"/>
  <c r="A156" i="48"/>
  <c r="H155" i="48"/>
  <c r="A155" i="48"/>
  <c r="H154" i="48"/>
  <c r="A154" i="48"/>
  <c r="H153" i="48"/>
  <c r="A153" i="48"/>
  <c r="H152" i="48"/>
  <c r="A152" i="48"/>
  <c r="H151" i="48"/>
  <c r="A151" i="48"/>
  <c r="H150" i="48"/>
  <c r="A150" i="48"/>
  <c r="H149" i="48"/>
  <c r="A149" i="48"/>
  <c r="H148" i="48"/>
  <c r="A148" i="48"/>
  <c r="H147" i="48"/>
  <c r="A147" i="48"/>
  <c r="H146" i="48"/>
  <c r="A146" i="48"/>
  <c r="H145" i="48"/>
  <c r="A145" i="48"/>
  <c r="H144" i="48"/>
  <c r="A144" i="48"/>
  <c r="H143" i="48"/>
  <c r="A143" i="48"/>
  <c r="H142" i="48"/>
  <c r="A142" i="48"/>
  <c r="H141" i="48"/>
  <c r="A141" i="48"/>
  <c r="H140" i="48"/>
  <c r="A140" i="48"/>
  <c r="H139" i="48"/>
  <c r="A139" i="48"/>
  <c r="H138" i="48"/>
  <c r="A138" i="48"/>
  <c r="H137" i="48"/>
  <c r="A137" i="48"/>
  <c r="H136" i="48"/>
  <c r="A136" i="48"/>
  <c r="H135" i="48"/>
  <c r="A135" i="48"/>
  <c r="H134" i="48"/>
  <c r="A134" i="48"/>
  <c r="H133" i="48"/>
  <c r="A133" i="48"/>
  <c r="H132" i="48"/>
  <c r="A132" i="48"/>
  <c r="H131" i="48"/>
  <c r="A131" i="48"/>
  <c r="H130" i="48"/>
  <c r="A130" i="48"/>
  <c r="H129" i="48"/>
  <c r="A129" i="48"/>
  <c r="H128" i="48"/>
  <c r="A128" i="48"/>
  <c r="H127" i="48"/>
  <c r="A127" i="48"/>
  <c r="H126" i="48"/>
  <c r="A126" i="48"/>
  <c r="H125" i="48"/>
  <c r="A125" i="48"/>
  <c r="H124" i="48"/>
  <c r="A124" i="48"/>
  <c r="H123" i="48"/>
  <c r="A123" i="48"/>
  <c r="H122" i="48"/>
  <c r="A122" i="48"/>
  <c r="H121" i="48"/>
  <c r="A121" i="48"/>
  <c r="H120" i="48"/>
  <c r="A120" i="48"/>
  <c r="H119" i="48"/>
  <c r="A119" i="48"/>
  <c r="H118" i="48"/>
  <c r="A118" i="48"/>
  <c r="H117" i="48"/>
  <c r="A117" i="48"/>
  <c r="H116" i="48"/>
  <c r="A116" i="48"/>
  <c r="H115" i="48"/>
  <c r="A115" i="48"/>
  <c r="H114" i="48"/>
  <c r="A114" i="48"/>
  <c r="H113" i="48"/>
  <c r="A113" i="48"/>
  <c r="H112" i="48"/>
  <c r="A112" i="48"/>
  <c r="H111" i="48"/>
  <c r="A111" i="48"/>
  <c r="H110" i="48"/>
  <c r="A110" i="48"/>
  <c r="H109" i="48"/>
  <c r="A109" i="48"/>
  <c r="H108" i="48"/>
  <c r="A108" i="48"/>
  <c r="H107" i="48"/>
  <c r="A107" i="48"/>
  <c r="H106" i="48"/>
  <c r="A106" i="48"/>
  <c r="H105" i="48"/>
  <c r="A105" i="48"/>
  <c r="H104" i="48"/>
  <c r="A104" i="48"/>
  <c r="H103" i="48"/>
  <c r="A103" i="48"/>
  <c r="H102" i="48"/>
  <c r="A102" i="48"/>
  <c r="H101" i="48"/>
  <c r="A101" i="48"/>
  <c r="H100" i="48"/>
  <c r="A100" i="48"/>
  <c r="H99" i="48"/>
  <c r="A99" i="48"/>
  <c r="H98" i="48"/>
  <c r="A98" i="48"/>
  <c r="H97" i="48"/>
  <c r="A97" i="48"/>
  <c r="H96" i="48"/>
  <c r="A96" i="48"/>
  <c r="H95" i="48"/>
  <c r="A95" i="48"/>
  <c r="H94" i="48"/>
  <c r="A94" i="48"/>
  <c r="H93" i="48"/>
  <c r="A93" i="48"/>
  <c r="H92" i="48"/>
  <c r="A92" i="48"/>
  <c r="H91" i="48"/>
  <c r="A91" i="48"/>
  <c r="H90" i="48"/>
  <c r="A90" i="48"/>
  <c r="H89" i="48"/>
  <c r="A89" i="48"/>
  <c r="H88" i="48"/>
  <c r="A88" i="48"/>
  <c r="H87" i="48"/>
  <c r="A87" i="48"/>
  <c r="H86" i="48"/>
  <c r="A86" i="48"/>
  <c r="H85" i="48"/>
  <c r="A85" i="48"/>
  <c r="H84" i="48"/>
  <c r="A84" i="48"/>
  <c r="H83" i="48"/>
  <c r="A83" i="48"/>
  <c r="H82" i="48"/>
  <c r="A82" i="48"/>
  <c r="H81" i="48"/>
  <c r="A81" i="48"/>
  <c r="H80" i="48"/>
  <c r="A80" i="48"/>
  <c r="H79" i="48"/>
  <c r="A79" i="48"/>
  <c r="H78" i="48"/>
  <c r="A78" i="48"/>
  <c r="H77" i="48"/>
  <c r="A77" i="48"/>
  <c r="H76" i="48"/>
  <c r="A76" i="48"/>
  <c r="H75" i="48"/>
  <c r="A75" i="48"/>
  <c r="H74" i="48"/>
  <c r="A74" i="48"/>
  <c r="H73" i="48"/>
  <c r="A73" i="48"/>
  <c r="H72" i="48"/>
  <c r="A72" i="48"/>
  <c r="H71" i="48"/>
  <c r="A71" i="48"/>
  <c r="H70" i="48"/>
  <c r="A70" i="48"/>
  <c r="H69" i="48"/>
  <c r="A69" i="48"/>
  <c r="H68" i="48"/>
  <c r="A68" i="48"/>
  <c r="H67" i="48"/>
  <c r="A67" i="48"/>
  <c r="H66" i="48"/>
  <c r="A66" i="48"/>
  <c r="H65" i="48"/>
  <c r="A65" i="48"/>
  <c r="H64" i="48"/>
  <c r="A64" i="48"/>
  <c r="H63" i="48"/>
  <c r="A63" i="48"/>
  <c r="H62" i="48"/>
  <c r="A62" i="48"/>
  <c r="H61" i="48"/>
  <c r="A61" i="48"/>
  <c r="H60" i="48"/>
  <c r="A60" i="48"/>
  <c r="H59" i="48"/>
  <c r="A59" i="48"/>
  <c r="H58" i="48"/>
  <c r="A58" i="48"/>
  <c r="H57" i="48"/>
  <c r="A57" i="48"/>
  <c r="H56" i="48"/>
  <c r="A56" i="48"/>
  <c r="H55" i="48"/>
  <c r="A55" i="48"/>
  <c r="H54" i="48"/>
  <c r="A54" i="48"/>
  <c r="H53" i="48"/>
  <c r="A53" i="48"/>
  <c r="H52" i="48"/>
  <c r="A52" i="48"/>
  <c r="H51" i="48"/>
  <c r="A51" i="48"/>
  <c r="H50" i="48"/>
  <c r="A50" i="48"/>
  <c r="H49" i="48"/>
  <c r="A49" i="48"/>
  <c r="H48" i="48"/>
  <c r="A48" i="48"/>
  <c r="H47" i="48"/>
  <c r="A47" i="48"/>
  <c r="H46" i="48"/>
  <c r="A46" i="48"/>
  <c r="H45" i="48"/>
  <c r="A45" i="48"/>
  <c r="H44" i="48"/>
  <c r="A44" i="48"/>
  <c r="H43" i="48"/>
  <c r="A43" i="48"/>
  <c r="H42" i="48"/>
  <c r="A42" i="48"/>
  <c r="H41" i="48"/>
  <c r="A41" i="48"/>
  <c r="H40" i="48"/>
  <c r="A40" i="48"/>
  <c r="H39" i="48"/>
  <c r="A39" i="48"/>
  <c r="H38" i="48"/>
  <c r="A38" i="48"/>
  <c r="H37" i="48"/>
  <c r="A37" i="48"/>
  <c r="H36" i="48"/>
  <c r="A36" i="48"/>
  <c r="H35" i="48"/>
  <c r="A35" i="48"/>
  <c r="H34" i="48"/>
  <c r="A34" i="48"/>
  <c r="H33" i="48"/>
  <c r="A33" i="48"/>
  <c r="H32" i="48"/>
  <c r="A32" i="48"/>
  <c r="H31" i="48"/>
  <c r="A31" i="48"/>
  <c r="H30" i="48"/>
  <c r="A30" i="48"/>
  <c r="H29" i="48"/>
  <c r="A29" i="48"/>
  <c r="H28" i="48"/>
  <c r="A28" i="48"/>
  <c r="H27" i="48"/>
  <c r="A27" i="48"/>
  <c r="H26" i="48"/>
  <c r="A26" i="48"/>
  <c r="H25" i="48"/>
  <c r="A25" i="48"/>
  <c r="H24" i="48"/>
  <c r="H23" i="48"/>
  <c r="H22" i="48"/>
  <c r="H21" i="48"/>
  <c r="H20" i="48"/>
  <c r="H19" i="48"/>
  <c r="H18" i="48"/>
  <c r="H17" i="48"/>
  <c r="H16" i="48"/>
  <c r="H15" i="48"/>
  <c r="B2" i="48" a="1"/>
  <c r="AO180" i="47"/>
  <c r="AO179" i="47"/>
  <c r="AO178" i="47"/>
  <c r="AO177" i="47"/>
  <c r="AO176" i="47"/>
  <c r="AO175" i="47"/>
  <c r="AO174" i="47"/>
  <c r="AO173" i="47"/>
  <c r="AO172" i="47"/>
  <c r="AO171" i="47"/>
  <c r="AO170" i="47"/>
  <c r="AO169" i="47"/>
  <c r="AO168" i="47"/>
  <c r="AO167" i="47"/>
  <c r="AO166" i="47"/>
  <c r="AO165" i="47"/>
  <c r="AO164" i="47"/>
  <c r="AO163" i="47"/>
  <c r="AO162" i="47"/>
  <c r="AO161" i="47"/>
  <c r="AO160" i="47"/>
  <c r="AO159" i="47"/>
  <c r="AO158" i="47"/>
  <c r="AO157" i="47"/>
  <c r="AO156" i="47"/>
  <c r="AO155" i="47"/>
  <c r="AO154" i="47"/>
  <c r="AO153" i="47"/>
  <c r="AO152" i="47"/>
  <c r="AO151" i="47"/>
  <c r="AO150" i="47"/>
  <c r="AO149" i="47"/>
  <c r="AO148" i="47"/>
  <c r="AO147" i="47"/>
  <c r="AO146" i="47"/>
  <c r="AO145" i="47"/>
  <c r="AO144" i="47"/>
  <c r="AO143" i="47"/>
  <c r="AO142" i="47"/>
  <c r="AO141" i="47"/>
  <c r="AO140" i="47"/>
  <c r="AO139" i="47"/>
  <c r="AO138" i="47"/>
  <c r="AO137" i="47"/>
  <c r="AO136" i="47"/>
  <c r="AO135" i="47"/>
  <c r="AO134" i="47"/>
  <c r="AO133" i="47"/>
  <c r="AO132" i="47"/>
  <c r="AO131" i="47"/>
  <c r="AO130" i="47"/>
  <c r="AO129" i="47"/>
  <c r="AO128" i="47"/>
  <c r="AO127" i="47"/>
  <c r="AO126" i="47"/>
  <c r="AO125" i="47"/>
  <c r="AO124" i="47"/>
  <c r="AO123" i="47"/>
  <c r="AO122" i="47"/>
  <c r="AO121" i="47"/>
  <c r="AO120" i="47"/>
  <c r="AO119" i="47"/>
  <c r="AO118" i="47"/>
  <c r="AO117" i="47"/>
  <c r="AO116" i="47"/>
  <c r="AO115" i="47"/>
  <c r="AO114" i="47"/>
  <c r="AO113" i="47"/>
  <c r="AO112" i="47"/>
  <c r="AO111" i="47"/>
  <c r="AO110" i="47"/>
  <c r="AO109" i="47"/>
  <c r="AO108" i="47"/>
  <c r="AO107" i="47"/>
  <c r="AO106" i="47"/>
  <c r="AO105" i="47"/>
  <c r="AO104" i="47"/>
  <c r="AO103" i="47"/>
  <c r="AO102" i="47"/>
  <c r="AO101" i="47"/>
  <c r="AO100" i="47"/>
  <c r="AO99" i="47"/>
  <c r="AO98" i="47"/>
  <c r="AO97" i="47"/>
  <c r="AO96" i="47"/>
  <c r="AO95" i="47"/>
  <c r="AO94" i="47"/>
  <c r="AO93" i="47"/>
  <c r="AO92" i="47"/>
  <c r="AO91" i="47"/>
  <c r="AO90" i="47"/>
  <c r="AO89" i="47"/>
  <c r="AO88" i="47"/>
  <c r="AO87" i="47"/>
  <c r="AO86" i="47"/>
  <c r="AO85" i="47"/>
  <c r="AO84" i="47"/>
  <c r="AO83" i="47"/>
  <c r="AO82" i="47"/>
  <c r="AO81" i="47"/>
  <c r="AO80" i="47"/>
  <c r="AO79" i="47"/>
  <c r="AO78" i="47"/>
  <c r="AO77" i="47"/>
  <c r="AO76" i="47"/>
  <c r="AO75" i="47"/>
  <c r="AO74" i="47"/>
  <c r="AO73" i="47"/>
  <c r="AO72" i="47"/>
  <c r="AO71" i="47"/>
  <c r="AO70" i="47"/>
  <c r="AO69" i="47"/>
  <c r="AO68" i="47"/>
  <c r="AO67" i="47"/>
  <c r="AO66" i="47"/>
  <c r="AO65" i="47"/>
  <c r="AO64" i="47"/>
  <c r="AO63" i="47"/>
  <c r="AO62" i="47"/>
  <c r="AO61" i="47"/>
  <c r="AO60" i="47"/>
  <c r="AO59" i="47"/>
  <c r="AO58" i="47"/>
  <c r="AO57" i="47"/>
  <c r="AO56" i="47"/>
  <c r="AO55" i="47"/>
  <c r="AO54" i="47"/>
  <c r="AO53" i="47"/>
  <c r="AO52" i="47"/>
  <c r="AO51" i="47"/>
  <c r="AO50" i="47"/>
  <c r="AO49" i="47"/>
  <c r="AO48" i="47"/>
  <c r="AO47" i="47"/>
  <c r="AO46" i="47"/>
  <c r="AO45" i="47"/>
  <c r="AO44" i="47"/>
  <c r="AO43" i="47"/>
  <c r="AO42" i="47"/>
  <c r="AO41" i="47"/>
  <c r="AO40" i="47"/>
  <c r="AO39" i="47"/>
  <c r="AO37" i="47"/>
  <c r="AO35" i="47"/>
  <c r="AO33" i="47"/>
  <c r="AO32" i="47"/>
  <c r="AO31" i="47"/>
  <c r="AO29" i="47"/>
  <c r="AO28" i="47"/>
  <c r="AO27" i="47"/>
  <c r="AO25" i="47"/>
  <c r="AO23" i="47"/>
  <c r="AO22" i="47"/>
  <c r="AO21" i="47"/>
  <c r="AO20" i="47"/>
  <c r="AO19" i="47"/>
  <c r="AO18" i="47"/>
  <c r="K18" i="47"/>
  <c r="J18" i="47"/>
  <c r="I18" i="47"/>
  <c r="AO17" i="47"/>
  <c r="AO13" i="47"/>
  <c r="K13" i="47"/>
  <c r="J13" i="47"/>
  <c r="I13" i="47"/>
  <c r="AO10" i="47"/>
  <c r="AO9" i="47"/>
  <c r="K9" i="47"/>
  <c r="J9" i="47"/>
  <c r="I9" i="47"/>
  <c r="AO8" i="47"/>
  <c r="K8" i="47"/>
  <c r="J8" i="47"/>
  <c r="I8" i="47"/>
  <c r="AO7" i="47"/>
  <c r="K7" i="47"/>
  <c r="J7" i="47"/>
  <c r="I7" i="47"/>
  <c r="B5" i="47"/>
  <c r="G140" i="41"/>
  <c r="F140" i="41"/>
  <c r="H138" i="41"/>
  <c r="H137" i="41"/>
  <c r="H136" i="41"/>
  <c r="H135" i="41"/>
  <c r="H134" i="41"/>
  <c r="H133" i="41"/>
  <c r="H132" i="41"/>
  <c r="H131" i="41"/>
  <c r="H130" i="41"/>
  <c r="H129" i="41"/>
  <c r="H128" i="41"/>
  <c r="H127" i="41"/>
  <c r="H126" i="41"/>
  <c r="H125" i="41"/>
  <c r="H124" i="41"/>
  <c r="H123" i="41"/>
  <c r="H122" i="41"/>
  <c r="H121" i="41"/>
  <c r="H120" i="41"/>
  <c r="H119" i="41"/>
  <c r="H118" i="41"/>
  <c r="H117" i="41"/>
  <c r="H116" i="41"/>
  <c r="H115" i="41"/>
  <c r="H114" i="41"/>
  <c r="H113" i="41"/>
  <c r="H112" i="41"/>
  <c r="H111" i="41"/>
  <c r="H110" i="41"/>
  <c r="H109" i="41"/>
  <c r="H108" i="41"/>
  <c r="H107" i="41"/>
  <c r="H106" i="41"/>
  <c r="H105" i="41"/>
  <c r="H104" i="41"/>
  <c r="H103" i="41"/>
  <c r="H102" i="41"/>
  <c r="H101" i="41"/>
  <c r="H100" i="41"/>
  <c r="H99" i="41"/>
  <c r="H98" i="41"/>
  <c r="H97" i="41"/>
  <c r="H96" i="41"/>
  <c r="H95" i="41"/>
  <c r="H140" i="41" s="1"/>
  <c r="AX79" i="41"/>
  <c r="AY79" i="41" s="1"/>
  <c r="AX78" i="41"/>
  <c r="AY78" i="41" s="1"/>
  <c r="AX77" i="41"/>
  <c r="AY77" i="41" s="1"/>
  <c r="AX76" i="41"/>
  <c r="AY76" i="41" s="1"/>
  <c r="AX75" i="41"/>
  <c r="AY75" i="41" s="1"/>
  <c r="AX74" i="41"/>
  <c r="AY74" i="41" s="1"/>
  <c r="AX73" i="41"/>
  <c r="AY73" i="41" s="1"/>
  <c r="AX72" i="41"/>
  <c r="AY72" i="41" s="1"/>
  <c r="AX71" i="41"/>
  <c r="AY71" i="41" s="1"/>
  <c r="AX70" i="41"/>
  <c r="AY70" i="41" s="1"/>
  <c r="AX69" i="41"/>
  <c r="AY69" i="41" s="1"/>
  <c r="AX68" i="41"/>
  <c r="AY68" i="41" s="1"/>
  <c r="L11" i="41"/>
  <c r="K11" i="41"/>
  <c r="K10" i="41"/>
  <c r="K3" i="41"/>
  <c r="B114" i="40"/>
  <c r="B60" i="37"/>
  <c r="B59" i="37"/>
  <c r="B58" i="37"/>
  <c r="B57" i="37"/>
  <c r="B56" i="37"/>
  <c r="B55" i="37"/>
  <c r="B54" i="37"/>
  <c r="B22" i="30"/>
  <c r="B21" i="30"/>
  <c r="B20" i="30"/>
  <c r="B17" i="30"/>
  <c r="B9" i="29"/>
  <c r="B8" i="29"/>
  <c r="B7" i="29"/>
  <c r="B6" i="29"/>
  <c r="B5" i="29"/>
  <c r="B255" i="16"/>
  <c r="B254" i="16"/>
  <c r="B253" i="16"/>
  <c r="B252" i="16"/>
  <c r="B251" i="16"/>
  <c r="B250" i="16"/>
  <c r="B249" i="16"/>
  <c r="B248" i="16"/>
  <c r="B247" i="16"/>
  <c r="B246" i="16"/>
  <c r="C242" i="16"/>
  <c r="C241" i="16"/>
  <c r="C240" i="16"/>
  <c r="C239" i="16"/>
  <c r="B242" i="16"/>
  <c r="B241" i="16"/>
  <c r="B240" i="16"/>
  <c r="B239" i="16"/>
  <c r="C235" i="16"/>
  <c r="C234" i="16"/>
  <c r="C233" i="16"/>
  <c r="C232" i="16"/>
  <c r="B235" i="16"/>
  <c r="B234" i="16"/>
  <c r="B233" i="16"/>
  <c r="B232" i="16"/>
  <c r="B61" i="26"/>
  <c r="B60" i="26"/>
  <c r="B57" i="26"/>
  <c r="B56" i="26"/>
  <c r="B55" i="26"/>
  <c r="B52" i="26"/>
  <c r="H167" i="24"/>
  <c r="H168" i="24"/>
  <c r="H169" i="24"/>
  <c r="B167" i="24"/>
  <c r="E167" i="24"/>
  <c r="E168" i="24"/>
  <c r="E169" i="24"/>
  <c r="B172" i="24"/>
  <c r="E172" i="24"/>
  <c r="B173" i="24"/>
  <c r="E173" i="24"/>
  <c r="B174" i="24"/>
  <c r="E174" i="24"/>
  <c r="B175" i="24"/>
  <c r="E175" i="24"/>
  <c r="B176" i="24"/>
  <c r="E176" i="24"/>
  <c r="B123" i="23"/>
  <c r="B124" i="23"/>
  <c r="B125" i="23"/>
  <c r="B126" i="23"/>
  <c r="B127" i="23"/>
  <c r="B128" i="23"/>
  <c r="B129" i="23"/>
  <c r="B121" i="22"/>
  <c r="B122" i="22"/>
  <c r="B123" i="22"/>
  <c r="B124" i="22"/>
  <c r="B125" i="22"/>
  <c r="B126" i="22"/>
  <c r="B127" i="22"/>
  <c r="B168" i="20"/>
  <c r="B169" i="20"/>
  <c r="B170" i="20"/>
  <c r="B171" i="20"/>
  <c r="B173" i="20"/>
  <c r="B174" i="20"/>
  <c r="B175" i="20"/>
  <c r="B178" i="20"/>
  <c r="B179" i="20"/>
  <c r="B180" i="20"/>
  <c r="B181" i="20"/>
  <c r="B182" i="20"/>
  <c r="B183" i="20"/>
  <c r="B184" i="20"/>
  <c r="B185" i="20"/>
  <c r="B186" i="20"/>
  <c r="B187" i="20"/>
  <c r="B162" i="19"/>
  <c r="B163" i="19"/>
  <c r="B164" i="19"/>
  <c r="B165" i="19"/>
  <c r="B167" i="19"/>
  <c r="B168" i="19"/>
  <c r="B169" i="19"/>
  <c r="B172" i="19"/>
  <c r="B173" i="19"/>
  <c r="B174" i="19"/>
  <c r="B175" i="19"/>
  <c r="B176" i="19"/>
  <c r="B177" i="19"/>
  <c r="B178" i="19"/>
  <c r="B179" i="19"/>
  <c r="B180" i="19"/>
  <c r="B181" i="19"/>
  <c r="B182" i="19"/>
  <c r="B192" i="18"/>
  <c r="B193" i="18"/>
  <c r="B194" i="18"/>
  <c r="B195" i="18"/>
  <c r="B196" i="18"/>
  <c r="B197" i="18"/>
  <c r="B198" i="18"/>
  <c r="B199" i="18"/>
  <c r="B200" i="18"/>
  <c r="B201" i="18"/>
  <c r="B202" i="18"/>
  <c r="B203" i="18"/>
  <c r="B189" i="18"/>
  <c r="B188" i="18"/>
  <c r="B185" i="18"/>
  <c r="B184" i="18"/>
  <c r="B183" i="18"/>
  <c r="B180" i="18"/>
  <c r="B170" i="17"/>
  <c r="B171" i="17"/>
  <c r="B172" i="17"/>
  <c r="B173" i="17"/>
  <c r="B174" i="17"/>
  <c r="B175" i="17"/>
  <c r="B176" i="17"/>
  <c r="B177" i="17"/>
  <c r="B178" i="17"/>
  <c r="B179" i="17"/>
  <c r="B180" i="17"/>
  <c r="B181" i="17"/>
  <c r="B167" i="17"/>
  <c r="B166" i="17"/>
  <c r="B163" i="17"/>
  <c r="B162" i="17"/>
  <c r="B161" i="17"/>
  <c r="B158" i="17"/>
  <c r="B198" i="15"/>
  <c r="B197" i="15"/>
  <c r="B196" i="15"/>
  <c r="B195" i="15"/>
  <c r="B194" i="15"/>
  <c r="B193" i="15"/>
  <c r="B192" i="15"/>
  <c r="B191" i="15"/>
  <c r="B190" i="15"/>
  <c r="B189" i="15"/>
  <c r="B186" i="15"/>
  <c r="B185" i="15"/>
  <c r="B182" i="15"/>
  <c r="B181" i="15"/>
  <c r="B180" i="15"/>
  <c r="B177" i="15"/>
  <c r="B197" i="13"/>
  <c r="C197" i="13"/>
  <c r="D197" i="13"/>
  <c r="E197" i="13"/>
  <c r="C184" i="13"/>
  <c r="D184" i="13"/>
  <c r="E184" i="13"/>
  <c r="C185" i="13"/>
  <c r="D185" i="13"/>
  <c r="E185" i="13"/>
  <c r="C186" i="13"/>
  <c r="D186" i="13"/>
  <c r="E186" i="13"/>
  <c r="C187" i="13"/>
  <c r="D187" i="13"/>
  <c r="E187" i="13"/>
  <c r="C188" i="13"/>
  <c r="D188" i="13"/>
  <c r="E188" i="13"/>
  <c r="C189" i="13"/>
  <c r="D189" i="13"/>
  <c r="E189" i="13"/>
  <c r="C190" i="13"/>
  <c r="D190" i="13"/>
  <c r="E190" i="13"/>
  <c r="C191" i="13"/>
  <c r="D191" i="13"/>
  <c r="E191" i="13"/>
  <c r="C192" i="13"/>
  <c r="D192" i="13"/>
  <c r="E192" i="13"/>
  <c r="C193" i="13"/>
  <c r="D193" i="13"/>
  <c r="E193" i="13"/>
  <c r="C194" i="13"/>
  <c r="D194" i="13"/>
  <c r="E194" i="13"/>
  <c r="C195" i="13"/>
  <c r="D195" i="13"/>
  <c r="E195" i="13"/>
  <c r="F5" i="50" l="1"/>
  <c r="G5" i="50" s="1"/>
  <c r="F6" i="50"/>
  <c r="G6" i="50" s="1"/>
  <c r="F11" i="50"/>
  <c r="G11" i="50" s="1"/>
  <c r="F10" i="50"/>
  <c r="G10" i="50" s="1"/>
  <c r="F9" i="50"/>
  <c r="G9" i="50" s="1"/>
  <c r="F8" i="50"/>
  <c r="G8" i="50" s="1"/>
  <c r="F7" i="50"/>
  <c r="G7" i="50" s="1"/>
  <c r="F13" i="50"/>
  <c r="G13" i="50" s="1"/>
  <c r="F12" i="50"/>
  <c r="G12" i="50" s="1"/>
  <c r="F14" i="50"/>
  <c r="G14" i="50" s="1"/>
  <c r="U31" i="50"/>
  <c r="U28" i="50"/>
  <c r="U30" i="50"/>
  <c r="U29" i="50"/>
  <c r="C15" i="48"/>
  <c r="C16" i="48"/>
  <c r="C18" i="48"/>
  <c r="C21" i="48"/>
  <c r="C17" i="48"/>
  <c r="C19" i="48"/>
  <c r="C20" i="48"/>
  <c r="C22" i="48"/>
  <c r="C23" i="48"/>
  <c r="C24" i="48"/>
  <c r="S86" i="47" a="1"/>
  <c r="R86" i="47" a="1"/>
  <c r="Q86" i="47" a="1"/>
  <c r="S85" i="47" a="1"/>
  <c r="R85" i="47" a="1"/>
  <c r="Q85" i="47" a="1"/>
  <c r="Q84" i="47" a="1"/>
  <c r="S84" i="47" a="1"/>
  <c r="R84" i="47" a="1"/>
  <c r="S83" i="47" a="1"/>
  <c r="R83" i="47" a="1"/>
  <c r="Q83" i="47" a="1"/>
  <c r="S82" i="47" a="1"/>
  <c r="R82" i="47" a="1"/>
  <c r="Q82" i="47" a="1"/>
  <c r="R81" i="47" a="1"/>
  <c r="S81" i="47" a="1"/>
  <c r="Q81" i="47" a="1"/>
  <c r="R80" i="47" a="1"/>
  <c r="Q80" i="47" a="1"/>
  <c r="S80" i="47" a="1"/>
  <c r="S79" i="47" a="1"/>
  <c r="R79" i="47" a="1"/>
  <c r="Q79" i="47" a="1"/>
  <c r="S78" i="47" a="1"/>
  <c r="R78" i="47" a="1"/>
  <c r="Q78" i="47" a="1"/>
  <c r="Q77" i="47" a="1"/>
  <c r="S77" i="47" a="1"/>
  <c r="R77" i="47" a="1"/>
  <c r="S76" i="47" a="1"/>
  <c r="R76" i="47" a="1"/>
  <c r="Q76" i="47" a="1"/>
  <c r="S75" i="47" a="1"/>
  <c r="R75" i="47" a="1"/>
  <c r="Q75" i="47" a="1"/>
  <c r="S74" i="47" a="1"/>
  <c r="R74" i="47" a="1"/>
  <c r="Q74" i="47" a="1"/>
  <c r="R73" i="47" a="1"/>
  <c r="S73" i="47" a="1"/>
  <c r="Q73" i="47" a="1"/>
  <c r="S72" i="47" a="1"/>
  <c r="Q72" i="47" a="1"/>
  <c r="R72" i="47" a="1"/>
  <c r="S71" i="47" a="1"/>
  <c r="R71" i="47" a="1"/>
  <c r="Q71" i="47" a="1"/>
  <c r="R70" i="47" a="1"/>
  <c r="Q70" i="47" a="1"/>
  <c r="S70" i="47" a="1"/>
  <c r="S69" i="47" a="1"/>
  <c r="R69" i="47" a="1"/>
  <c r="Q69" i="47" a="1"/>
  <c r="R68" i="47" a="1"/>
  <c r="Q68" i="47" a="1"/>
  <c r="S68" i="47" a="1"/>
  <c r="S67" i="47" a="1"/>
  <c r="R67" i="47" a="1"/>
  <c r="Q67" i="47" a="1"/>
  <c r="Q66" i="47" a="1"/>
  <c r="S66" i="47" a="1"/>
  <c r="R66" i="47" a="1"/>
  <c r="S65" i="47" a="1"/>
  <c r="Q65" i="47" a="1"/>
  <c r="R65" i="47" a="1"/>
  <c r="Q64" i="47" a="1"/>
  <c r="R64" i="47" a="1"/>
  <c r="S64" i="47" a="1"/>
  <c r="R63" i="47" a="1"/>
  <c r="S63" i="47" a="1"/>
  <c r="Q63" i="47" a="1"/>
  <c r="Q62" i="47" a="1"/>
  <c r="R62" i="47" a="1"/>
  <c r="S62" i="47" a="1"/>
  <c r="R61" i="47" a="1"/>
  <c r="S61" i="47" a="1"/>
  <c r="Q61" i="47" a="1"/>
  <c r="R60" i="47" a="1"/>
  <c r="S60" i="47" a="1"/>
  <c r="Q60" i="47" a="1"/>
  <c r="Q59" i="47" a="1"/>
  <c r="R59" i="47" a="1"/>
  <c r="S59" i="47" a="1"/>
  <c r="S58" i="47" a="1"/>
  <c r="R58" i="47" a="1"/>
  <c r="Q58" i="47" a="1"/>
  <c r="S57" i="47" a="1"/>
  <c r="Q57" i="47" a="1"/>
  <c r="R57" i="47" a="1"/>
  <c r="R56" i="47" a="1"/>
  <c r="Q56" i="47" a="1"/>
  <c r="S56" i="47" a="1"/>
  <c r="Q55" i="47" a="1"/>
  <c r="R55" i="47" a="1"/>
  <c r="S55" i="47" a="1"/>
  <c r="S54" i="47" a="1"/>
  <c r="R54" i="47" a="1"/>
  <c r="Q54" i="47" a="1"/>
  <c r="S53" i="47" a="1"/>
  <c r="R53" i="47" a="1"/>
  <c r="Q53" i="47" a="1"/>
  <c r="S52" i="47" a="1"/>
  <c r="Q52" i="47" a="1"/>
  <c r="R52" i="47" a="1"/>
  <c r="S51" i="47" a="1"/>
  <c r="R51" i="47" a="1"/>
  <c r="Q51" i="47" a="1"/>
  <c r="S50" i="47" a="1"/>
  <c r="R50" i="47" a="1"/>
  <c r="Q50" i="47" a="1"/>
  <c r="S49" i="47" a="1"/>
  <c r="R49" i="47" a="1"/>
  <c r="Q49" i="47" a="1"/>
  <c r="Q48" i="47" a="1"/>
  <c r="R48" i="47" a="1"/>
  <c r="S48" i="47" a="1"/>
  <c r="S47" i="47" a="1"/>
  <c r="R47" i="47" a="1"/>
  <c r="Q47" i="47" a="1"/>
  <c r="R46" i="47" a="1"/>
  <c r="S46" i="47" a="1"/>
  <c r="Q46" i="47" a="1"/>
  <c r="Q45" i="47" a="1"/>
  <c r="S45" i="47" a="1"/>
  <c r="R45" i="47" a="1"/>
  <c r="S44" i="47" a="1"/>
  <c r="R44" i="47" a="1"/>
  <c r="Q44" i="47" a="1"/>
  <c r="S43" i="47" a="1"/>
  <c r="R43" i="47" a="1"/>
  <c r="Q43" i="47" a="1"/>
  <c r="R42" i="47" a="1"/>
  <c r="S42" i="47" a="1"/>
  <c r="Q42" i="47" a="1"/>
  <c r="R41" i="47" a="1"/>
  <c r="S41" i="47" a="1"/>
  <c r="Q41" i="47" a="1"/>
  <c r="S40" i="47" a="1"/>
  <c r="R40" i="47" a="1"/>
  <c r="Q40" i="47" a="1"/>
  <c r="S39" i="47" a="1"/>
  <c r="Q39" i="47" a="1"/>
  <c r="R39" i="47" a="1"/>
  <c r="S38" i="47" a="1"/>
  <c r="R38" i="47" a="1"/>
  <c r="Q38" i="47" a="1"/>
  <c r="R37" i="47" a="1"/>
  <c r="S37" i="47" a="1"/>
  <c r="Q37" i="47" a="1"/>
  <c r="S36" i="47" a="1"/>
  <c r="Q36" i="47" a="1"/>
  <c r="R36" i="47" a="1"/>
  <c r="Q35" i="47" a="1"/>
  <c r="R35" i="47" a="1"/>
  <c r="S35" i="47" a="1"/>
  <c r="S34" i="47" a="1"/>
  <c r="Q34" i="47" a="1"/>
  <c r="R34" i="47" a="1"/>
  <c r="S33" i="47" a="1"/>
  <c r="Q33" i="47" a="1"/>
  <c r="R33" i="47" a="1"/>
  <c r="R32" i="47" a="1"/>
  <c r="S32" i="47" a="1"/>
  <c r="Q32" i="47" a="1"/>
  <c r="S31" i="47" a="1"/>
  <c r="R31" i="47" a="1"/>
  <c r="Q31" i="47" a="1"/>
  <c r="R30" i="47" a="1"/>
  <c r="S30" i="47" a="1"/>
  <c r="Q30" i="47" a="1"/>
  <c r="S29" i="47" a="1"/>
  <c r="Q29" i="47" a="1"/>
  <c r="R29" i="47" a="1"/>
  <c r="Q28" i="47" a="1"/>
  <c r="R28" i="47" a="1"/>
  <c r="S28" i="47" a="1"/>
  <c r="S27" i="47" a="1"/>
  <c r="Q27" i="47" a="1"/>
  <c r="R27" i="47" a="1"/>
  <c r="Q26" i="47" a="1"/>
  <c r="S26" i="47" a="1"/>
  <c r="R26" i="47" a="1"/>
  <c r="R25" i="47" a="1"/>
  <c r="Q25" i="47" a="1"/>
  <c r="S25" i="47" a="1"/>
  <c r="S24" i="47" a="1"/>
  <c r="R24" i="47" a="1"/>
  <c r="Q24" i="47" a="1"/>
  <c r="Q23" i="47" a="1"/>
  <c r="S23" i="47" a="1"/>
  <c r="R23" i="47" a="1"/>
  <c r="Q22" i="47" a="1"/>
  <c r="R22" i="47" a="1"/>
  <c r="S22" i="47" a="1"/>
  <c r="S21" i="47" a="1"/>
  <c r="R21" i="47" a="1"/>
  <c r="Q21" i="47" a="1"/>
  <c r="Q20" i="47" a="1"/>
  <c r="R20" i="47" a="1"/>
  <c r="S20" i="47" a="1"/>
  <c r="Q19" i="47" a="1"/>
  <c r="R19" i="47" a="1"/>
  <c r="S19" i="47" a="1"/>
  <c r="Q18" i="47" a="1"/>
  <c r="R18" i="47" a="1"/>
  <c r="S18" i="47" a="1"/>
  <c r="S17" i="47" a="1"/>
  <c r="Q17" i="47" a="1"/>
  <c r="R17" i="47" a="1"/>
  <c r="S16" i="47" a="1"/>
  <c r="R16" i="47" a="1"/>
  <c r="Q16" i="47" a="1"/>
  <c r="S15" i="47" a="1"/>
  <c r="R15" i="47" a="1"/>
  <c r="Q15" i="47" a="1"/>
  <c r="Q14" i="47" a="1"/>
  <c r="S14" i="47" a="1"/>
  <c r="R14" i="47" a="1"/>
  <c r="S13" i="47" a="1"/>
  <c r="R13" i="47" a="1"/>
  <c r="Q13" i="47" a="1"/>
  <c r="S12" i="47" a="1"/>
  <c r="Q12" i="47" a="1"/>
  <c r="R12" i="47" a="1"/>
  <c r="Q11" i="47" a="1"/>
  <c r="R11" i="47" a="1"/>
  <c r="S11" i="47" a="1"/>
  <c r="S10" i="47" a="1"/>
  <c r="R10" i="47" a="1"/>
  <c r="Q10" i="47" a="1"/>
  <c r="R9" i="47" a="1"/>
  <c r="S9" i="47" a="1"/>
  <c r="Q9" i="47" a="1"/>
  <c r="Q8" i="47" a="1"/>
  <c r="R8" i="47" a="1"/>
  <c r="S8" i="47" a="1"/>
  <c r="S7" i="47" a="1"/>
  <c r="R7" i="47" a="1"/>
  <c r="Q7" i="47" a="1"/>
  <c r="C145" i="41"/>
  <c r="F145" i="41"/>
  <c r="K4" i="41"/>
  <c r="K5" i="41"/>
  <c r="K6" i="41"/>
  <c r="K7" i="41"/>
  <c r="K8" i="41"/>
  <c r="A15" i="48" l="1"/>
  <c r="D15" i="48"/>
  <c r="A16" i="48"/>
  <c r="D16" i="48"/>
  <c r="A18" i="48"/>
  <c r="D18" i="48"/>
  <c r="A21" i="48"/>
  <c r="D21" i="48"/>
  <c r="A17" i="48"/>
  <c r="D17" i="48"/>
  <c r="A19" i="48"/>
  <c r="D19" i="48"/>
  <c r="A20" i="48"/>
  <c r="D20" i="48"/>
  <c r="A22" i="48"/>
  <c r="D22" i="48"/>
  <c r="A23" i="48"/>
  <c r="D23" i="48"/>
  <c r="A24" i="48"/>
  <c r="D24"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22" authorId="0" shapeId="0" xr:uid="{7511EA6D-32AA-476C-A567-3A6D781BB0CD}">
      <text>
        <r>
          <rPr>
            <b/>
            <sz val="9"/>
            <color indexed="81"/>
            <rFont val="Tahoma"/>
          </rPr>
          <t>Guru Goddumuri:</t>
        </r>
        <r>
          <rPr>
            <sz val="9"/>
            <color indexed="81"/>
            <rFont val="Tahoma"/>
          </rPr>
          <t xml:space="preserve">
Departments list switched from the old 8 (Finance, HR, IT Operations, Development, QA, Security, Business Operations, Executive) to this live 8 on 06-Aug-2026, after auditing real Releases/Applications/Users data and finding it consistently uses this set instead. Source: cross-check against Releases, Applications, and Users sheets.</t>
        </r>
      </text>
    </comment>
    <comment ref="B76" authorId="0" shapeId="0" xr:uid="{55425B5A-1378-4FAC-93EE-284A9D061B3B}">
      <text>
        <r>
          <rPr>
            <b/>
            <sz val="9"/>
            <color indexed="81"/>
            <rFont val="Tahoma"/>
          </rPr>
          <t>Guru Goddumuri:</t>
        </r>
        <r>
          <rPr>
            <sz val="9"/>
            <color indexed="81"/>
            <rFont val="Tahoma"/>
          </rPr>
          <t xml:space="preserve">
Risk Scoring Matrix realigned on 06-Aug-2026 from the old 4-tier breakdown (1-4/5-9/10-15/16-25) to LC_Risk's 5-tier breakdown (1-9/10-14/15-19/20-24/25+), plus added the Color/Required Action/Approval Level columns from LC_Risk. Rationale: LC_Risk is the sheet actually governing the Risk entity's lifecycle and was more detailed (it ties each tier to an escalation owner), so it was treated as the more current source. Effect on rules: VR-27 ("High severity risk requires mitigation") is worded as a label, not a fixed numeric range, so this changes which raw Probability×Impact scores now count as "High" — previously 10-15, now 15-19. Scores of 10-14 that used to trigger VR-27 as "High" no longer do (they're now "Medium"); scores of 16-19 still trigger it. If any existing Risk records rely on the old boundary, they should be spot-checked.</t>
        </r>
      </text>
    </comment>
    <comment ref="A142" authorId="0" shapeId="0" xr:uid="{AB40E39E-C131-476C-858D-F3446AB5FD90}">
      <text>
        <r>
          <rPr>
            <b/>
            <sz val="9"/>
            <color indexed="81"/>
            <rFont val="Tahoma"/>
          </rPr>
          <t>Guru Goddumuri:</t>
        </r>
        <r>
          <rPr>
            <sz val="9"/>
            <color indexed="81"/>
            <rFont val="Tahoma"/>
          </rPr>
          <t xml:space="preserve">
DECISION (06-Aug-2026): Live Dependencies data (73 records) actually uses 5 values — Hard, Soft, Technical, Data, Integration — but only Hard/Soft are defined here, per an explicit decision to keep this table matching VR-18's enforcement model (Hard=blocking, Soft=advisory). "Technical", "Data", and "Integration" values appearing in the live Dependencies sheet are NOT covered by this table and should be treated as informal/non-standard until a decision is made to formally add them.</t>
        </r>
      </text>
    </comment>
    <comment ref="A145" authorId="0" shapeId="0" xr:uid="{814FBEFD-AA74-4299-8B78-F4EA1CA5852D}">
      <text>
        <r>
          <rPr>
            <b/>
            <sz val="9"/>
            <color indexed="81"/>
            <rFont val="Tahoma"/>
          </rPr>
          <t>Guru Goddumuri:</t>
        </r>
        <r>
          <rPr>
            <sz val="9"/>
            <color indexed="81"/>
            <rFont val="Tahoma"/>
          </rPr>
          <t xml:space="preserve">
Added 06-Aug-2026: the Dependencies sheet's own built-in documentation formally defines all 5 types (Hard/Soft/Technical/Data/Integration) as standard categories, and live data uses all 5. This table previously listed Hard/Soft only, per an earlier decision made before that evidence was reviewed.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12" authorId="0" shapeId="0" xr:uid="{105EF468-B00E-47C0-8B0F-0ACB2FD3FFB9}">
      <text>
        <r>
          <rPr>
            <b/>
            <sz val="9"/>
            <color indexed="81"/>
            <rFont val="Tahoma"/>
          </rPr>
          <t>Guru Goddumuri:</t>
        </r>
        <r>
          <rPr>
            <sz val="9"/>
            <color indexed="81"/>
            <rFont val="Tahoma"/>
          </rPr>
          <t xml:space="preserve">
Renamed from "Approved" to "CAB Approved" on 06-Aug-2026 to match Rules Specification §4-05/§4-06/§4-16 and Reference Data (treated as authoritative for status naming). The Releases data sheet's Status column was bulk-renamed to match.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7" authorId="0" shapeId="0" xr:uid="{F3A638B4-957C-4579-8AF2-ECBA0A3FBCD3}">
      <text>
        <r>
          <rPr>
            <b/>
            <sz val="9"/>
            <color indexed="81"/>
            <rFont val="Tahoma"/>
          </rPr>
          <t>Guru Goddumuri:</t>
        </r>
        <r>
          <rPr>
            <sz val="9"/>
            <color indexed="81"/>
            <rFont val="Tahoma"/>
          </rPr>
          <t xml:space="preserve">
Renamed from "SEV1-4" to "P1-P4" on 06-Aug-2026: the actual Incidents data sheet's own built-in guide defines and uses P1/P2/P3 (with specific release-blocking behavior: P1=all releases frozen, P2=halt related releases, P3=proceed with caution) — no incident record ever used "SEV" naming. Renamed to match; kept P4 as an available low-severity tier for consistency with Release Priority's own P1-P4 convention, though the Incidents sheet's guide currently only documents P1-P3 explicitly.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O7" authorId="0" shapeId="0" xr:uid="{968A32C2-F379-40AA-873D-6F814962C1B2}">
      <text>
        <r>
          <rPr>
            <b/>
            <sz val="9"/>
            <color indexed="81"/>
            <rFont val="Tahoma"/>
          </rPr>
          <t>Guru Goddumuri:</t>
        </r>
        <r>
          <rPr>
            <sz val="9"/>
            <color indexed="81"/>
            <rFont val="Tahoma"/>
          </rPr>
          <t xml:space="preserve">
Fixed 06-Aug-2026: formula previously checked AF (Deployment Window — never Yes/No/NA) instead of only the 4 real gate fields (Dev/Test/UAT Sign-off, Security Clearance). This meant "🟢 Go" could never display for ANY release. Corrected to check AG:AJ only. This seed cell was then copied down O7:O86 to apply the fix to all 80 releases.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62" authorId="0" shapeId="0" xr:uid="{84C1BF99-3E01-4DB1-AC02-603B9E5C4FF2}">
      <text>
        <r>
          <rPr>
            <b/>
            <sz val="9"/>
            <color indexed="81"/>
            <rFont val="Tahoma"/>
          </rPr>
          <t>Guru Goddumuri:</t>
        </r>
        <r>
          <rPr>
            <sz val="9"/>
            <color indexed="81"/>
            <rFont val="Tahoma"/>
          </rPr>
          <t xml:space="preserve">
Fixed 06-Aug-2026: this guide previously used a 4-tier scheme (1-4/5-8/9-12/[gap]/15-25) with an undefined gap at scores 13-14. Realigned to the 5-tier model now used in Reference Data's Risk Scoring Matrix and LC_Risk (1-9/10-14/15-19/20-24/25), so all three sheets agree.</t>
        </r>
      </text>
    </comment>
    <comment ref="A84" authorId="0" shapeId="0" xr:uid="{8CD378A5-1882-4234-B4E5-5B19F3C596AD}">
      <text>
        <r>
          <rPr>
            <b/>
            <sz val="9"/>
            <color indexed="81"/>
            <rFont val="Tahoma"/>
          </rPr>
          <t>Guru Goddumuri:</t>
        </r>
        <r>
          <rPr>
            <sz val="9"/>
            <color indexed="81"/>
            <rFont val="Tahoma"/>
          </rPr>
          <t xml:space="preserve">
Percentage bands aligned 06-Aug-2026 to match Reference Data's Risk Likelihood Scale (&lt;5%/5-25%/25-50%/50-75%/&gt;75%) — this sheet previously used slightly different bands (&lt;10%/10-30%/30-50%/50-70%/&gt;70%).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<sst xmlns="http://schemas.openxmlformats.org/spreadsheetml/2006/main" count="45213" uniqueCount="19963">
  <si>
    <t>TC ID</t>
  </si>
  <si>
    <t>Description</t>
  </si>
  <si>
    <t>Type</t>
  </si>
  <si>
    <t>Related Rule</t>
  </si>
  <si>
    <t>Preconditions (Given)</t>
  </si>
  <si>
    <t>Steps (When)</t>
  </si>
  <si>
    <t>Expected Result (Then)</t>
  </si>
  <si>
    <t>Expected Message</t>
  </si>
  <si>
    <t>Suite/Priority</t>
  </si>
  <si>
    <t>Section</t>
  </si>
  <si>
    <t>N</t>
  </si>
  <si>
    <t>§4</t>
  </si>
  <si>
    <t>Regression · P1</t>
  </si>
  <si>
    <t>P</t>
  </si>
  <si>
    <t>—</t>
  </si>
  <si>
    <t>VR-16</t>
  </si>
  <si>
    <t>VR-24</t>
  </si>
  <si>
    <t>VR-26</t>
  </si>
  <si>
    <t>Regression · P2</t>
  </si>
  <si>
    <t>VR-03</t>
  </si>
  <si>
    <t>VR-02</t>
  </si>
  <si>
    <t>E</t>
  </si>
  <si>
    <t>VR-05</t>
  </si>
  <si>
    <t>VR-21</t>
  </si>
  <si>
    <t>VR-11</t>
  </si>
  <si>
    <t>VR-17</t>
  </si>
  <si>
    <t>VR-14</t>
  </si>
  <si>
    <t>End date before start date</t>
  </si>
  <si>
    <t>VR-01</t>
  </si>
  <si>
    <t>VR-04</t>
  </si>
  <si>
    <t>VR-10</t>
  </si>
  <si>
    <t>VR-23</t>
  </si>
  <si>
    <t>VR-25</t>
  </si>
  <si>
    <t>Audit</t>
  </si>
  <si>
    <t>VR-15</t>
  </si>
  <si>
    <t>VR-18</t>
  </si>
  <si>
    <t>VR-19</t>
  </si>
  <si>
    <t>VR-27</t>
  </si>
  <si>
    <t>Audit trail is immutable</t>
  </si>
  <si>
    <t>AV-01</t>
  </si>
  <si>
    <t>AV-08</t>
  </si>
  <si>
    <t>AV-03</t>
  </si>
  <si>
    <t>AV-14</t>
  </si>
  <si>
    <t>AV-13</t>
  </si>
  <si>
    <t>AV-23</t>
  </si>
  <si>
    <t>AV-16</t>
  </si>
  <si>
    <t>AV-25</t>
  </si>
  <si>
    <t>AV-10</t>
  </si>
  <si>
    <t>Save both.</t>
  </si>
  <si>
    <t>AV-02</t>
  </si>
  <si>
    <t>AV-04</t>
  </si>
  <si>
    <t>AV-05</t>
  </si>
  <si>
    <t>AV-07</t>
  </si>
  <si>
    <t>Conflict resolved.</t>
  </si>
  <si>
    <t>AV-06</t>
  </si>
  <si>
    <t>AV-09</t>
  </si>
  <si>
    <t>AV-11</t>
  </si>
  <si>
    <t>AV-12</t>
  </si>
  <si>
    <t>AV-15</t>
  </si>
  <si>
    <t>VR-07</t>
  </si>
  <si>
    <t>VR-22</t>
  </si>
  <si>
    <t>Drift</t>
  </si>
  <si>
    <t>Sync runs.</t>
  </si>
  <si>
    <t>Risk</t>
  </si>
  <si>
    <t>Risks</t>
  </si>
  <si>
    <t>Dependency</t>
  </si>
  <si>
    <t>Dependencies</t>
  </si>
  <si>
    <t>Approval</t>
  </si>
  <si>
    <t>Approvals</t>
  </si>
  <si>
    <t>CAB approves release</t>
  </si>
  <si>
    <t>CAB rejects release</t>
  </si>
  <si>
    <t>Status reverts to Pending CAB. Re-approval required.</t>
  </si>
  <si>
    <t>Sign-Off</t>
  </si>
  <si>
    <t>Sign-Offs</t>
  </si>
  <si>
    <t>Blocker</t>
  </si>
  <si>
    <t>Blockers</t>
  </si>
  <si>
    <t>Incident</t>
  </si>
  <si>
    <t>Incidents</t>
  </si>
  <si>
    <t>Resolve incident</t>
  </si>
  <si>
    <t>Link incident to release</t>
  </si>
  <si>
    <t>Alerts</t>
  </si>
  <si>
    <t>Alert audit trail</t>
  </si>
  <si>
    <t>Environment Booking</t>
  </si>
  <si>
    <t>Maintenance Windows</t>
  </si>
  <si>
    <t>EDGE-TC-01</t>
  </si>
  <si>
    <t>Concurrent status transitions on same release</t>
  </si>
  <si>
    <t>Concurrency</t>
  </si>
  <si>
    <t>Two users open the same release simultaneously.</t>
  </si>
  <si>
    <t>Both click transition buttons at the same time.</t>
  </si>
  <si>
    <t>Only one transition succeeds. Second user gets stale-data warning.</t>
  </si>
  <si>
    <t>Your copy is out of date — reload before proceeding.</t>
  </si>
  <si>
    <t>Concurrency &amp; Race Conditions</t>
  </si>
  <si>
    <t>EDGE-TC-02</t>
  </si>
  <si>
    <t>Concurrent environment booking</t>
  </si>
  <si>
    <t>Two releases try to book the same env slot simultaneously.</t>
  </si>
  <si>
    <t>Both click Book at the same time.</t>
  </si>
  <si>
    <t>One succeeds. Other gets conflict notification.</t>
  </si>
  <si>
    <t>Environment just booked by another release — select different slot.</t>
  </si>
  <si>
    <t>EDGE-TC-03</t>
  </si>
  <si>
    <t>Concurrent sign-off and cancellation</t>
  </si>
  <si>
    <t>User A signs off while User B cancels the release.</t>
  </si>
  <si>
    <t>Both actions submitted simultaneously.</t>
  </si>
  <si>
    <t>Deterministic outcome. Cancellation takes precedence.</t>
  </si>
  <si>
    <t>Release cancelled — sign-off not applied.</t>
  </si>
  <si>
    <t>EDGE-TC-04</t>
  </si>
  <si>
    <t>Exactly at CAB deadline time</t>
  </si>
  <si>
    <t>BV-Time</t>
  </si>
  <si>
    <t>CAB deadline is 5:00 PM exactly.</t>
  </si>
  <si>
    <t>Submit at exactly 5:00:00 PM.</t>
  </si>
  <si>
    <t>Accepted (at boundary).</t>
  </si>
  <si>
    <t>Boundary Values - Time</t>
  </si>
  <si>
    <t>EDGE-TC-05</t>
  </si>
  <si>
    <t>One second past CAB deadline</t>
  </si>
  <si>
    <t>Submit at 5:00:01 PM.</t>
  </si>
  <si>
    <t>Blocked. Past deadline.</t>
  </si>
  <si>
    <t>CAB submission deadline has passed.</t>
  </si>
  <si>
    <t>EDGE-TC-06</t>
  </si>
  <si>
    <t>Deploy window ends at midnight boundary</t>
  </si>
  <si>
    <t>Deploy window ends at 23:59:59.</t>
  </si>
  <si>
    <t>Complete deployment at 23:59:59.</t>
  </si>
  <si>
    <t>EDGE-TC-07</t>
  </si>
  <si>
    <t>Release spanning year boundary</t>
  </si>
  <si>
    <t>BV-Date</t>
  </si>
  <si>
    <t>Release starts 31 Dec, ends 2 Jan.</t>
  </si>
  <si>
    <t>Save release dates.</t>
  </si>
  <si>
    <t>Accepted. Duration calculated correctly across year.</t>
  </si>
  <si>
    <t>Boundary Values - Date</t>
  </si>
  <si>
    <t>EDGE-TC-08</t>
  </si>
  <si>
    <t>Leap year date handling (29 Feb)</t>
  </si>
  <si>
    <t>Release scheduled for 29 Feb in a leap year.</t>
  </si>
  <si>
    <t>Save release.</t>
  </si>
  <si>
    <t>Accepted. Date stored correctly.</t>
  </si>
  <si>
    <t>EDGE-TC-09</t>
  </si>
  <si>
    <t>Partial save failure recovery</t>
  </si>
  <si>
    <t>Error Recovery</t>
  </si>
  <si>
    <t>Save operation fails mid-way (e.g., network drop).</t>
  </si>
  <si>
    <t>Network restored. User retries save.</t>
  </si>
  <si>
    <t>Previous partial changes rolled back. Clean save allowed.</t>
  </si>
  <si>
    <t>Previous save failed — changes rolled back. Please save again.</t>
  </si>
  <si>
    <t>EDGE-TC-10</t>
  </si>
  <si>
    <t>Sync job failure does not corrupt data</t>
  </si>
  <si>
    <t>External sync job fails during data import.</t>
  </si>
  <si>
    <t>Admin restarts sync.</t>
  </si>
  <si>
    <t>No duplicate records. Sync resumes from checkpoint.</t>
  </si>
  <si>
    <t>Sync resumed from last checkpoint.</t>
  </si>
  <si>
    <t>EDGE-TC-11</t>
  </si>
  <si>
    <t>Recovery from database timeout</t>
  </si>
  <si>
    <t>Database times out during read operation.</t>
  </si>
  <si>
    <t>User refreshes page.</t>
  </si>
  <si>
    <t>Page loads with latest data. No stale cache.</t>
  </si>
  <si>
    <t>EDGE-TC-12</t>
  </si>
  <si>
    <t>Session expired during long form edit</t>
  </si>
  <si>
    <t>Security</t>
  </si>
  <si>
    <t>User editing a release for 2+ hours. Session expires.</t>
  </si>
  <si>
    <t>User clicks Save.</t>
  </si>
  <si>
    <t>Redirected to login. Changes preserved in draft.</t>
  </si>
  <si>
    <t>Session expired — log in to continue. Draft saved.</t>
  </si>
  <si>
    <t>Security Edge Cases</t>
  </si>
  <si>
    <t>EDGE-TC-13</t>
  </si>
  <si>
    <t>Permission revoked while viewing</t>
  </si>
  <si>
    <t>User has read access. Admin revokes access.</t>
  </si>
  <si>
    <t>User tries to navigate within the release.</t>
  </si>
  <si>
    <t>Access denied on next action. Graceful error.</t>
  </si>
  <si>
    <t>Your access to this release has been revoked.</t>
  </si>
  <si>
    <t>EDGE-TC-14</t>
  </si>
  <si>
    <t>SQL injection in text fields</t>
  </si>
  <si>
    <t>Release name field.</t>
  </si>
  <si>
    <t>Enter malicious SQL: "'; DROP TABLE releases;--"</t>
  </si>
  <si>
    <t>Input sanitised. No SQL execution.</t>
  </si>
  <si>
    <t>EDGE-TC-15</t>
  </si>
  <si>
    <t>XSS injection in description field</t>
  </si>
  <si>
    <t>Release description field.</t>
  </si>
  <si>
    <t>Enter: "&lt;script&gt;alert('XSS')&lt;/script&gt;"</t>
  </si>
  <si>
    <t>Script tags escaped. No execution.</t>
  </si>
  <si>
    <t>EDGE-TC-16</t>
  </si>
  <si>
    <t>Orphan blocker after release deletion</t>
  </si>
  <si>
    <t>Data Integrity</t>
  </si>
  <si>
    <t>A release with linked blockers is deleted.</t>
  </si>
  <si>
    <t>Admin deletes the release.</t>
  </si>
  <si>
    <t>Blockers archived or deleted. No orphan records.</t>
  </si>
  <si>
    <t>(audit) Linked blockers archived on release deletion.</t>
  </si>
  <si>
    <t>EDGE-TC-17</t>
  </si>
  <si>
    <t>Circular reference prevention (3+ releases)</t>
  </si>
  <si>
    <t>R1 depends on R2, R2 depends on R3.</t>
  </si>
  <si>
    <t>Try to create R3 depends on R1.</t>
  </si>
  <si>
    <t>Blocked. Circular chain detected.</t>
  </si>
  <si>
    <t>Circular dependency chain detected: R3 → R1 → R2 → R3.</t>
  </si>
  <si>
    <t>EDGE-TC-18</t>
  </si>
  <si>
    <t>Referential integrity on app deletion</t>
  </si>
  <si>
    <t>App A has in-flight releases.</t>
  </si>
  <si>
    <t>Admin tries to retire App A.</t>
  </si>
  <si>
    <t>Blocked until releases resolved.</t>
  </si>
  <si>
    <t>Cannot retire app with in-flight releases.</t>
  </si>
  <si>
    <t>EDGE-TC-19</t>
  </si>
  <si>
    <t>Large release with 100+ blockers</t>
  </si>
  <si>
    <t>Performance</t>
  </si>
  <si>
    <t>A release with 100 linked blockers.</t>
  </si>
  <si>
    <t>Load the release details page.</t>
  </si>
  <si>
    <t>Page loads in &lt;3 seconds. Blockers paginated.</t>
  </si>
  <si>
    <t>Performance Edge Cases</t>
  </si>
  <si>
    <t>EDGE-TC-20</t>
  </si>
  <si>
    <t>Bulk status transition (10+ releases)</t>
  </si>
  <si>
    <t>10 releases selected for bulk status change.</t>
  </si>
  <si>
    <t>Apply bulk transition.</t>
  </si>
  <si>
    <t>All transitions processed. Audit logged for each.</t>
  </si>
  <si>
    <t>(audit) Bulk transition applied to 10 releases.</t>
  </si>
  <si>
    <t>EDGE-TC-21</t>
  </si>
  <si>
    <t>Deploy scheduled across timezone boundary</t>
  </si>
  <si>
    <t>Timezone</t>
  </si>
  <si>
    <t>Release in Sydney (UTC+10), RM in London (UTC+0).</t>
  </si>
  <si>
    <t>RM sets deploy time as 10 PM London time.</t>
  </si>
  <si>
    <t>Stored as UTC. Displayed correctly in each timezone.</t>
  </si>
  <si>
    <t>Timezone Edge Cases</t>
  </si>
  <si>
    <t>EDGE-TC-22</t>
  </si>
  <si>
    <t>Daylight saving time transition</t>
  </si>
  <si>
    <t>Deploy date is during DST transition.</t>
  </si>
  <si>
    <t>Set deploy for 2 AM on DST change day.</t>
  </si>
  <si>
    <t>System handles non-existent/duplicate hour correctly.</t>
  </si>
  <si>
    <t>(warn) Deploy time falls during DST transition — verify.</t>
  </si>
  <si>
    <t>EDGE-TC-23</t>
  </si>
  <si>
    <t>Notification to deleted user</t>
  </si>
  <si>
    <t>Notifications</t>
  </si>
  <si>
    <t>A release owner's account is deleted.</t>
  </si>
  <si>
    <t>System tries to notify owner.</t>
  </si>
  <si>
    <t>Notification fails gracefully. Escalates to backup.</t>
  </si>
  <si>
    <t>(warn) Owner notification failed — escalating to backup.</t>
  </si>
  <si>
    <t>Notification Edge Cases</t>
  </si>
  <si>
    <t>EDGE-TC-24</t>
  </si>
  <si>
    <t>Notification flood prevention</t>
  </si>
  <si>
    <t>A release triggers 50+ notifications in 1 minute.</t>
  </si>
  <si>
    <t>Actions keep triggering notifications.</t>
  </si>
  <si>
    <t>Notifications batched/throttled. No spam.</t>
  </si>
  <si>
    <t>(info) Notifications batched to prevent overload.</t>
  </si>
  <si>
    <t>EDGE-TC-25</t>
  </si>
  <si>
    <t>Restore archived release</t>
  </si>
  <si>
    <t>Archive</t>
  </si>
  <si>
    <t>A Closed release archived for 1+ year.</t>
  </si>
  <si>
    <t>Admin restores the release.</t>
  </si>
  <si>
    <t>Release restored with full history. Status = Closed (read-only).</t>
  </si>
  <si>
    <t>(audit) Archived release restored.</t>
  </si>
  <si>
    <t>Archive &amp; Restore</t>
  </si>
  <si>
    <t>EDGE-TC-26</t>
  </si>
  <si>
    <t>Search includes archived releases</t>
  </si>
  <si>
    <t>User searches for an old release name.</t>
  </si>
  <si>
    <t>Search executed.</t>
  </si>
  <si>
    <t>Archived releases shown with [Archived] label.</t>
  </si>
  <si>
    <t>EDGE-TC-27</t>
  </si>
  <si>
    <t>Release name with special characters</t>
  </si>
  <si>
    <t>Special Chars</t>
  </si>
  <si>
    <t>Release name contains Unicode: 日本語リリース</t>
  </si>
  <si>
    <t>Name stored and displayed correctly.</t>
  </si>
  <si>
    <t>Special Characters</t>
  </si>
  <si>
    <t>EDGE-TC-28</t>
  </si>
  <si>
    <t>Release name with emoji</t>
  </si>
  <si>
    <t>Release name contains emoji: 🚀 Launch v2.0</t>
  </si>
  <si>
    <t>Regression · P3</t>
  </si>
  <si>
    <t>EDGE-TC-29</t>
  </si>
  <si>
    <t>API rate limiting</t>
  </si>
  <si>
    <t>API</t>
  </si>
  <si>
    <t>Client makes 1000+ API calls in 1 minute.</t>
  </si>
  <si>
    <t>Rapid API requests.</t>
  </si>
  <si>
    <t>Rate limited after threshold. 429 response.</t>
  </si>
  <si>
    <t>Rate limit exceeded. Try again in {N} seconds.</t>
  </si>
  <si>
    <t>API Edge Cases</t>
  </si>
  <si>
    <t>EDGE-TC-30</t>
  </si>
  <si>
    <t>API backward compatibility</t>
  </si>
  <si>
    <t>Client uses deprecated API version.</t>
  </si>
  <si>
    <t>Make API call with old version.</t>
  </si>
  <si>
    <t>Request succeeds with deprecation warning.</t>
  </si>
  <si>
    <t>(warn) API version deprecated — upgrade by {date}.</t>
  </si>
  <si>
    <t>Rule ID</t>
  </si>
  <si>
    <t>Rule Name</t>
  </si>
  <si>
    <t>Description / Condition</t>
  </si>
  <si>
    <t>Trigger / When</t>
  </si>
  <si>
    <t>Action / Result</t>
  </si>
  <si>
    <t>Severity</t>
  </si>
  <si>
    <t>SECTION 1: STATUS TRANSITION RULES (§4)</t>
  </si>
  <si>
    <t>§4-01</t>
  </si>
  <si>
    <t>Draft Allowed Transitions</t>
  </si>
  <si>
    <t>From Draft, the release may ONLY transition to: Planning OR Cancelled. No other transitions are permitted.</t>
  </si>
  <si>
    <t>User attempts status change from Draft</t>
  </si>
  <si>
    <t>BLOCK</t>
  </si>
  <si>
    <t>§4-02</t>
  </si>
  <si>
    <t>Planning Allowed Transitions</t>
  </si>
  <si>
    <t>From Planning, the release may transition to: Testing, Blocked, OR Cancelled.</t>
  </si>
  <si>
    <t>User attempts status change from Planning</t>
  </si>
  <si>
    <t>§4-03</t>
  </si>
  <si>
    <t>Testing Allowed Transitions</t>
  </si>
  <si>
    <t>From Testing, the release may transition to: UAT, Blocked, OR Cancelled. CANNOT skip directly to Deploying.</t>
  </si>
  <si>
    <t>User attempts status change from Testing</t>
  </si>
  <si>
    <t>§4-04</t>
  </si>
  <si>
    <t>UAT Allowed Transitions</t>
  </si>
  <si>
    <t>User attempts status change from UAT</t>
  </si>
  <si>
    <t>§4-05</t>
  </si>
  <si>
    <t>Pending CAB Allowed Transitions</t>
  </si>
  <si>
    <t>CAB decision or user action</t>
  </si>
  <si>
    <t>§4-06</t>
  </si>
  <si>
    <t>§4-07</t>
  </si>
  <si>
    <t>Ready Allowed Transitions</t>
  </si>
  <si>
    <t>From Ready, the release may transition to: Deploying, Blocked, OR Cancelled. CANNOT skip directly to Deployed.</t>
  </si>
  <si>
    <t>User attempts status change from Ready</t>
  </si>
  <si>
    <t>§4-08</t>
  </si>
  <si>
    <t>Deploying Allowed Transitions</t>
  </si>
  <si>
    <t>From Deploying, the release may transition to: Deployed, Rolled Back, OR Blocked.</t>
  </si>
  <si>
    <t>Deployment outcome</t>
  </si>
  <si>
    <t>§4-09</t>
  </si>
  <si>
    <t>Deployed Allowed Transitions</t>
  </si>
  <si>
    <t>From Deployed, the release may transition to: Closed, Rolled Back.</t>
  </si>
  <si>
    <t>Post-deployment action</t>
  </si>
  <si>
    <t>§4-10</t>
  </si>
  <si>
    <t>Rolled Back Rework Path</t>
  </si>
  <si>
    <t>From Rolled Back, the release re-enters Testing for rework. Requires root cause documentation.</t>
  </si>
  <si>
    <t>User initiates rework</t>
  </si>
  <si>
    <t>§4-11</t>
  </si>
  <si>
    <t>Deferred Reactivation</t>
  </si>
  <si>
    <t>From Deferred, the release may be reactivated to Pending CAB or Cancelled.</t>
  </si>
  <si>
    <t>User reactivates deferred release</t>
  </si>
  <si>
    <t>§4-12</t>
  </si>
  <si>
    <t>Rejected Rework Path</t>
  </si>
  <si>
    <t>From Rejected, the release must return to Planning for rework. All gate fields are re-opened for editing.</t>
  </si>
  <si>
    <t>§4-13</t>
  </si>
  <si>
    <t>Blocked Resolution</t>
  </si>
  <si>
    <t>From Blocked, the release may return to its previous status OR transition to Cancelled.</t>
  </si>
  <si>
    <t>Blocker resolved or cancelled</t>
  </si>
  <si>
    <t>§4-14</t>
  </si>
  <si>
    <t>Closed Terminal State</t>
  </si>
  <si>
    <t>Closed is a terminal state. No further transitions are allowed. Record becomes immutable.</t>
  </si>
  <si>
    <t>Any attempted transition</t>
  </si>
  <si>
    <t>Block all transitions; record is read-only</t>
  </si>
  <si>
    <t>§4-15</t>
  </si>
  <si>
    <t>Cancelled Terminal State</t>
  </si>
  <si>
    <t>Cancelled is a terminal state. No further transitions are allowed.</t>
  </si>
  <si>
    <t>Block all transitions</t>
  </si>
  <si>
    <t>§4-16</t>
  </si>
  <si>
    <t>No Stage Skipping</t>
  </si>
  <si>
    <t>SECTION 2: VALIDATION RULES (VR) - User-Triggered Validations</t>
  </si>
  <si>
    <t>End Date After Start Date</t>
  </si>
  <si>
    <t>End Date MUST be on or after Start Date. If End Date &lt; Start Date, block save with inline error.</t>
  </si>
  <si>
    <t>User saves release with dates</t>
  </si>
  <si>
    <t>Block save; show: 'End Date cannot be before Start Date'</t>
  </si>
  <si>
    <t>CAB Lead Time by Size</t>
  </si>
  <si>
    <t>User sets CAB Date</t>
  </si>
  <si>
    <t>CAB Before Go-Live</t>
  </si>
  <si>
    <t>Block save; show: 'CAB must be before Go-Live'</t>
  </si>
  <si>
    <t>Back-Dated Start Date</t>
  </si>
  <si>
    <t>If Start Date is in the past, display WARNING. Save allowed only after user enters a reason. Reason logged to audit.</t>
  </si>
  <si>
    <t>User sets past Start Date</t>
  </si>
  <si>
    <t>Warn; require reason to proceed</t>
  </si>
  <si>
    <t>WARN</t>
  </si>
  <si>
    <t>Deploy in Freeze Window</t>
  </si>
  <si>
    <t>User sets Deploy Date in freeze</t>
  </si>
  <si>
    <t>Block unless exemption; log approver if exemption used</t>
  </si>
  <si>
    <t>VR-06</t>
  </si>
  <si>
    <t>Go-Live Before End Date</t>
  </si>
  <si>
    <t>Go-Live Date MUST be on or before End Date.</t>
  </si>
  <si>
    <t>User sets Go-Live Date</t>
  </si>
  <si>
    <t>Block if Go-Live &gt; End Date</t>
  </si>
  <si>
    <t>Deploy Date in Release Window</t>
  </si>
  <si>
    <t>Deploy Date must fall within Start Date to End Date range.</t>
  </si>
  <si>
    <t>User sets Deploy Date</t>
  </si>
  <si>
    <t>Block if outside release window</t>
  </si>
  <si>
    <t>Owner On Leave During Release</t>
  </si>
  <si>
    <t>If assigned Release Owner is on approved leave during the release window (Start to End), display WARNING. Suggest backup owner.</t>
  </si>
  <si>
    <t>User assigns owner</t>
  </si>
  <si>
    <t>Warn; suggest backup owner</t>
  </si>
  <si>
    <t>Approver On Leave at CAB</t>
  </si>
  <si>
    <t>User sets CAB Date or approver</t>
  </si>
  <si>
    <t>Warn; suggest delegate approver</t>
  </si>
  <si>
    <t>VR-12</t>
  </si>
  <si>
    <t>Environment Owner On Leave</t>
  </si>
  <si>
    <t>User books environment</t>
  </si>
  <si>
    <t>Warn; suggest escalation contact</t>
  </si>
  <si>
    <t>VR-13</t>
  </si>
  <si>
    <t>Incident Owner Unassigned</t>
  </si>
  <si>
    <t>If an incident has Severity = Critical and no owner assigned, escalate immediately.</t>
  </si>
  <si>
    <t>Incident saved without owner</t>
  </si>
  <si>
    <t>Auto-escalate to default owner</t>
  </si>
  <si>
    <t>Sign-Off Gate Requirements</t>
  </si>
  <si>
    <t>User moves to Pending CAB</t>
  </si>
  <si>
    <t>Blocker Before Ready</t>
  </si>
  <si>
    <t>If ANY active blocker exists (Status ≠ Resolved/Closed), transition to Ready is BLOCKED.</t>
  </si>
  <si>
    <t>User moves to Ready</t>
  </si>
  <si>
    <t>Ready Gate Check</t>
  </si>
  <si>
    <t>Readiness Threshold Check</t>
  </si>
  <si>
    <t>System T-minus check</t>
  </si>
  <si>
    <t>Warn; surface gap list to RM</t>
  </si>
  <si>
    <t>Dependency Completion</t>
  </si>
  <si>
    <t>User moves to Deploying</t>
  </si>
  <si>
    <t>Environment Availability</t>
  </si>
  <si>
    <t>Cannot transition to Deploying unless a booked environment slot exists for Deploy Date.</t>
  </si>
  <si>
    <t>Block; require environment booking</t>
  </si>
  <si>
    <t>VR-20</t>
  </si>
  <si>
    <t>Conflict Window Check</t>
  </si>
  <si>
    <t>If the release Deploy Date overlaps with a conflicting release's deploy window (same app or environment), display WARNING.</t>
  </si>
  <si>
    <t>Warn; show conflicting release(s)</t>
  </si>
  <si>
    <t>User edits scope-affecting field</t>
  </si>
  <si>
    <t>Auto-revert status; notify CAB</t>
  </si>
  <si>
    <t>Scope Change Lock After Deploying</t>
  </si>
  <si>
    <t>Once Status = Deploying, scope fields (Priority, Size, Scope) become read-only.</t>
  </si>
  <si>
    <t>User attempts edit after Deploying</t>
  </si>
  <si>
    <t>Block field edit</t>
  </si>
  <si>
    <t>Duplicate Release Name</t>
  </si>
  <si>
    <t>Release names must be unique within the same Application. Duplicate names trigger WARNING with option to link or rename.</t>
  </si>
  <si>
    <t>User saves duplicate name</t>
  </si>
  <si>
    <t>Warn; prompt to rename or link</t>
  </si>
  <si>
    <t>CAB Submission Completeness</t>
  </si>
  <si>
    <t>Concurrent edit detected</t>
  </si>
  <si>
    <t>Block save; show diff; require reload</t>
  </si>
  <si>
    <t>Dress Rehearsal for Large Releases</t>
  </si>
  <si>
    <t>User moves Large release to Ready</t>
  </si>
  <si>
    <t>Warn; recommend completing rehearsal</t>
  </si>
  <si>
    <t>Risk Mitigation Required</t>
  </si>
  <si>
    <t>SECTION 3: AUTO-VALIDATION RULES (AV) - Background / Scheduled System Checks</t>
  </si>
  <si>
    <t>Open Blocker Detection</t>
  </si>
  <si>
    <t>Nightly job scans releases in Testing/UAT. If ANY linked blocker has Status ≠ Resolved/Closed, auto-set Release Status = Blocked.</t>
  </si>
  <si>
    <t>Nightly batch job</t>
  </si>
  <si>
    <t>Auto-set status to Blocked; notify RM</t>
  </si>
  <si>
    <t>AUTO</t>
  </si>
  <si>
    <t>Unresolved Risk Escalation</t>
  </si>
  <si>
    <t>Send escalation alert</t>
  </si>
  <si>
    <t>Stale Blocker Alert</t>
  </si>
  <si>
    <t>If a blocker has been in 'In Progress' status for &gt;5 working days, send reminder to blocker owner.</t>
  </si>
  <si>
    <t>Daily check</t>
  </si>
  <si>
    <t>Send reminder notification</t>
  </si>
  <si>
    <t>Dependency Status Sync</t>
  </si>
  <si>
    <t>Dependency release status change</t>
  </si>
  <si>
    <t>Auto-update dependent release</t>
  </si>
  <si>
    <t>Conflict Auto-Detection</t>
  </si>
  <si>
    <t>When Deploy Date is set, scan for overlapping releases on same app/environment. Auto-create Conflict record if overlap found.</t>
  </si>
  <si>
    <t>Deploy Date saved</t>
  </si>
  <si>
    <t>Auto-create Conflict record</t>
  </si>
  <si>
    <t>Environment Double-Booking Detection</t>
  </si>
  <si>
    <t>Environment booking saved</t>
  </si>
  <si>
    <t>Block if overlap; show conflict</t>
  </si>
  <si>
    <t>Environment Auto-Release</t>
  </si>
  <si>
    <t>If environment booking expires (End Time passed) and release status is not Deploying, auto-release the slot.</t>
  </si>
  <si>
    <t>Hourly job</t>
  </si>
  <si>
    <t>Auto-release slot; notify RM</t>
  </si>
  <si>
    <t>Maintenance Window Alert</t>
  </si>
  <si>
    <t>T-minus check</t>
  </si>
  <si>
    <t>Send warning notifications</t>
  </si>
  <si>
    <t>CAB Reminder</t>
  </si>
  <si>
    <t>T-2 days before CAB Date, if release is not yet in Pending CAB status, send reminder to Release Owner.</t>
  </si>
  <si>
    <t>Go-Live Reminder</t>
  </si>
  <si>
    <t>T-1 day before Go-Live Date, send checklist reminder to Release Owner and key stakeholders.</t>
  </si>
  <si>
    <t>Send checklist reminder</t>
  </si>
  <si>
    <t>Leave Calendar Sync</t>
  </si>
  <si>
    <t>Nightly sync job</t>
  </si>
  <si>
    <t>Update leave records</t>
  </si>
  <si>
    <t>Config Drift Detection</t>
  </si>
  <si>
    <t>Daily scan compares actual deployed config vs. expected baseline. If delta &gt; threshold, create Drift record.</t>
  </si>
  <si>
    <t>Daily scan job</t>
  </si>
  <si>
    <t>Auto-create Drift record; notify RM</t>
  </si>
  <si>
    <t>Unauthorized Change Alert</t>
  </si>
  <si>
    <t>If config change detected outside of an active Deploying window, flag as unauthorized and alert security team.</t>
  </si>
  <si>
    <t>Real-time monitoring</t>
  </si>
  <si>
    <t>Create alert; notify security</t>
  </si>
  <si>
    <t>Compliance Snapshot</t>
  </si>
  <si>
    <t>Weekly snapshot of all release configurations for audit trail. Stored in compliance archive.</t>
  </si>
  <si>
    <t>Weekly job</t>
  </si>
  <si>
    <t>Archive snapshot</t>
  </si>
  <si>
    <t>Freeze Window Enforcement</t>
  </si>
  <si>
    <t>Deployment attempt</t>
  </si>
  <si>
    <t>Block; check exemption status</t>
  </si>
  <si>
    <t>AV-17</t>
  </si>
  <si>
    <t>External System Sync</t>
  </si>
  <si>
    <t>Full-duplex sync with external systems (Jira, ServiceNow). Sync runs every 15 minutes. Echo prevention enabled.</t>
  </si>
  <si>
    <t>Scheduled sync</t>
  </si>
  <si>
    <t>Sync records; prevent echo loops</t>
  </si>
  <si>
    <t>AV-18</t>
  </si>
  <si>
    <t>Sync Failure Retry</t>
  </si>
  <si>
    <t>Sync failure detected</t>
  </si>
  <si>
    <t>Retry with backoff; escalate if persistent</t>
  </si>
  <si>
    <t>AV-19</t>
  </si>
  <si>
    <t>Release Health Calculation</t>
  </si>
  <si>
    <t>Field change on release/linked entities</t>
  </si>
  <si>
    <t>Recalculate health indicator</t>
  </si>
  <si>
    <t>AV-20</t>
  </si>
  <si>
    <t>Readiness Percentage Update</t>
  </si>
  <si>
    <t>Recalculate Readiness % whenever: sign-off changes, blocker resolved, dependency met, or checklist updated.</t>
  </si>
  <si>
    <t>Related field change</t>
  </si>
  <si>
    <t>Recalculate readiness %</t>
  </si>
  <si>
    <t>AV-21</t>
  </si>
  <si>
    <t>Stale Release Alert</t>
  </si>
  <si>
    <t>If release has no activity for 14 days while in active status (Planning-Ready), alert Release Owner.</t>
  </si>
  <si>
    <t>Send inactivity alert</t>
  </si>
  <si>
    <t>AV-22</t>
  </si>
  <si>
    <t>Approval Expiry</t>
  </si>
  <si>
    <t>Auto-revert status; notify RM</t>
  </si>
  <si>
    <t>Cascade Blocker Resolution</t>
  </si>
  <si>
    <t>When a blocker is resolved, check if ALL blockers for the release are resolved. If yes, auto-transition from Blocked to previous status.</t>
  </si>
  <si>
    <t>Blocker status change</t>
  </si>
  <si>
    <t>Evaluate all blockers; update release status</t>
  </si>
  <si>
    <t>AV-24</t>
  </si>
  <si>
    <t>Audit Log Maintenance</t>
  </si>
  <si>
    <t>Retain detailed audit logs for 2 years. After retention period, archive to cold storage.</t>
  </si>
  <si>
    <t>Nightly archive job</t>
  </si>
  <si>
    <t>Archive old audit records</t>
  </si>
  <si>
    <t>Notification Throttling</t>
  </si>
  <si>
    <t>If a release triggers &gt;10 notifications in 1 minute, batch remaining notifications to prevent spam.</t>
  </si>
  <si>
    <t>Notification trigger</t>
  </si>
  <si>
    <t>Batch notifications; send summary</t>
  </si>
  <si>
    <t>SECTION 4: FIELD CONSTRAINT RULES (§1) - Input Validation &amp; Boundaries</t>
  </si>
  <si>
    <t>§1-01</t>
  </si>
  <si>
    <t>Release Name Length</t>
  </si>
  <si>
    <t>Release Name must be 3–120 characters. Block save if outside this range.</t>
  </si>
  <si>
    <t>User enters Release Name</t>
  </si>
  <si>
    <t>Block if &lt;3 or &gt;120 characters</t>
  </si>
  <si>
    <t>§1-02</t>
  </si>
  <si>
    <t>Release Name Required</t>
  </si>
  <si>
    <t>Release Name is a required field. Cannot be blank or whitespace-only.</t>
  </si>
  <si>
    <t>User saves release</t>
  </si>
  <si>
    <t>Block if blank</t>
  </si>
  <si>
    <t>§1-03</t>
  </si>
  <si>
    <t>Application Required</t>
  </si>
  <si>
    <t>Application is a required field for all releases.</t>
  </si>
  <si>
    <t>Block if no application selected</t>
  </si>
  <si>
    <t>§1-04</t>
  </si>
  <si>
    <t>Release Size Required</t>
  </si>
  <si>
    <t>User moves to Planning</t>
  </si>
  <si>
    <t>Block if size not set</t>
  </si>
  <si>
    <t>§1-05</t>
  </si>
  <si>
    <t>Priority Required</t>
  </si>
  <si>
    <t>Priority (P1/P2/P3/P4) is required before transitioning to Testing.</t>
  </si>
  <si>
    <t>User moves to Testing</t>
  </si>
  <si>
    <t>Block if priority not set</t>
  </si>
  <si>
    <t>§1-06</t>
  </si>
  <si>
    <t>Owner Required</t>
  </si>
  <si>
    <t>Release Owner is required before transitioning to Planning.</t>
  </si>
  <si>
    <t>Block if owner not set</t>
  </si>
  <si>
    <t>§1-07</t>
  </si>
  <si>
    <t>Go-Live Date Required</t>
  </si>
  <si>
    <t>Go-Live Date is required before transitioning to Pending CAB.</t>
  </si>
  <si>
    <t>Block if Go-Live Date not set</t>
  </si>
  <si>
    <t>§1-08</t>
  </si>
  <si>
    <t>Environment Slot Duration</t>
  </si>
  <si>
    <t>Block if outside range</t>
  </si>
  <si>
    <t>§1-09</t>
  </si>
  <si>
    <t>Blocker Description Required</t>
  </si>
  <si>
    <t>Blocker Description is required. Must be at least 10 characters.</t>
  </si>
  <si>
    <t>User creates blocker</t>
  </si>
  <si>
    <t>Block if &lt;10 characters</t>
  </si>
  <si>
    <t>§1-10</t>
  </si>
  <si>
    <t>Risk Probability Range</t>
  </si>
  <si>
    <t>Risk Probability must be 1–5 (integer). Block if outside range.</t>
  </si>
  <si>
    <t>User sets risk probability</t>
  </si>
  <si>
    <t>Block if not 1–5</t>
  </si>
  <si>
    <t>§1-11</t>
  </si>
  <si>
    <t>Risk Impact Range</t>
  </si>
  <si>
    <t>Risk Impact must be 1–5 (integer). Block if outside range.</t>
  </si>
  <si>
    <t>User sets risk impact</t>
  </si>
  <si>
    <t>Block if format invalid</t>
  </si>
  <si>
    <t>§1-13</t>
  </si>
  <si>
    <t>Email Format Validation</t>
  </si>
  <si>
    <t>User enters email</t>
  </si>
  <si>
    <t>§1-14</t>
  </si>
  <si>
    <t>Date Format Validation</t>
  </si>
  <si>
    <t>User enters date</t>
  </si>
  <si>
    <t>Block if invalid date</t>
  </si>
  <si>
    <t>§1-15</t>
  </si>
  <si>
    <t>Unicode Support</t>
  </si>
  <si>
    <t>All text fields support Unicode characters including CJK and emoji.</t>
  </si>
  <si>
    <t>User enters text</t>
  </si>
  <si>
    <t>Accept valid Unicode</t>
  </si>
  <si>
    <t>ALLOW</t>
  </si>
  <si>
    <t>SECTION 5: READ-ONLY FIELD RULES (§2) - Computed &amp; System-Managed Fields</t>
  </si>
  <si>
    <t>§2-01</t>
  </si>
  <si>
    <t>Release Health</t>
  </si>
  <si>
    <t>Release Health is computed from: status, gates, conflicts, blockers, risks. Cannot be manually edited.</t>
  </si>
  <si>
    <t>User attempts to edit</t>
  </si>
  <si>
    <t>Block edit; display computed value</t>
  </si>
  <si>
    <t>§2-02</t>
  </si>
  <si>
    <t>Readiness Percentage</t>
  </si>
  <si>
    <t>§2-03</t>
  </si>
  <si>
    <t>Duration Days</t>
  </si>
  <si>
    <t>Duration is calculated as (End Date - Start Date + 1). Cannot be manually edited.</t>
  </si>
  <si>
    <t>§2-04</t>
  </si>
  <si>
    <t>Created Date</t>
  </si>
  <si>
    <t>Created Date is set by system when record is created. Cannot be edited.</t>
  </si>
  <si>
    <t>Block edit</t>
  </si>
  <si>
    <t>§2-05</t>
  </si>
  <si>
    <t>Created By</t>
  </si>
  <si>
    <t>Created By is set by system to current user when record is created. Cannot be edited.</t>
  </si>
  <si>
    <t>§2-06</t>
  </si>
  <si>
    <t>Last Modified Date</t>
  </si>
  <si>
    <t>Last Modified Date is auto-updated on every save. Cannot be manually edited.</t>
  </si>
  <si>
    <t>Block edit; auto-update on save</t>
  </si>
  <si>
    <t>§2-07</t>
  </si>
  <si>
    <t>Last Modified By</t>
  </si>
  <si>
    <t>Last Modified By is auto-updated to current user on every save. Cannot be manually edited.</t>
  </si>
  <si>
    <t>§2-08</t>
  </si>
  <si>
    <t>Audit Trail</t>
  </si>
  <si>
    <t>Audit Trail is append-only. Individual entries cannot be edited or deleted.</t>
  </si>
  <si>
    <t>Block edit; append-only</t>
  </si>
  <si>
    <t>§2-09</t>
  </si>
  <si>
    <t>Blocker Count</t>
  </si>
  <si>
    <t>Blocker Count is computed from linked blocker records. Cannot be manually edited.</t>
  </si>
  <si>
    <t>§2-10</t>
  </si>
  <si>
    <t>Conflict Count</t>
  </si>
  <si>
    <t>Conflict Count is computed from linked conflict records. Cannot be manually edited.</t>
  </si>
  <si>
    <t>§2-11</t>
  </si>
  <si>
    <t>Risk Score</t>
  </si>
  <si>
    <t>§2-12</t>
  </si>
  <si>
    <t>Sync Status</t>
  </si>
  <si>
    <t>Sync Status reflects external system sync state. Managed by system only.</t>
  </si>
  <si>
    <t>SECTION 6: FIELD LOCK RULES (§3) - Status-Based Field Locking</t>
  </si>
  <si>
    <t>§3-01</t>
  </si>
  <si>
    <t>Closed Record Immutable</t>
  </si>
  <si>
    <t>When Status = Closed, ALL fields become read-only. Record is completely immutable.</t>
  </si>
  <si>
    <t>User attempts any edit</t>
  </si>
  <si>
    <t>Block all edits</t>
  </si>
  <si>
    <t>§3-02</t>
  </si>
  <si>
    <t>Cancelled Record Immutable</t>
  </si>
  <si>
    <t>When Status = Cancelled, ALL fields become read-only. Record is completely immutable.</t>
  </si>
  <si>
    <t>§3-03</t>
  </si>
  <si>
    <t>Schedule Lock at Deploying</t>
  </si>
  <si>
    <t>When Status = Deploying, date fields (Start, End, Go-Live, Deploy) become read-only.</t>
  </si>
  <si>
    <t>User attempts date edit</t>
  </si>
  <si>
    <t>Block date field edits</t>
  </si>
  <si>
    <t>§3-04</t>
  </si>
  <si>
    <t>Scope Lock at Deploying</t>
  </si>
  <si>
    <t>When Status = Deploying, scope fields (Size, Priority, Scope) become read-only.</t>
  </si>
  <si>
    <t>User attempts scope edit</t>
  </si>
  <si>
    <t>Block scope field edits</t>
  </si>
  <si>
    <t>§3-05</t>
  </si>
  <si>
    <t>Sign-Off Lock After Submitted</t>
  </si>
  <si>
    <t>Sign-off fields lock once Status ≥ Pending CAB (cannot be changed without reverting status).</t>
  </si>
  <si>
    <t>User attempts sign-off edit</t>
  </si>
  <si>
    <t>Block; require status revert to change</t>
  </si>
  <si>
    <t>§3-06</t>
  </si>
  <si>
    <t>Environment Lock After Deploying</t>
  </si>
  <si>
    <t>Environment assignment cannot be changed once Status = Deploying.</t>
  </si>
  <si>
    <t>User attempts env change</t>
  </si>
  <si>
    <t>Block environment change</t>
  </si>
  <si>
    <t>§3-07</t>
  </si>
  <si>
    <t>Rollback Lock After Deployed</t>
  </si>
  <si>
    <t>Rollback Plan cannot be edited after Status = Deployed. New rollback requires new release.</t>
  </si>
  <si>
    <t>User attempts rollback edit</t>
  </si>
  <si>
    <t>Block edit after Deployed</t>
  </si>
  <si>
    <t>§3-08</t>
  </si>
  <si>
    <t>Rejected Field Unlock</t>
  </si>
  <si>
    <t>Status changes to Rejected</t>
  </si>
  <si>
    <t>Unlock gate fields for rework</t>
  </si>
  <si>
    <t>§3-09</t>
  </si>
  <si>
    <t>Blocker Resolution Lock</t>
  </si>
  <si>
    <t>Resolved blockers become read-only. To reopen, create new linked blocker.</t>
  </si>
  <si>
    <t>User attempts to edit resolved blocker</t>
  </si>
  <si>
    <t>Block edit; suggest new blocker</t>
  </si>
  <si>
    <t>§3-10</t>
  </si>
  <si>
    <t>Approval Lock After Granted</t>
  </si>
  <si>
    <t>Approval records become read-only once granted. Cannot be revoked, only superseded.</t>
  </si>
  <si>
    <t>User attempts to edit approval</t>
  </si>
  <si>
    <t>Block edit; allow new approval</t>
  </si>
  <si>
    <t>SECTION 7: ROLE &amp; PERMISSION RULES - Access Control</t>
  </si>
  <si>
    <t>ROLE-01</t>
  </si>
  <si>
    <t>Gate Owner Exclusive Sign-Off</t>
  </si>
  <si>
    <t>Only the designated gate owner may record their sign-off (Dev Sign-Off, Test Sign-Off, etc.).</t>
  </si>
  <si>
    <t>Non-owner attempts sign-off</t>
  </si>
  <si>
    <t>Block; show 'Only the gate owner may record this sign-off'</t>
  </si>
  <si>
    <t>ROLE-02</t>
  </si>
  <si>
    <t>CAB Members Only</t>
  </si>
  <si>
    <t>Only users with CAB Member role may approve/reject/defer releases at CAB stage.</t>
  </si>
  <si>
    <t>Non-CAB user attempts CAB action</t>
  </si>
  <si>
    <t>Block CAB actions</t>
  </si>
  <si>
    <t>ROLE-03</t>
  </si>
  <si>
    <t>Environment Owner Booking Control</t>
  </si>
  <si>
    <t>Environment owners can override/cancel bookings. Others can only request.</t>
  </si>
  <si>
    <t>User attempts booking override</t>
  </si>
  <si>
    <t>Block if not env owner; allow request</t>
  </si>
  <si>
    <t>ROLE-04</t>
  </si>
  <si>
    <t>Admin Cascade Delete</t>
  </si>
  <si>
    <t>Only Admin users may delete releases with linked records. Requires confirmation.</t>
  </si>
  <si>
    <t>Non-admin attempts cascade delete</t>
  </si>
  <si>
    <t>Block; require admin approval</t>
  </si>
  <si>
    <t>ROLE-05</t>
  </si>
  <si>
    <t>Freeze Window Management</t>
  </si>
  <si>
    <t>Only Change Control Board may create/modify freeze windows.</t>
  </si>
  <si>
    <t>Non-CCB user attempts freeze edit</t>
  </si>
  <si>
    <t>Block freeze window edits</t>
  </si>
  <si>
    <t>ROLE-06</t>
  </si>
  <si>
    <t>Exemption Approval Authority</t>
  </si>
  <si>
    <t>Freeze exemptions require VP-level approval. Approver must have VP role or delegate.</t>
  </si>
  <si>
    <t>Non-VP attempts exemption approval</t>
  </si>
  <si>
    <t>Block; require VP approval</t>
  </si>
  <si>
    <t>ROLE-07</t>
  </si>
  <si>
    <t>Incident Severity Override</t>
  </si>
  <si>
    <t>Incident Severity can only be raised by incident owner or their manager.</t>
  </si>
  <si>
    <t>Others attempt severity raise</t>
  </si>
  <si>
    <t>Block severity increase</t>
  </si>
  <si>
    <t>ROLE-08</t>
  </si>
  <si>
    <t>Audit Log Read-Only</t>
  </si>
  <si>
    <t>Audit logs are read-only for all users. No user can edit or delete audit entries.</t>
  </si>
  <si>
    <t>User attempts audit edit</t>
  </si>
  <si>
    <t>Block all audit modifications</t>
  </si>
  <si>
    <t>ROLE-09</t>
  </si>
  <si>
    <t>Delegate Approval</t>
  </si>
  <si>
    <t>Approvers may designate delegates. Delegates inherit approval authority for specified period.</t>
  </si>
  <si>
    <t>Delegate attempts approval</t>
  </si>
  <si>
    <t>Allow if valid delegation exists</t>
  </si>
  <si>
    <t>ROLE-10</t>
  </si>
  <si>
    <t>View-Only Access</t>
  </si>
  <si>
    <t>Users with View-Only role can read all records but cannot edit any field.</t>
  </si>
  <si>
    <t>View-only user attempts edit</t>
  </si>
  <si>
    <t>SECTION 8: CASCADE &amp; CROSS-ENTITY RULES - Entity Relationships</t>
  </si>
  <si>
    <t>CASC-01</t>
  </si>
  <si>
    <t>Blocker → Release Status</t>
  </si>
  <si>
    <t>When ANY blocker is created/escalated for a release, evaluate if release should transition to Blocked.</t>
  </si>
  <si>
    <t>Blocker created/escalated</t>
  </si>
  <si>
    <t>Evaluate and potentially block release</t>
  </si>
  <si>
    <t>CASC-02</t>
  </si>
  <si>
    <t>All Blockers Resolved → Unblock</t>
  </si>
  <si>
    <t>When ALL blockers for a release are resolved, auto-transition release from Blocked to previous status.</t>
  </si>
  <si>
    <t>Last blocker resolved</t>
  </si>
  <si>
    <t>Auto-unblock release</t>
  </si>
  <si>
    <t>CASC-03</t>
  </si>
  <si>
    <t>Incident → Release Cascade</t>
  </si>
  <si>
    <t>CASC-04</t>
  </si>
  <si>
    <t>Dependency Met Cascade</t>
  </si>
  <si>
    <t>When dependency release reaches Deployed/Closed, update dependent releases' Dependency Status to 'Met'.</t>
  </si>
  <si>
    <t>Dependency release deployed</t>
  </si>
  <si>
    <t>Update all dependents</t>
  </si>
  <si>
    <t>CASC-05</t>
  </si>
  <si>
    <t>Release Delete → Orphan Prevention</t>
  </si>
  <si>
    <t>When a release is deleted, linked blockers, risks, incidents are archived (not orphaned).</t>
  </si>
  <si>
    <t>Release deleted</t>
  </si>
  <si>
    <t>Archive linked records</t>
  </si>
  <si>
    <t>CASC-06</t>
  </si>
  <si>
    <t>App Retire Block</t>
  </si>
  <si>
    <t>Cannot retire an Application with in-flight releases (status not Closed/Cancelled).</t>
  </si>
  <si>
    <t>Admin attempts app retirement</t>
  </si>
  <si>
    <t>Block until releases resolved</t>
  </si>
  <si>
    <t>CASC-07</t>
  </si>
  <si>
    <t>Environment Conflict Cascade</t>
  </si>
  <si>
    <t>When environment booking overlaps detected, auto-create Conflict record linking both releases.</t>
  </si>
  <si>
    <t>Booking conflict detected</t>
  </si>
  <si>
    <t>Auto-create conflict</t>
  </si>
  <si>
    <t>CASC-08</t>
  </si>
  <si>
    <t>Conflict Resolution → Clear</t>
  </si>
  <si>
    <t>When one release's Deploy Date changes to remove overlap, auto-resolve associated Conflict.</t>
  </si>
  <si>
    <t>Deploy Date changed</t>
  </si>
  <si>
    <t>Auto-resolve conflict if overlap cleared</t>
  </si>
  <si>
    <t>CASC-09</t>
  </si>
  <si>
    <t>Leave → Availability Cascade</t>
  </si>
  <si>
    <t>When leave record created/modified, recalculate owner availability for all affected releases.</t>
  </si>
  <si>
    <t>Leave record changed</t>
  </si>
  <si>
    <t>Recalculate availability warnings</t>
  </si>
  <si>
    <t>CASC-10</t>
  </si>
  <si>
    <t>Maintenance Window Cascade</t>
  </si>
  <si>
    <t>When maintenance window created, notify all releases with overlapping Deploy Dates.</t>
  </si>
  <si>
    <t>Maintenance window created</t>
  </si>
  <si>
    <t>Notify affected releases</t>
  </si>
  <si>
    <t>CASC-11</t>
  </si>
  <si>
    <t>Freeze Window Cascade</t>
  </si>
  <si>
    <t>When freeze window created, block new Deploy Date assignments in that window (unless exempted).</t>
  </si>
  <si>
    <t>Freeze window activated</t>
  </si>
  <si>
    <t>Block non-exempt deployments</t>
  </si>
  <si>
    <t>CASC-12</t>
  </si>
  <si>
    <t>Circular Dependency Block</t>
  </si>
  <si>
    <t>User creates dependency</t>
  </si>
  <si>
    <t>Block if circular chain detected</t>
  </si>
  <si>
    <t>SECTION 9: INTEGRATION &amp; SYNC RULES - External System Behavior</t>
  </si>
  <si>
    <t>SYNC-01</t>
  </si>
  <si>
    <t>SYNC-02</t>
  </si>
  <si>
    <t>Echo Prevention</t>
  </si>
  <si>
    <t>Sync received</t>
  </si>
  <si>
    <t>SYNC-03</t>
  </si>
  <si>
    <t>Sync Conflict Resolution</t>
  </si>
  <si>
    <t>SYNC-04</t>
  </si>
  <si>
    <t>Failed syncs retry with exponential backoff: 5, 15, 30, 60 minutes. Alert admin after 3 failures.</t>
  </si>
  <si>
    <t>Sync failure</t>
  </si>
  <si>
    <t>Retry; escalate if persistent</t>
  </si>
  <si>
    <t>SYNC-05</t>
  </si>
  <si>
    <t>Sync Checkpoint</t>
  </si>
  <si>
    <t>Sync jobs checkpoint progress. On failure, resume from last checkpoint (no duplicates).</t>
  </si>
  <si>
    <t>Sync restart</t>
  </si>
  <si>
    <t>Resume from checkpoint</t>
  </si>
  <si>
    <t>SYNC-06</t>
  </si>
  <si>
    <t>Mapping Validation</t>
  </si>
  <si>
    <t>External records must match mapping rules. Unmapped values queued for manual review.</t>
  </si>
  <si>
    <t>New external value</t>
  </si>
  <si>
    <t>Queue if unmapped</t>
  </si>
  <si>
    <t>SYNC-07</t>
  </si>
  <si>
    <t>Tombstone Handling</t>
  </si>
  <si>
    <t>Deleted records in external system marked as 'Synced-Deleted' locally (soft delete).</t>
  </si>
  <si>
    <t>External record deleted</t>
  </si>
  <si>
    <t>Mark as Synced-Deleted</t>
  </si>
  <si>
    <t>SYNC-08</t>
  </si>
  <si>
    <t>Rate Limiting</t>
  </si>
  <si>
    <t>API calls rate-limited to prevent overload. Excess calls queued.</t>
  </si>
  <si>
    <t>Rate limit exceeded</t>
  </si>
  <si>
    <t>Queue excess; return 429</t>
  </si>
  <si>
    <t>SYNC-09</t>
  </si>
  <si>
    <t>API Version Compatibility</t>
  </si>
  <si>
    <t>Support deprecated API versions for 12 months. Return warning header for deprecated calls.</t>
  </si>
  <si>
    <t>Deprecated API called</t>
  </si>
  <si>
    <t>Process with deprecation warning</t>
  </si>
  <si>
    <t>SYNC-10</t>
  </si>
  <si>
    <t>Webhook Delivery</t>
  </si>
  <si>
    <t>SECTION 10: AUDIT &amp; COMPLIANCE RULES - Traceability Requirements</t>
  </si>
  <si>
    <t>AUDIT-01</t>
  </si>
  <si>
    <t>Field Change Audit</t>
  </si>
  <si>
    <t>Every field change creates audit entry with: user, timestamp, old value, new value.</t>
  </si>
  <si>
    <t>Any field changed</t>
  </si>
  <si>
    <t>Create audit entry</t>
  </si>
  <si>
    <t>AUDIT-02</t>
  </si>
  <si>
    <t>Status Transition Audit</t>
  </si>
  <si>
    <t>Status transitions create audit entry with: user, timestamp, from-status, to-status, reason (if required).</t>
  </si>
  <si>
    <t>Status changed</t>
  </si>
  <si>
    <t>AUDIT-03</t>
  </si>
  <si>
    <t>Approval Audit</t>
  </si>
  <si>
    <t>Approval actions create audit entry with: approver, timestamp, decision, comments.</t>
  </si>
  <si>
    <t>Approval decision made</t>
  </si>
  <si>
    <t>AUDIT-04</t>
  </si>
  <si>
    <t>Login Audit</t>
  </si>
  <si>
    <t>All login attempts (success/failure) are logged with: user, timestamp, IP, outcome.</t>
  </si>
  <si>
    <t>Login attempt</t>
  </si>
  <si>
    <t>AUDIT-05</t>
  </si>
  <si>
    <t>Export Audit</t>
  </si>
  <si>
    <t>Data exports create audit entry with: user, timestamp, export type, record count.</t>
  </si>
  <si>
    <t>Data exported</t>
  </si>
  <si>
    <t>AUDIT-06</t>
  </si>
  <si>
    <t>Delete Audit</t>
  </si>
  <si>
    <t>Record deletions create audit entry with: user, timestamp, record type, record ID, cascade details.</t>
  </si>
  <si>
    <t>Record deleted</t>
  </si>
  <si>
    <t>AUDIT-07</t>
  </si>
  <si>
    <t>Exemption Audit</t>
  </si>
  <si>
    <t>Freeze exemptions create audit entry with: release, exemption reason, approver, approval timestamp.</t>
  </si>
  <si>
    <t>Exemption granted</t>
  </si>
  <si>
    <t>AUDIT-08</t>
  </si>
  <si>
    <t>Audit Retention</t>
  </si>
  <si>
    <t>Audit records retained for 2 years online, 5 years archived, per compliance requirements.</t>
  </si>
  <si>
    <t>Retention period reached</t>
  </si>
  <si>
    <t>Archive or purge</t>
  </si>
  <si>
    <t>AUDIT-09</t>
  </si>
  <si>
    <t>Audit Immutability</t>
  </si>
  <si>
    <t>Modification attempt</t>
  </si>
  <si>
    <t>Block all modifications</t>
  </si>
  <si>
    <t>AUDIT-10</t>
  </si>
  <si>
    <t>Compliance Report</t>
  </si>
  <si>
    <t>Weekly schedule</t>
  </si>
  <si>
    <t>Generate report</t>
  </si>
  <si>
    <t>SECTION 11: NOTIFICATION RULES - Alert &amp; Communication Triggers</t>
  </si>
  <si>
    <t>NOTIF-01</t>
  </si>
  <si>
    <t>Status Change Notification</t>
  </si>
  <si>
    <t>Send notification to stakeholders</t>
  </si>
  <si>
    <t>NOTIF-02</t>
  </si>
  <si>
    <t>Blocker Created Notification</t>
  </si>
  <si>
    <t>Notify Release Owner immediately when a new blocker is created for their release.</t>
  </si>
  <si>
    <t>Blocker created</t>
  </si>
  <si>
    <t>Send immediate notification</t>
  </si>
  <si>
    <t>NOTIF-03</t>
  </si>
  <si>
    <t>Send reminder 2 days before CAB Date if release not yet in Pending CAB status.</t>
  </si>
  <si>
    <t>T-2 days check</t>
  </si>
  <si>
    <t>Send reminder if not submitted</t>
  </si>
  <si>
    <t>NOTIF-04</t>
  </si>
  <si>
    <t>Send checklist reminder 1 day before Go-Live Date.</t>
  </si>
  <si>
    <t>T-1 day check</t>
  </si>
  <si>
    <t>NOTIF-05</t>
  </si>
  <si>
    <t>Approval Request Notification</t>
  </si>
  <si>
    <t>Notify approver when release enters Pending CAB queue.</t>
  </si>
  <si>
    <t>Status = Pending CAB</t>
  </si>
  <si>
    <t>Notify designated approvers</t>
  </si>
  <si>
    <t>NOTIF-06</t>
  </si>
  <si>
    <t>Approval Decision Notification</t>
  </si>
  <si>
    <t>Notify Release Owner when CAB decision is made (Approved/Rejected/Deferred).</t>
  </si>
  <si>
    <t>CAB decision made</t>
  </si>
  <si>
    <t>Notify Release Owner</t>
  </si>
  <si>
    <t>NOTIF-07</t>
  </si>
  <si>
    <t>Conflict Notification</t>
  </si>
  <si>
    <t>Notify both Release Owners when a conflict is detected between their releases.</t>
  </si>
  <si>
    <t>Conflict detected</t>
  </si>
  <si>
    <t>Notify both parties</t>
  </si>
  <si>
    <t>NOTIF-08</t>
  </si>
  <si>
    <t>Escalation Notification</t>
  </si>
  <si>
    <t>Notify manager when risk/blocker escalated, or when SLA breached.</t>
  </si>
  <si>
    <t>Escalation triggered</t>
  </si>
  <si>
    <t>Notify manager chain</t>
  </si>
  <si>
    <t>NOTIF-09</t>
  </si>
  <si>
    <t>Deleted User Failover</t>
  </si>
  <si>
    <t>If notification recipient deleted, failover to backup contact. Log warning.</t>
  </si>
  <si>
    <t>Recipient not found</t>
  </si>
  <si>
    <t>Failover to backup; log warning</t>
  </si>
  <si>
    <t>NOTIF-10</t>
  </si>
  <si>
    <t>Batch notifications if &gt;10 triggered in 1 minute to prevent spam.</t>
  </si>
  <si>
    <t>Threshold exceeded</t>
  </si>
  <si>
    <t>Batch into summary notification</t>
  </si>
  <si>
    <t>NOTIF-11</t>
  </si>
  <si>
    <t>Channel Preference</t>
  </si>
  <si>
    <t>Respect user notification preferences (email, SMS, in-app, Teams).</t>
  </si>
  <si>
    <t>Notification triggered</t>
  </si>
  <si>
    <t>Deliver via preferred channel(s)</t>
  </si>
  <si>
    <t>NOTIF-12</t>
  </si>
  <si>
    <t>Read Receipt</t>
  </si>
  <si>
    <t>Critical notification sent</t>
  </si>
  <si>
    <t>Track; escalate if unread</t>
  </si>
  <si>
    <t>SECTION 12: SECURITY RULES - Input Sanitization &amp; Protection</t>
  </si>
  <si>
    <t>SEC-01</t>
  </si>
  <si>
    <t>SQL Injection Prevention</t>
  </si>
  <si>
    <t>Text input submitted</t>
  </si>
  <si>
    <t>Sanitize; block if malicious</t>
  </si>
  <si>
    <t>SEC-02</t>
  </si>
  <si>
    <t>XSS Prevention</t>
  </si>
  <si>
    <t>Script tags and event handlers escaped in all output. HTML sanitization applied.</t>
  </si>
  <si>
    <t>Text displayed</t>
  </si>
  <si>
    <t>Escape special characters</t>
  </si>
  <si>
    <t>SEC-03</t>
  </si>
  <si>
    <t>CSRF Protection</t>
  </si>
  <si>
    <t>POST/PUT/DELETE request</t>
  </si>
  <si>
    <t>Validate CSRF token</t>
  </si>
  <si>
    <t>SEC-04</t>
  </si>
  <si>
    <t>Session Timeout</t>
  </si>
  <si>
    <t>Inactivity timeout</t>
  </si>
  <si>
    <t>Expire session; save draft</t>
  </si>
  <si>
    <t>SEC-05</t>
  </si>
  <si>
    <t>Session Hijacking Prevention</t>
  </si>
  <si>
    <t>Session tokens regenerated on privilege change. IP binding optional.</t>
  </si>
  <si>
    <t>Privilege change</t>
  </si>
  <si>
    <t>Regenerate token</t>
  </si>
  <si>
    <t>SEC-06</t>
  </si>
  <si>
    <t>Access Revocation Immediate</t>
  </si>
  <si>
    <t>When access revoked, next action is blocked with graceful error.</t>
  </si>
  <si>
    <t>Access revoked</t>
  </si>
  <si>
    <t>Block next action; show message</t>
  </si>
  <si>
    <t>SEC-07</t>
  </si>
  <si>
    <t>Password Policy</t>
  </si>
  <si>
    <t>Passwords require: 12+ chars, uppercase, lowercase, number, special char.</t>
  </si>
  <si>
    <t>Password set/change</t>
  </si>
  <si>
    <t>Validate against policy</t>
  </si>
  <si>
    <t>SEC-08</t>
  </si>
  <si>
    <t>Failed Login Lockout</t>
  </si>
  <si>
    <t>After 5 failed login attempts, account locked for 15 minutes.</t>
  </si>
  <si>
    <t>5th failed attempt</t>
  </si>
  <si>
    <t>Lock account; notify user</t>
  </si>
  <si>
    <t>SEC-09</t>
  </si>
  <si>
    <t>API Authentication</t>
  </si>
  <si>
    <t>All API calls require valid JWT token. Token expiry enforced.</t>
  </si>
  <si>
    <t>API request</t>
  </si>
  <si>
    <t>Validate JWT</t>
  </si>
  <si>
    <t>SEC-10</t>
  </si>
  <si>
    <t>Sensitive Data Masking</t>
  </si>
  <si>
    <t>PII and sensitive fields masked in logs and non-privileged views.</t>
  </si>
  <si>
    <t>Data accessed</t>
  </si>
  <si>
    <t>Apply masking rules</t>
  </si>
  <si>
    <t>SEC-11</t>
  </si>
  <si>
    <t>Encryption at Rest</t>
  </si>
  <si>
    <t>All sensitive data encrypted at rest using AES-256.</t>
  </si>
  <si>
    <t>Data stored</t>
  </si>
  <si>
    <t>Encrypt before storage</t>
  </si>
  <si>
    <t>SEC-12</t>
  </si>
  <si>
    <t>Encryption in Transit</t>
  </si>
  <si>
    <t>All communications encrypted using TLS 1.3.</t>
  </si>
  <si>
    <t>Data transmitted</t>
  </si>
  <si>
    <t>Enforce TLS</t>
  </si>
  <si>
    <t>Entity Name</t>
  </si>
  <si>
    <t>Classification</t>
  </si>
  <si>
    <t>Has Lifecycle</t>
  </si>
  <si>
    <t>Lifecycle Sheet</t>
  </si>
  <si>
    <t>Key Fields</t>
  </si>
  <si>
    <t>Related Rules</t>
  </si>
  <si>
    <t>Releases</t>
  </si>
  <si>
    <t>TXN</t>
  </si>
  <si>
    <t>Core record tracking software releases through deployment lifecycle</t>
  </si>
  <si>
    <t>Yes</t>
  </si>
  <si>
    <t>Release Name, Application, Status, Go-Live Date, Owner</t>
  </si>
  <si>
    <t>§4 Status Transitions, VR, AV rules</t>
  </si>
  <si>
    <t>Issues preventing release progress</t>
  </si>
  <si>
    <t>Production issues linked to releases</t>
  </si>
  <si>
    <t>VR-13, §1-12, AV-06, CASC-03, ROLE-07</t>
  </si>
  <si>
    <t>VR-14, VR-24, ROLE-02, ROLE-09, §3-10, AV-22</t>
  </si>
  <si>
    <t>Stakeholder confirmations for release gates</t>
  </si>
  <si>
    <t>VR-14, VR-24, ROLE-01, §3-05</t>
  </si>
  <si>
    <t>Risk records associated with releases</t>
  </si>
  <si>
    <t>Description, Probability, Impact, Mitigation, Status</t>
  </si>
  <si>
    <t>VR-27, §1-10, §1-11, §2-08, AV-02</t>
  </si>
  <si>
    <t>Inter-release dependency tracking</t>
  </si>
  <si>
    <t>VR-18, AV-04, CASC-04, CASC-12</t>
  </si>
  <si>
    <t>Conflicts</t>
  </si>
  <si>
    <t>Scheduling/resource conflicts between releases</t>
  </si>
  <si>
    <t>VR-20, AV-05, §2-07, CASC-07, CASC-08</t>
  </si>
  <si>
    <t>System notifications and escalations</t>
  </si>
  <si>
    <t>Type, Severity, Status, Target User</t>
  </si>
  <si>
    <t>AV rules, Notification Throttling</t>
  </si>
  <si>
    <t>Drift Records</t>
  </si>
  <si>
    <t>Configuration drift detection records</t>
  </si>
  <si>
    <t>AV-13, AV-14</t>
  </si>
  <si>
    <t>Applications</t>
  </si>
  <si>
    <t>REF</t>
  </si>
  <si>
    <t>Master list of applications in release scope</t>
  </si>
  <si>
    <t>No</t>
  </si>
  <si>
    <t>N/A</t>
  </si>
  <si>
    <t>App Name, Owner, Tier, Status</t>
  </si>
  <si>
    <t>§1-03, CASC-06</t>
  </si>
  <si>
    <t>Users</t>
  </si>
  <si>
    <t>User profiles for assignment and permissions</t>
  </si>
  <si>
    <t>Name, Role, Department, Email</t>
  </si>
  <si>
    <t>ROLE rules, VR-10 to VR-13</t>
  </si>
  <si>
    <t>Departments</t>
  </si>
  <si>
    <t>Organizational units</t>
  </si>
  <si>
    <t>Department Name, Manager</t>
  </si>
  <si>
    <t>Reporting, escalation paths</t>
  </si>
  <si>
    <t>Environments</t>
  </si>
  <si>
    <t>Deployment target environments</t>
  </si>
  <si>
    <t>Env Name, Type, Owner</t>
  </si>
  <si>
    <t>Freeze Windows</t>
  </si>
  <si>
    <t>Deployment blackout periods</t>
  </si>
  <si>
    <t>Start, End, Reason, Exemption Rules</t>
  </si>
  <si>
    <t>VR-05, AV-16, ROLE-05, CASC-11</t>
  </si>
  <si>
    <t>Scheduled maintenance periods</t>
  </si>
  <si>
    <t>Start, End, Affected Systems</t>
  </si>
  <si>
    <t>AV-09, CASC-10</t>
  </si>
  <si>
    <t>Environment Bookings</t>
  </si>
  <si>
    <t>OPS</t>
  </si>
  <si>
    <t>Time-slot reservations for environments</t>
  </si>
  <si>
    <t>Environment, Release, Start, End</t>
  </si>
  <si>
    <t>Leave Records</t>
  </si>
  <si>
    <t>Staff absence tracking from HR sync</t>
  </si>
  <si>
    <t>User, Start, End, Type</t>
  </si>
  <si>
    <t>VR-10 to VR-12, AV-12, CASC-09</t>
  </si>
  <si>
    <t>Release calendar and scheduling</t>
  </si>
  <si>
    <t>Date, Events, Conflicts</t>
  </si>
  <si>
    <t>Scheduling validations</t>
  </si>
  <si>
    <t>Checklists</t>
  </si>
  <si>
    <t>Pre-deployment task lists</t>
  </si>
  <si>
    <t>Task, Status, Owner</t>
  </si>
  <si>
    <t>VR-16, AV-20</t>
  </si>
  <si>
    <t>AUD</t>
  </si>
  <si>
    <t>Immutable log of all changes</t>
  </si>
  <si>
    <t>Append-only</t>
  </si>
  <si>
    <t>Timestamp, User, Action, Before, After</t>
  </si>
  <si>
    <t>§2-05, ROLE-08, AV-24</t>
  </si>
  <si>
    <t>Sync Logs</t>
  </si>
  <si>
    <t>External system sync records</t>
  </si>
  <si>
    <t>Timestamp, System, Status, Details</t>
  </si>
  <si>
    <t>SYNC rules, AV-18, §2-09</t>
  </si>
  <si>
    <t>DRV</t>
  </si>
  <si>
    <t>Computed</t>
  </si>
  <si>
    <t>Based on: status, gates, conflicts, blockers, risks</t>
  </si>
  <si>
    <t>§2-01, AV-19</t>
  </si>
  <si>
    <t>Readiness %</t>
  </si>
  <si>
    <t>Computed readiness percentage</t>
  </si>
  <si>
    <t>Based on: sign-offs, blockers, dependencies, checklist</t>
  </si>
  <si>
    <t>§2-02, VR-17, AV-20</t>
  </si>
  <si>
    <t>Validation Rules</t>
  </si>
  <si>
    <t>CFG</t>
  </si>
  <si>
    <t>Business rule definitions</t>
  </si>
  <si>
    <t>Rule ID, Condition, Action, Severity</t>
  </si>
  <si>
    <t>Rules Specification sheet</t>
  </si>
  <si>
    <t>Field Permissions</t>
  </si>
  <si>
    <t>Role-based field access control</t>
  </si>
  <si>
    <t>Field, Role, Permission Level</t>
  </si>
  <si>
    <t>§3 Lock rules, ROLE rules</t>
  </si>
  <si>
    <t>Sync Mappings</t>
  </si>
  <si>
    <t>External system field mappings</t>
  </si>
  <si>
    <t>Local Field, External Field, Transform</t>
  </si>
  <si>
    <t>SYNC rules, AV-17</t>
  </si>
  <si>
    <t>CLASSIFICATION LEGEND</t>
  </si>
  <si>
    <t>Transactional</t>
  </si>
  <si>
    <t>Records with workflow/state transitions requiring lifecycle management</t>
  </si>
  <si>
    <t>Reference/Master</t>
  </si>
  <si>
    <t>Lookup and master data tables for entity relationships</t>
  </si>
  <si>
    <t>Operational</t>
  </si>
  <si>
    <t>Day-to-day scheduling and resource management (CRUD without workflow)</t>
  </si>
  <si>
    <t>Audit/Log</t>
  </si>
  <si>
    <t>Immutable system-generated records for compliance</t>
  </si>
  <si>
    <t>Derived/Calculated</t>
  </si>
  <si>
    <t>Computed metrics displayed but not directly editable</t>
  </si>
  <si>
    <t>Configuration</t>
  </si>
  <si>
    <t>System settings and business rule definitions</t>
  </si>
  <si>
    <t>Status</t>
  </si>
  <si>
    <t>Allowed Transitions</t>
  </si>
  <si>
    <t>Draft</t>
  </si>
  <si>
    <t>Initial</t>
  </si>
  <si>
    <t>Initial state for new releases</t>
  </si>
  <si>
    <t>Planning, Cancelled</t>
  </si>
  <si>
    <t>Planning</t>
  </si>
  <si>
    <t>Active</t>
  </si>
  <si>
    <t>Release scope and planning phase</t>
  </si>
  <si>
    <t>Testing, Blocked, Cancelled</t>
  </si>
  <si>
    <t>Testing</t>
  </si>
  <si>
    <t>Development and integration testing</t>
  </si>
  <si>
    <t>UAT, Blocked, Cancelled</t>
  </si>
  <si>
    <t>UAT</t>
  </si>
  <si>
    <t>User acceptance testing phase</t>
  </si>
  <si>
    <t>Pending CAB, Testing, Blocked, Cancelled</t>
  </si>
  <si>
    <t>Pending CAB</t>
  </si>
  <si>
    <t>Gate</t>
  </si>
  <si>
    <t>Awaiting Change Advisory Board decision</t>
  </si>
  <si>
    <t>Approved</t>
  </si>
  <si>
    <t>CAB approved, preparing for deployment</t>
  </si>
  <si>
    <t>Ready, Pending CAB (scope change), Blocked, Cancelled</t>
  </si>
  <si>
    <t>Ready</t>
  </si>
  <si>
    <t>All gates passed, ready for deployment</t>
  </si>
  <si>
    <t>Deploying, Blocked, Cancelled</t>
  </si>
  <si>
    <t>Deploying</t>
  </si>
  <si>
    <t>Execution</t>
  </si>
  <si>
    <t>Active deployment in progress</t>
  </si>
  <si>
    <t>Deployed, Rolled Back, Blocked</t>
  </si>
  <si>
    <t>Deployed</t>
  </si>
  <si>
    <t>Successfully deployed to production</t>
  </si>
  <si>
    <t>Closed, Rolled Back</t>
  </si>
  <si>
    <t>Closed</t>
  </si>
  <si>
    <t>Terminal</t>
  </si>
  <si>
    <t>Release complete - IMMUTABLE</t>
  </si>
  <si>
    <t>None (Terminal)</t>
  </si>
  <si>
    <t>Cancelled</t>
  </si>
  <si>
    <t>Release cancelled - IMMUTABLE</t>
  </si>
  <si>
    <t>Blocked</t>
  </si>
  <si>
    <t>Special</t>
  </si>
  <si>
    <t>Paused due to blocker(s)</t>
  </si>
  <si>
    <t>Previous status, Cancelled</t>
  </si>
  <si>
    <t>Rolled Back</t>
  </si>
  <si>
    <t>Deployment reversed</t>
  </si>
  <si>
    <t>Testing (rework path)</t>
  </si>
  <si>
    <t>Deferred</t>
  </si>
  <si>
    <t>CAB deferred to future date</t>
  </si>
  <si>
    <t>Pending CAB, Cancelled</t>
  </si>
  <si>
    <t>Rejected</t>
  </si>
  <si>
    <t>CAB rejected - requires rework</t>
  </si>
  <si>
    <t>Planning (rework path)</t>
  </si>
  <si>
    <t>Size</t>
  </si>
  <si>
    <t>Code</t>
  </si>
  <si>
    <t>Requirements</t>
  </si>
  <si>
    <t>Small</t>
  </si>
  <si>
    <t>S</t>
  </si>
  <si>
    <t>Standard sign-offs only</t>
  </si>
  <si>
    <t>Medium</t>
  </si>
  <si>
    <t>M</t>
  </si>
  <si>
    <t>Standard sign-offs + Business Review</t>
  </si>
  <si>
    <t>Large</t>
  </si>
  <si>
    <t>L</t>
  </si>
  <si>
    <t>All sign-offs + Dress Rehearsal recommended</t>
  </si>
  <si>
    <t>Priority</t>
  </si>
  <si>
    <t>P1 - Critical</t>
  </si>
  <si>
    <t>Expedited CAB review, exemption eligible</t>
  </si>
  <si>
    <t>P2 - High</t>
  </si>
  <si>
    <t>Priority scheduling</t>
  </si>
  <si>
    <t>P3 - Medium</t>
  </si>
  <si>
    <t>Normal scheduling</t>
  </si>
  <si>
    <t>P4 - Low</t>
  </si>
  <si>
    <t>Flexible scheduling</t>
  </si>
  <si>
    <t>Environment</t>
  </si>
  <si>
    <t>Booking Required</t>
  </si>
  <si>
    <t>Development</t>
  </si>
  <si>
    <t>DEV</t>
  </si>
  <si>
    <t>SIT</t>
  </si>
  <si>
    <t>User Acceptance</t>
  </si>
  <si>
    <t>STG</t>
  </si>
  <si>
    <t>Production</t>
  </si>
  <si>
    <t>PRD</t>
  </si>
  <si>
    <t>Live production environment</t>
  </si>
  <si>
    <t>Yes (via Deploy Date)</t>
  </si>
  <si>
    <t>Disaster Recovery</t>
  </si>
  <si>
    <t>DR</t>
  </si>
  <si>
    <t>RISK SCORING MATRIX</t>
  </si>
  <si>
    <t>Severity Level</t>
  </si>
  <si>
    <t>Any</t>
  </si>
  <si>
    <t>Score = Probability × Impact</t>
  </si>
  <si>
    <t>Formula</t>
  </si>
  <si>
    <t>Finance</t>
  </si>
  <si>
    <t>HR</t>
  </si>
  <si>
    <t>Executive</t>
  </si>
  <si>
    <t>APPROVAL TYPES</t>
  </si>
  <si>
    <t>Required Role</t>
  </si>
  <si>
    <t>CAB Approval</t>
  </si>
  <si>
    <t>Change Advisory Board release approval</t>
  </si>
  <si>
    <t>CAB Member (ROLE-02)</t>
  </si>
  <si>
    <t>Freeze Exemption</t>
  </si>
  <si>
    <t>Permission to deploy during freeze window</t>
  </si>
  <si>
    <t>VP-level (ROLE-06)</t>
  </si>
  <si>
    <t>Emergency Change</t>
  </si>
  <si>
    <t>Expedited approval for critical issues</t>
  </si>
  <si>
    <t>CAB Chair + VP</t>
  </si>
  <si>
    <t>Scope Change</t>
  </si>
  <si>
    <t>Re-approval after scope changes post-CAB</t>
  </si>
  <si>
    <t>CAB Member</t>
  </si>
  <si>
    <t>DEPENDENCY TYPES</t>
  </si>
  <si>
    <t>Enforcement</t>
  </si>
  <si>
    <t>Hard</t>
  </si>
  <si>
    <t>VR-18: Blocks transition to Deploying</t>
  </si>
  <si>
    <t>Soft</t>
  </si>
  <si>
    <t>Warning only</t>
  </si>
  <si>
    <t>STATUS LIFECYCLES - All Transactional Entities</t>
  </si>
  <si>
    <t>RELEASES LIFECYCLE</t>
  </si>
  <si>
    <t>Next Possible Status</t>
  </si>
  <si>
    <t>Editable?</t>
  </si>
  <si>
    <t>Gate Requirements</t>
  </si>
  <si>
    <t>Initial creation state</t>
  </si>
  <si>
    <t>Yes - all fields</t>
  </si>
  <si>
    <t>None</t>
  </si>
  <si>
    <t>Scope and resource planning</t>
  </si>
  <si>
    <t>Owner, Size required (§1-04, §1-06)</t>
  </si>
  <si>
    <t>Priority required (§1-05)</t>
  </si>
  <si>
    <t>User acceptance testing</t>
  </si>
  <si>
    <t>Yes - most fields</t>
  </si>
  <si>
    <t>UAT environment booking</t>
  </si>
  <si>
    <t>Awaiting CAB decision</t>
  </si>
  <si>
    <t>Limited</t>
  </si>
  <si>
    <t>All sign-offs, Go-Live date, no blockers (VR-14, VR-24)</t>
  </si>
  <si>
    <t>CAB approved</t>
  </si>
  <si>
    <t>Scope changes trigger revert (VR-21)</t>
  </si>
  <si>
    <t>Prepared for deployment</t>
  </si>
  <si>
    <t>Rollback plan, checklist, no blockers (VR-16, VR-27)</t>
  </si>
  <si>
    <t>Active deployment</t>
  </si>
  <si>
    <t>Read-only (dates, scope)</t>
  </si>
  <si>
    <t>Environment booking (VR-19), hard deps met (VR-18)</t>
  </si>
  <si>
    <t>Successfully deployed</t>
  </si>
  <si>
    <t>Read-only</t>
  </si>
  <si>
    <t>Post-deployment validation</t>
  </si>
  <si>
    <t>TERMINAL - Complete</t>
  </si>
  <si>
    <t>IMMUTABLE</t>
  </si>
  <si>
    <t>TERMINAL - Abandoned</t>
  </si>
  <si>
    <t>Paused by blocker</t>
  </si>
  <si>
    <t>Root cause documentation (§4-10)</t>
  </si>
  <si>
    <t>Postponed by CAB</t>
  </si>
  <si>
    <t>Reactivation decision</t>
  </si>
  <si>
    <t>CAB rejected</t>
  </si>
  <si>
    <t>Yes - gates unlocked</t>
  </si>
  <si>
    <t>Rework required (§4-12)</t>
  </si>
  <si>
    <t>BLOCKERS LIFECYCLE</t>
  </si>
  <si>
    <t>Cascade Effect</t>
  </si>
  <si>
    <t>Open</t>
  </si>
  <si>
    <t>Newly identified blocker</t>
  </si>
  <si>
    <t>In Progress, Cancelled</t>
  </si>
  <si>
    <t>Blocks release transition to Ready</t>
  </si>
  <si>
    <t>In Progress</t>
  </si>
  <si>
    <t>Being actively worked</t>
  </si>
  <si>
    <t>Resolved, Escalated, Cancelled</t>
  </si>
  <si>
    <t>Stale alert after 5 days (AV-03)</t>
  </si>
  <si>
    <t>Escalated</t>
  </si>
  <si>
    <t>Requires management attention</t>
  </si>
  <si>
    <t>In Progress, Resolved, Cancelled</t>
  </si>
  <si>
    <t>Higher visibility</t>
  </si>
  <si>
    <t>Resolved</t>
  </si>
  <si>
    <t>Issue fixed</t>
  </si>
  <si>
    <t>Closed, Reopened</t>
  </si>
  <si>
    <t>May auto-unblock release (CASC-02)</t>
  </si>
  <si>
    <t>FINAL - Verified complete</t>
  </si>
  <si>
    <t>Read-only (§3-09)</t>
  </si>
  <si>
    <t>Release unblocked if all resolved</t>
  </si>
  <si>
    <t>FINAL - No longer relevant</t>
  </si>
  <si>
    <t>No cascade</t>
  </si>
  <si>
    <t>Reopened</t>
  </si>
  <si>
    <t>Issue recurred</t>
  </si>
  <si>
    <t>May re-block release</t>
  </si>
  <si>
    <t>APPROVALS LIFECYCLE</t>
  </si>
  <si>
    <t>Notes</t>
  </si>
  <si>
    <t>Pending</t>
  </si>
  <si>
    <t>Awaiting approver action</t>
  </si>
  <si>
    <t>Approved, Rejected, Deferred</t>
  </si>
  <si>
    <t>Standard state after CAB submission</t>
  </si>
  <si>
    <t>FINAL - Approval granted</t>
  </si>
  <si>
    <t>IMMUTABLE (§3-10)</t>
  </si>
  <si>
    <t>30-day expiry if not deployed (AV-22)</t>
  </si>
  <si>
    <t>FINAL - Approval denied</t>
  </si>
  <si>
    <t>Release reverts to Planning</t>
  </si>
  <si>
    <t>FINAL - Postponed</t>
  </si>
  <si>
    <t>Release status = Deferred</t>
  </si>
  <si>
    <t>Expired</t>
  </si>
  <si>
    <t>FINAL - Auto-expired</t>
  </si>
  <si>
    <t>Triggered by AV-22</t>
  </si>
  <si>
    <t>Withdrawn</t>
  </si>
  <si>
    <t>FINAL - Requestor cancelled</t>
  </si>
  <si>
    <t>Manual withdrawal</t>
  </si>
  <si>
    <t>SIGN-OFFS LIFECYCLE</t>
  </si>
  <si>
    <t>Sign-Off Types</t>
  </si>
  <si>
    <t>Awaiting signatory action</t>
  </si>
  <si>
    <t>Approved, Rejected, Approved with Conditions</t>
  </si>
  <si>
    <t>FINAL - Sign-off granted</t>
  </si>
  <si>
    <t>Required for Pending CAB transition</t>
  </si>
  <si>
    <t>FINAL - Sign-off denied</t>
  </si>
  <si>
    <t>Blocks CAB submission</t>
  </si>
  <si>
    <t>Approved with Conditions</t>
  </si>
  <si>
    <t>FINAL - Conditional approval</t>
  </si>
  <si>
    <t>Conditions must be tracked</t>
  </si>
  <si>
    <t>FINAL - Request cancelled</t>
  </si>
  <si>
    <t>FINAL - SLA exceeded</t>
  </si>
  <si>
    <t>Auto-expired</t>
  </si>
  <si>
    <t>RISKS LIFECYCLE</t>
  </si>
  <si>
    <t>Risk Score Requirements</t>
  </si>
  <si>
    <t>Identified</t>
  </si>
  <si>
    <t>Risk logged, needs assessment</t>
  </si>
  <si>
    <t>Assessing, Closed</t>
  </si>
  <si>
    <t>Probability and Impact required (§1-10, §1-11)</t>
  </si>
  <si>
    <t>Assessing</t>
  </si>
  <si>
    <t>Under evaluation</t>
  </si>
  <si>
    <t>Mitigating, Accepted, Closed</t>
  </si>
  <si>
    <t>Risk Score calculated (§2-08)</t>
  </si>
  <si>
    <t>Mitigating</t>
  </si>
  <si>
    <t>Mitigation actions in progress</t>
  </si>
  <si>
    <t>Mitigated, Accepted, Closed</t>
  </si>
  <si>
    <t>Mitigation Plan required for High severity (VR-27)</t>
  </si>
  <si>
    <t>Mitigated</t>
  </si>
  <si>
    <t>Controls implemented</t>
  </si>
  <si>
    <t>Accepted, Closed</t>
  </si>
  <si>
    <t>Residual risk documented</t>
  </si>
  <si>
    <t>Accepted</t>
  </si>
  <si>
    <t>Risk acknowledged and accepted</t>
  </si>
  <si>
    <t>Requires documented acceptance</t>
  </si>
  <si>
    <t>FINAL - Risk resolved/retired</t>
  </si>
  <si>
    <t>Mitigating, Accepted</t>
  </si>
  <si>
    <t>Auto-escalated after 3 days (AV-02)</t>
  </si>
  <si>
    <t>INCIDENTS LIFECYCLE</t>
  </si>
  <si>
    <t>Incident reported</t>
  </si>
  <si>
    <t>Investigating, Closed</t>
  </si>
  <si>
    <t>Critical incidents auto-escalate if no owner (VR-13)</t>
  </si>
  <si>
    <t>Investigating</t>
  </si>
  <si>
    <t>Root cause analysis</t>
  </si>
  <si>
    <t>Resolving, Escalated, Closed</t>
  </si>
  <si>
    <t>Links to release if deployment-related</t>
  </si>
  <si>
    <t>Management attention required</t>
  </si>
  <si>
    <t>Investigating, Resolving, Closed</t>
  </si>
  <si>
    <t>High visibility</t>
  </si>
  <si>
    <t>Resolving</t>
  </si>
  <si>
    <t>Fix in progress</t>
  </si>
  <si>
    <t>Resolved, Escalated</t>
  </si>
  <si>
    <t>May block linked release (AV-06)</t>
  </si>
  <si>
    <t>Fix applied, pending verification</t>
  </si>
  <si>
    <t>Critical incidents unblock release</t>
  </si>
  <si>
    <t>May re-trigger blocks</t>
  </si>
  <si>
    <t>DEPENDENCIES LIFECYCLE</t>
  </si>
  <si>
    <t>Gate Impact</t>
  </si>
  <si>
    <t>Dependency not yet met</t>
  </si>
  <si>
    <t>Hard dependencies block Deploying (VR-18)</t>
  </si>
  <si>
    <t>Met</t>
  </si>
  <si>
    <t>FINAL - Dependency satisfied</t>
  </si>
  <si>
    <t>Auto-updated when dependency deployed (AV-04)</t>
  </si>
  <si>
    <t>Waived</t>
  </si>
  <si>
    <t>FINAL - Dependency waived</t>
  </si>
  <si>
    <t>Requires documented approval</t>
  </si>
  <si>
    <t>Removed</t>
  </si>
  <si>
    <t>FINAL - No longer a dependency</t>
  </si>
  <si>
    <t>Relationship deleted</t>
  </si>
  <si>
    <t>At Risk</t>
  </si>
  <si>
    <t>Dependency timeline in jeopardy</t>
  </si>
  <si>
    <t>Pending, Met, Waived</t>
  </si>
  <si>
    <t>Warning indicator</t>
  </si>
  <si>
    <t>CONFLICTS LIFECYCLE</t>
  </si>
  <si>
    <t>Conflict Types</t>
  </si>
  <si>
    <t>Detected</t>
  </si>
  <si>
    <t>System identified conflict</t>
  </si>
  <si>
    <t>Under Review, Resolved, Dismissed</t>
  </si>
  <si>
    <t>Schedule (same deploy window), Resource (same env), Application (same app)</t>
  </si>
  <si>
    <t>Under Review</t>
  </si>
  <si>
    <t>Being evaluated</t>
  </si>
  <si>
    <t>Resolved, Dismissed</t>
  </si>
  <si>
    <t>Requires RM assessment</t>
  </si>
  <si>
    <t>FINAL - Conflict addressed</t>
  </si>
  <si>
    <t>Auto-detected on deploy date save (AV-05)</t>
  </si>
  <si>
    <t>Dismissed</t>
  </si>
  <si>
    <t>FINAL - False positive or accepted</t>
  </si>
  <si>
    <t>Requires justification</t>
  </si>
  <si>
    <t>DRIFT LIFECYCLE (Config Drift Detection)</t>
  </si>
  <si>
    <t>Detection Trigger</t>
  </si>
  <si>
    <t>Delta found vs baseline</t>
  </si>
  <si>
    <t>Investigating, Approved, Reverted</t>
  </si>
  <si>
    <t>Daily scan job (AV-13)</t>
  </si>
  <si>
    <t>Determining cause</t>
  </si>
  <si>
    <t>Approved, Reverted, Escalated</t>
  </si>
  <si>
    <t>Manual review required</t>
  </si>
  <si>
    <t>FINAL - Drift is intentional</t>
  </si>
  <si>
    <t>New baseline established</t>
  </si>
  <si>
    <t>Reverted</t>
  </si>
  <si>
    <t>FINAL - Config restored</t>
  </si>
  <si>
    <t>Baseline re-applied</t>
  </si>
  <si>
    <t>Unauthorized change suspected</t>
  </si>
  <si>
    <t>Security alert triggered (AV-14)</t>
  </si>
  <si>
    <t>ALERTS LIFECYCLE</t>
  </si>
  <si>
    <t>Alert Types</t>
  </si>
  <si>
    <t>Alert generated, not yet acknowledged</t>
  </si>
  <si>
    <t>Acknowledged, Dismissed, Expired</t>
  </si>
  <si>
    <t>Reminder, Warning, Escalation, Notification</t>
  </si>
  <si>
    <t>Acknowledged</t>
  </si>
  <si>
    <t>User confirmed receipt</t>
  </si>
  <si>
    <t>Actioned, Dismissed</t>
  </si>
  <si>
    <t>Stops repeat alerts</t>
  </si>
  <si>
    <t>Actioned</t>
  </si>
  <si>
    <t>FINAL - Action taken</t>
  </si>
  <si>
    <t>Audit trail captured</t>
  </si>
  <si>
    <t>FINAL - No action needed</t>
  </si>
  <si>
    <t>Reason required</t>
  </si>
  <si>
    <t>TTL exceeded</t>
  </si>
  <si>
    <t>From UAT, the release may transition to: Pending CAB (successful UAT), Testing (rework needed), Blocked, OR Cancelled.</t>
  </si>
  <si>
    <t>RELEASE MANAGEMENT RULES SPECIFICATION - COMPLETE REFERENCE</t>
  </si>
  <si>
    <t>This document is self-contained. All referenced entities, statuses, and relationships are defined in companion sheets.</t>
  </si>
  <si>
    <t>COMPANION SHEETS - Quick Reference</t>
  </si>
  <si>
    <t>Contents</t>
  </si>
  <si>
    <t>Use When...</t>
  </si>
  <si>
    <t>Entity Classification</t>
  </si>
  <si>
    <t>You need to know what entities exist, their relationships, or which have status lifecycles</t>
  </si>
  <si>
    <t>Reference Data</t>
  </si>
  <si>
    <t>Status codes, release sizes, priorities, environments, risk scoring matrix, departments, approval types</t>
  </si>
  <si>
    <t>You need valid values for picklists, thresholds, or classification options</t>
  </si>
  <si>
    <t>Status Lifecycles</t>
  </si>
  <si>
    <t>Complete state machines for Releases, Blockers, Approvals, Sign-Offs, Risks, Incidents, Dependencies, Conflicts, Drift, Alerts</t>
  </si>
  <si>
    <t>You need to understand allowed transitions, gate requirements, or cascade effects</t>
  </si>
  <si>
    <t>RULE ID LEGEND</t>
  </si>
  <si>
    <t>Prefix</t>
  </si>
  <si>
    <t>Category</t>
  </si>
  <si>
    <t>Count</t>
  </si>
  <si>
    <t>Primary Entity</t>
  </si>
  <si>
    <t>§1-xx</t>
  </si>
  <si>
    <t>Input validation, required fields, format rules</t>
  </si>
  <si>
    <t>All entities</t>
  </si>
  <si>
    <t>§2-xx</t>
  </si>
  <si>
    <t>Read-Only Fields</t>
  </si>
  <si>
    <t>Computed/system-managed fields that cannot be edited</t>
  </si>
  <si>
    <t>§3-xx</t>
  </si>
  <si>
    <t>Field Locks</t>
  </si>
  <si>
    <t>Status-based field locking (immutability rules)</t>
  </si>
  <si>
    <t>Releases, Approvals</t>
  </si>
  <si>
    <t>§4-xx</t>
  </si>
  <si>
    <t>Status Transitions</t>
  </si>
  <si>
    <t>Allowed state changes in release lifecycle</t>
  </si>
  <si>
    <t>VR-xx</t>
  </si>
  <si>
    <t>User-triggered validations (real-time checks)</t>
  </si>
  <si>
    <t>Releases, Blockers, Risks</t>
  </si>
  <si>
    <t>AV-xx</t>
  </si>
  <si>
    <t>Auto-Validation</t>
  </si>
  <si>
    <t>Background/scheduled system checks</t>
  </si>
  <si>
    <t>ROLE-xx</t>
  </si>
  <si>
    <t>Permissions</t>
  </si>
  <si>
    <t>Role-based access control rules</t>
  </si>
  <si>
    <t>Users, Roles</t>
  </si>
  <si>
    <t>CASC-xx</t>
  </si>
  <si>
    <t>Cascades</t>
  </si>
  <si>
    <t>Cross-entity relationship rules and propagation</t>
  </si>
  <si>
    <t>SYNC-xx</t>
  </si>
  <si>
    <t>Integration</t>
  </si>
  <si>
    <t>External system sync rules (Jira, ServiceNow)</t>
  </si>
  <si>
    <t>External Systems</t>
  </si>
  <si>
    <t>AUDIT-xx</t>
  </si>
  <si>
    <t>Audit/Compliance</t>
  </si>
  <si>
    <t>Traceability, retention, compliance requirements</t>
  </si>
  <si>
    <t>NOTIF-xx</t>
  </si>
  <si>
    <t>Alert and communication trigger rules</t>
  </si>
  <si>
    <t>Users, Alerts</t>
  </si>
  <si>
    <t>SEC-xx</t>
  </si>
  <si>
    <t>Input sanitization, authentication, encryption</t>
  </si>
  <si>
    <t>Soft Warning</t>
  </si>
  <si>
    <t>Operation allowed after acknowledgment</t>
  </si>
  <si>
    <t>Warning displayed; user can proceed after confirmation or entering reason</t>
  </si>
  <si>
    <t>Automatic</t>
  </si>
  <si>
    <t>System performs action without user input</t>
  </si>
  <si>
    <t>User notified of automated action; no action required</t>
  </si>
  <si>
    <t>Permitted</t>
  </si>
  <si>
    <t>No restriction; explicitly permitted</t>
  </si>
  <si>
    <t>Normal operation; no special message</t>
  </si>
  <si>
    <t>CAB Date must be at least a minimum number of working days (Monday-Friday, excluding public holidays) before Go-Live Date. Minimum lead time by release size: Small = 2 working days, Medium = 2 working days, Large = 3 working days.</t>
  </si>
  <si>
    <t>Deployment dates falling within a Freeze Window (company-wide no-deployment periods, typically year-end or major events) are BLOCKED unless BOTH conditions are met: (1) Release is marked as Regulatory (mandatory compliance release), AND (2) A VP-level exemption approval exists on record.</t>
  </si>
  <si>
    <t>Transition to Ready requires ALL of the following: (1) Rollback Plan field = 'Ready' (documented plan to reverse deployment), (2) Deployment Checklist = 'Complete' (all pre-deployment tasks verified), (3) No open impediments (unresolved blockers, unmet dependencies, or active conflicts).</t>
  </si>
  <si>
    <t>If the computed Readiness Percentage is below 75% and the CAB Date is within 2 days, display a WARNING to the Release Manager (RM) showing a list of gaps (incomplete sign-offs, open blockers, unmet dependencies, missing checklist items).</t>
  </si>
  <si>
    <t>All releases marked as dependencies with Dependency Type = 'Hard' (must-have, blocking) must have reached Deployed or Closed status before this release can transition to Deploying. 'Soft' dependencies (nice-to-have) do not block. See Reference Data sheet for dependency type definitions.</t>
  </si>
  <si>
    <t>Cannot transition to Pending CAB unless ALL of the following are complete: (1) All required sign-offs (Dev, Test, UAT) = 'Yes', (2) No open blockers (all blockers in Resolved or Closed status), (3) Minimum documentation present (Rollback Plan is not blank, Release Notes field is not blank).</t>
  </si>
  <si>
    <t>Concurrent Edit Protection</t>
  </si>
  <si>
    <t>If two users edit the same release at the same time and User B tries to save after User A has already saved changes, User B's save is blocked. The system shows what changed since User B loaded the record and requires User B to reload the page before making changes.</t>
  </si>
  <si>
    <t>For releases with Size = Large, when transitioning to Ready status, if the Dress Rehearsal field is not set to 'Done', a WARNING is displayed (but transition is not blocked). A dress rehearsal is a practice deployment in a pre-production environment. Completing it before go-live is recommended but not mandatory.</t>
  </si>
  <si>
    <t>A scheduled job runs every night and scans all releases in Testing or UAT status. If ANY blocker linked to the release has a status other than Resolved or Closed, the system automatically sets the Release Status to Blocked and sends a notification to the Release Manager (the person assigned as Release Owner).</t>
  </si>
  <si>
    <t>Email addresses entered must be in standard email format: text@domain.com (e.g., john.smith@company.com). The system validates the format before saving.</t>
  </si>
  <si>
    <t>Certain fields are calculated automatically by the system and cannot be edited manually. Computed fields include: Readiness %, Health Indicator, Deployment Duration, Risk Score, Completion Date, and Total Cost. These values update automatically based on related data.</t>
  </si>
  <si>
    <t>Only users with the Release Manager (RM) role can create or delete Release records. Other roles (Stakeholder, Tester, Developer, CAB Member) can view and participate but cannot create or delete releases.</t>
  </si>
  <si>
    <t>Audit logs are append-only records that cannot be edited, deleted, or modified after creation. This ensures complete historical traceability of all changes for compliance and security purposes. Even system administrators cannot alter audit entries.</t>
  </si>
  <si>
    <t>KEY TERMS GLOSSARY</t>
  </si>
  <si>
    <t>Term</t>
  </si>
  <si>
    <t>Definition</t>
  </si>
  <si>
    <t>CAB (Change Advisory Board)</t>
  </si>
  <si>
    <t>A governance group that reviews and approves releases before deployment. Typically includes technical leads, business stakeholders, and management representatives.</t>
  </si>
  <si>
    <t>Release Manager (RM)</t>
  </si>
  <si>
    <t>The person responsible for managing a release from creation through deployment. Has authority to make decisions and is accountable for the release's success.</t>
  </si>
  <si>
    <t>Working Days</t>
  </si>
  <si>
    <t>Monday through Friday, excluding public holidays as defined in the system's holiday calendar. Used for calculating lead times and deadlines.</t>
  </si>
  <si>
    <t>Freeze Window</t>
  </si>
  <si>
    <t>A company-wide period during which deployments are restricted (e.g., year-end, major business events). Only Regulatory releases with VP exemption can deploy during freeze windows.</t>
  </si>
  <si>
    <t>Formal approval from a responsible party indicating their area is ready. Three types: Dev Sign-Off (development complete), Test Sign-Off (testing passed), UAT Sign-Off (user acceptance confirmed).</t>
  </si>
  <si>
    <t>An issue or obstacle that prevents a release from progressing. Must be resolved before the release can continue to the next stage.</t>
  </si>
  <si>
    <t>Rollback Plan</t>
  </si>
  <si>
    <t>A documented procedure for reversing a deployment if issues are discovered after go-live. Required for all releases before deployment.</t>
  </si>
  <si>
    <t>Dress Rehearsal</t>
  </si>
  <si>
    <t>A practice deployment performed in a pre-production environment to validate deployment procedures before actual go-live.</t>
  </si>
  <si>
    <t>A checkpoint in the release lifecycle where specific requirements must be met before proceeding. Examples: sign-offs complete, no open blockers.</t>
  </si>
  <si>
    <t>Health Indicator</t>
  </si>
  <si>
    <t>Cascade</t>
  </si>
  <si>
    <t>Hard Dependency</t>
  </si>
  <si>
    <t>A blocking relationship where the dependent release CANNOT proceed until the prerequisite release is complete.</t>
  </si>
  <si>
    <t>Soft Dependency</t>
  </si>
  <si>
    <t>A non-blocking relationship; the dependent release should ideally wait but can proceed if necessary.</t>
  </si>
  <si>
    <t>Configuration differences between expected baseline and actual production state. Indicates unauthorized or unexpected changes.</t>
  </si>
  <si>
    <t>Webhook</t>
  </si>
  <si>
    <t>An automatic notification sent by an external system when an event occurs. Provides real-time updates.</t>
  </si>
  <si>
    <t>Polling</t>
  </si>
  <si>
    <t>Periodic checking of external systems for changes. Used as backup when webhooks are unavailable.</t>
  </si>
  <si>
    <t>UAT (User Acceptance Testing)</t>
  </si>
  <si>
    <t>Final testing phase where business users verify the release meets their requirements before go-live.</t>
  </si>
  <si>
    <t>Regulatory Release</t>
  </si>
  <si>
    <t>A release required for legal/compliance reasons (e.g., government mandate). May be exempt from certain restrictions.</t>
  </si>
  <si>
    <t>A calculated percentage showing how prepared a release is for deployment. Factors: sign-offs, open blockers, dependencies, checklist items.</t>
  </si>
  <si>
    <t>Immutable record of all changes made to a release, including who, what, and when. Cannot be edited or deleted.</t>
  </si>
  <si>
    <t>Used In Rules</t>
  </si>
  <si>
    <t>Monday through Friday, excluding public holidays. Holiday calendar is configurable by system admin.</t>
  </si>
  <si>
    <t>VR-02 (CAB lead time)</t>
  </si>
  <si>
    <t>Business Hours</t>
  </si>
  <si>
    <t>8:00 AM to 6:00 PM local time on working days</t>
  </si>
  <si>
    <t>NOTIF-03 (escalation timing)</t>
  </si>
  <si>
    <t>Period</t>
  </si>
  <si>
    <t>Year-End Freeze</t>
  </si>
  <si>
    <t>Dec 15 - Jan 5</t>
  </si>
  <si>
    <t>Quarter-End Freeze</t>
  </si>
  <si>
    <t>Parameter</t>
  </si>
  <si>
    <t>Value</t>
  </si>
  <si>
    <t>Minimum CAB Lead Time (Small)</t>
  </si>
  <si>
    <t>2 working days</t>
  </si>
  <si>
    <t>Time between CAB approval and Go-Live for small releases</t>
  </si>
  <si>
    <t>Minimum CAB Lead Time (Medium)</t>
  </si>
  <si>
    <t>Time between CAB approval and Go-Live for medium releases</t>
  </si>
  <si>
    <t>Minimum CAB Lead Time (Large)</t>
  </si>
  <si>
    <t>3 working days</t>
  </si>
  <si>
    <t>Time between CAB approval and Go-Live for large releases</t>
  </si>
  <si>
    <t>Readiness Warning Threshold</t>
  </si>
  <si>
    <t>Readiness % below this triggers warning if CAB within 2 days</t>
  </si>
  <si>
    <t>Account Lockout Threshold</t>
  </si>
  <si>
    <t>5 failed attempts</t>
  </si>
  <si>
    <t>Failed logins before account is locked</t>
  </si>
  <si>
    <t>Account Lockout Duration</t>
  </si>
  <si>
    <t>30 minutes</t>
  </si>
  <si>
    <t>Time account remains locked after failed attempts</t>
  </si>
  <si>
    <t>Polling Interval</t>
  </si>
  <si>
    <t>5 minutes</t>
  </si>
  <si>
    <t>Frequency of checking external systems for updates</t>
  </si>
  <si>
    <t>Sync Interval</t>
  </si>
  <si>
    <t>15 minutes</t>
  </si>
  <si>
    <t>Frequency of bi-directional sync with Jira/ServiceNow</t>
  </si>
  <si>
    <t>RELEASE FIELDS - COMPREHENSIVE FIELD LOCK MATRIX</t>
  </si>
  <si>
    <t>This sheet defines all release fields and when they become locked (read-only) during the release lifecycle.</t>
  </si>
  <si>
    <t>LEGEND:</t>
  </si>
  <si>
    <t>Field Name</t>
  </si>
  <si>
    <t>Required At</t>
  </si>
  <si>
    <t>Closed/Cancelled</t>
  </si>
  <si>
    <t>Lock Rule Ref</t>
  </si>
  <si>
    <t>Release ID</t>
  </si>
  <si>
    <t>Identity</t>
  </si>
  <si>
    <t>Auto</t>
  </si>
  <si>
    <t>§2-Auto</t>
  </si>
  <si>
    <t>Release Name</t>
  </si>
  <si>
    <t>Application</t>
  </si>
  <si>
    <t>Release Type</t>
  </si>
  <si>
    <t>Release Owner</t>
  </si>
  <si>
    <t>Ownership</t>
  </si>
  <si>
    <t>Backup Owner</t>
  </si>
  <si>
    <t>Technical Lead</t>
  </si>
  <si>
    <t>Business Owner</t>
  </si>
  <si>
    <t>Scope</t>
  </si>
  <si>
    <t>§3-04, VR-21</t>
  </si>
  <si>
    <t>Scope Description</t>
  </si>
  <si>
    <t>Impact Assessment</t>
  </si>
  <si>
    <t>Affected Systems</t>
  </si>
  <si>
    <t>Start Date</t>
  </si>
  <si>
    <t>Schedule</t>
  </si>
  <si>
    <t>End Date</t>
  </si>
  <si>
    <t>Go-Live Date</t>
  </si>
  <si>
    <t>Deploy Date</t>
  </si>
  <si>
    <t>CAB Date</t>
  </si>
  <si>
    <t>Dev Sign-Off</t>
  </si>
  <si>
    <t>Test Sign-Off</t>
  </si>
  <si>
    <t>UAT Sign-Off</t>
  </si>
  <si>
    <t>Security Sign-Off</t>
  </si>
  <si>
    <t>Business Sign-Off</t>
  </si>
  <si>
    <t>Ops Sign-Off</t>
  </si>
  <si>
    <t>Deployment</t>
  </si>
  <si>
    <t>Deployment Window</t>
  </si>
  <si>
    <t>Deployment Checklist</t>
  </si>
  <si>
    <t>Release Notes</t>
  </si>
  <si>
    <t>Documentation</t>
  </si>
  <si>
    <t>Change Description</t>
  </si>
  <si>
    <t>Justification</t>
  </si>
  <si>
    <t>Communication Plan</t>
  </si>
  <si>
    <t>Duration (Days)</t>
  </si>
  <si>
    <t>Workflow</t>
  </si>
  <si>
    <t>Previous Status</t>
  </si>
  <si>
    <t>Entity</t>
  </si>
  <si>
    <t>Field/Condition</t>
  </si>
  <si>
    <t>Lock Rule</t>
  </si>
  <si>
    <t>Blocker Status = Resolved/Closed</t>
  </si>
  <si>
    <t>Resolved or Closed blockers become read-only; cannot reopen or modify</t>
  </si>
  <si>
    <t>Release Status ≥ Deploying</t>
  </si>
  <si>
    <t>New blockers</t>
  </si>
  <si>
    <t>Cannot create new blockers once release Status = Deploying or later</t>
  </si>
  <si>
    <t>Decision = Approved/Rejected</t>
  </si>
  <si>
    <t>Granted or rejected approvals become read-only</t>
  </si>
  <si>
    <t>Release Status = Cancelled</t>
  </si>
  <si>
    <t>All approvals cancelled when release is cancelled (cascade)</t>
  </si>
  <si>
    <t>Sign-Off = Yes</t>
  </si>
  <si>
    <t>Completed sign-offs cannot be changed to No (without rework)</t>
  </si>
  <si>
    <t>Release Status ≥ Pending CAB</t>
  </si>
  <si>
    <t>Sign-off fields locked once release reaches Pending CAB</t>
  </si>
  <si>
    <t>Release Status ≥ Ready</t>
  </si>
  <si>
    <t>Mitigation = Complete</t>
  </si>
  <si>
    <t>Dependency Status = Met</t>
  </si>
  <si>
    <t>Met dependencies are locked; system auto-updates when prerequisite deploys</t>
  </si>
  <si>
    <t>Conflict</t>
  </si>
  <si>
    <t>Conflict Status = Resolved</t>
  </si>
  <si>
    <t>Resolved conflicts become read-only</t>
  </si>
  <si>
    <t>Release Status = Deploying</t>
  </si>
  <si>
    <t>Environment assignment locked during active deployment</t>
  </si>
  <si>
    <t>Booking confirmed</t>
  </si>
  <si>
    <t>Work Item (Jira/ServiceNow)</t>
  </si>
  <si>
    <t>Checklist Item</t>
  </si>
  <si>
    <t>Checklist items locked during deployment</t>
  </si>
  <si>
    <t>PROGRESSION BLOCKERS - CONDITIONS THAT PREVENT STATUS TRANSITIONS</t>
  </si>
  <si>
    <t>Target Status</t>
  </si>
  <si>
    <t>Blocking Condition</t>
  </si>
  <si>
    <t>Blocker Type</t>
  </si>
  <si>
    <t>Rule Ref</t>
  </si>
  <si>
    <t>Error Message</t>
  </si>
  <si>
    <t>Resolution</t>
  </si>
  <si>
    <t>Release Name is blank</t>
  </si>
  <si>
    <t>Field</t>
  </si>
  <si>
    <t>Release name is required</t>
  </si>
  <si>
    <t>Enter release name</t>
  </si>
  <si>
    <t>Application is blank</t>
  </si>
  <si>
    <t>Application must be selected</t>
  </si>
  <si>
    <t>Select application</t>
  </si>
  <si>
    <t>Size not set</t>
  </si>
  <si>
    <t>Select Small/Medium/Large</t>
  </si>
  <si>
    <t>Start Date is blank</t>
  </si>
  <si>
    <t>Enter start date</t>
  </si>
  <si>
    <t>End Date &lt; Start Date</t>
  </si>
  <si>
    <t>Validation</t>
  </si>
  <si>
    <t>End date cannot be before start date</t>
  </si>
  <si>
    <t>Correct dates</t>
  </si>
  <si>
    <t>Enabler</t>
  </si>
  <si>
    <t>Test sign-off required before UAT</t>
  </si>
  <si>
    <t>Complete test sign-off</t>
  </si>
  <si>
    <t>Open blocker exists (Testing phase)</t>
  </si>
  <si>
    <t>Impediment</t>
  </si>
  <si>
    <t>Resolve all blockers</t>
  </si>
  <si>
    <t>Dev Sign-Off = No</t>
  </si>
  <si>
    <t>Development sign-off required</t>
  </si>
  <si>
    <t>Complete dev sign-off</t>
  </si>
  <si>
    <t>Test Sign-Off = No</t>
  </si>
  <si>
    <t>Test sign-off required</t>
  </si>
  <si>
    <t>UAT Sign-Off = No</t>
  </si>
  <si>
    <t>UAT sign-off required</t>
  </si>
  <si>
    <t>Complete UAT sign-off</t>
  </si>
  <si>
    <t>Open blocker exists</t>
  </si>
  <si>
    <t>All blockers must be resolved</t>
  </si>
  <si>
    <t>Rollback Plan is blank</t>
  </si>
  <si>
    <t>Rollback plan is required</t>
  </si>
  <si>
    <t>Document rollback plan</t>
  </si>
  <si>
    <t>Release Notes is blank</t>
  </si>
  <si>
    <t>Release notes are required</t>
  </si>
  <si>
    <t>Enter release notes</t>
  </si>
  <si>
    <t>High risk without mitigation</t>
  </si>
  <si>
    <t>Add mitigation plan</t>
  </si>
  <si>
    <t>Active blockers prevent Ready status</t>
  </si>
  <si>
    <t>Rollback Plan ≠ Ready</t>
  </si>
  <si>
    <t>Rollback plan must be marked Ready</t>
  </si>
  <si>
    <t>Finalize rollback plan</t>
  </si>
  <si>
    <t>Deployment Checklist ≠ Complete</t>
  </si>
  <si>
    <t>Deployment checklist incomplete</t>
  </si>
  <si>
    <t>Complete all checklist items</t>
  </si>
  <si>
    <t>Unmet hard dependency</t>
  </si>
  <si>
    <t>Prerequisite releases not complete</t>
  </si>
  <si>
    <t>Wait for dependencies</t>
  </si>
  <si>
    <t>High-severity risks need mitigation</t>
  </si>
  <si>
    <t>Add mitigation for all high risks</t>
  </si>
  <si>
    <t>Ops Sign-Off = No</t>
  </si>
  <si>
    <t>Operations sign-off required for Ready</t>
  </si>
  <si>
    <t>Obtain ops sign-off</t>
  </si>
  <si>
    <t>Large release: Dress Rehearsal ≠ Done</t>
  </si>
  <si>
    <t>Dress rehearsal recommended for Large</t>
  </si>
  <si>
    <t>Complete dress rehearsal (Warning only)</t>
  </si>
  <si>
    <t>No environment booking</t>
  </si>
  <si>
    <t>Environment booking required</t>
  </si>
  <si>
    <t>Book deployment environment</t>
  </si>
  <si>
    <t>Environment slot expired</t>
  </si>
  <si>
    <t>Environment booking has expired</t>
  </si>
  <si>
    <t>Re-book environment slot</t>
  </si>
  <si>
    <t>Hard dependency not Deployed/Closed</t>
  </si>
  <si>
    <t>Prerequisite releases incomplete</t>
  </si>
  <si>
    <t>Wait for hard dependencies</t>
  </si>
  <si>
    <t>Deploy Date in Freeze Window</t>
  </si>
  <si>
    <t>Policy</t>
  </si>
  <si>
    <t>Deployment in freeze period blocked</t>
  </si>
  <si>
    <t>Get VP exemption (Regulatory only)</t>
  </si>
  <si>
    <t>Linked work items incomplete</t>
  </si>
  <si>
    <t>Work Item</t>
  </si>
  <si>
    <t>All linked work items must be Done/Closed</t>
  </si>
  <si>
    <t>Complete all work items</t>
  </si>
  <si>
    <t>Critical incident linked</t>
  </si>
  <si>
    <t>Critical incidents auto-block release</t>
  </si>
  <si>
    <t>Resolve critical incident</t>
  </si>
  <si>
    <t>Deployment not confirmed</t>
  </si>
  <si>
    <t>Deployment outcome must be confirmed</t>
  </si>
  <si>
    <t>Confirm deployment success</t>
  </si>
  <si>
    <t>Post-deploy checks failed</t>
  </si>
  <si>
    <t>Complete validation or rollback</t>
  </si>
  <si>
    <t>Open incidents linked</t>
  </si>
  <si>
    <t>Cannot close with open incidents</t>
  </si>
  <si>
    <t>Close all linked incidents</t>
  </si>
  <si>
    <t>Post-implementation review incomplete</t>
  </si>
  <si>
    <t>PIR required before closure</t>
  </si>
  <si>
    <t>Complete post-implementation review</t>
  </si>
  <si>
    <t>ENABLERS - REQUIREMENTS THAT MUST BE MET BEFORE TRANSITIONS</t>
  </si>
  <si>
    <t>Enabler Type</t>
  </si>
  <si>
    <t>When Required</t>
  </si>
  <si>
    <t>Status Value Needed</t>
  </si>
  <si>
    <t>Before Pending CAB</t>
  </si>
  <si>
    <t>Confirms development work complete and unit tested</t>
  </si>
  <si>
    <t>Confirms testing complete with passing results</t>
  </si>
  <si>
    <t>Confirms business users accepted the release</t>
  </si>
  <si>
    <t>Yes (if required)</t>
  </si>
  <si>
    <t>Required for security-sensitive systems</t>
  </si>
  <si>
    <t>Before Ready</t>
  </si>
  <si>
    <t>Confirms operations team readiness</t>
  </si>
  <si>
    <t>Documented procedure to reverse deployment</t>
  </si>
  <si>
    <t>Complete</t>
  </si>
  <si>
    <t>All pre-deployment tasks verified</t>
  </si>
  <si>
    <t>Before Ready (Large)</t>
  </si>
  <si>
    <t>Done</t>
  </si>
  <si>
    <t>Practice deployment (Warning for Large releases)</t>
  </si>
  <si>
    <t>Before Deploying</t>
  </si>
  <si>
    <t>Confirmed</t>
  </si>
  <si>
    <t>Slot reserved in target environment</t>
  </si>
  <si>
    <t>Hard Dependencies</t>
  </si>
  <si>
    <t>All Met</t>
  </si>
  <si>
    <t>All prerequisite releases deployed/closed</t>
  </si>
  <si>
    <t>Risk Mitigations</t>
  </si>
  <si>
    <t>Complete (High risks)</t>
  </si>
  <si>
    <t>High-severity risks have documented mitigations</t>
  </si>
  <si>
    <t>Work Items</t>
  </si>
  <si>
    <t>All Done/Closed</t>
  </si>
  <si>
    <t>All linked Jira/ServiceNow items completed</t>
  </si>
  <si>
    <t>Rollback + Notes</t>
  </si>
  <si>
    <t>Minimum documentation requirements met</t>
  </si>
  <si>
    <t>§3-11</t>
  </si>
  <si>
    <t>Release Name Lock After Pending CAB</t>
  </si>
  <si>
    <t>Release Name becomes read-only once Status &gt;= Pending CAB. Name changes during approval would cause confusion.</t>
  </si>
  <si>
    <t>User attempts name edit after Pending CAB</t>
  </si>
  <si>
    <t>Block edit; name is frozen</t>
  </si>
  <si>
    <t>§3-12</t>
  </si>
  <si>
    <t>Application Lock After Testing</t>
  </si>
  <si>
    <t>Application assignment becomes read-only once Status &gt;= Testing. Cannot reassign release to different app.</t>
  </si>
  <si>
    <t>User attempts app change after Testing</t>
  </si>
  <si>
    <t>Block edit; app is frozen</t>
  </si>
  <si>
    <t>§3-13</t>
  </si>
  <si>
    <t>Release Type Lock After UAT</t>
  </si>
  <si>
    <t>Release Type (Standard/Emergency/Regulatory) locks once Status &gt;= UAT.</t>
  </si>
  <si>
    <t>User attempts type change after UAT</t>
  </si>
  <si>
    <t>Block edit; type is frozen</t>
  </si>
  <si>
    <t>§3-14</t>
  </si>
  <si>
    <t>Ownership Lock After Ready</t>
  </si>
  <si>
    <t>Release Owner and Backup Owner become read-only once Status &gt;= Ready.</t>
  </si>
  <si>
    <t>User attempts owner change after Ready</t>
  </si>
  <si>
    <t>Block edit; ownership frozen</t>
  </si>
  <si>
    <t>§3-15</t>
  </si>
  <si>
    <t>Lead Lock After Pending CAB</t>
  </si>
  <si>
    <t>Technical Lead and Business Owner become read-only once Status &gt;= Pending CAB.</t>
  </si>
  <si>
    <t>User attempts lead change after Pending CAB</t>
  </si>
  <si>
    <t>Block edit; leads frozen</t>
  </si>
  <si>
    <t>§3-16</t>
  </si>
  <si>
    <t>Impact Lock After Pending CAB</t>
  </si>
  <si>
    <t>Impact Assessment and Affected Systems become read-only once Status &gt;= Pending CAB.</t>
  </si>
  <si>
    <t>User attempts impact edit after Pending CAB</t>
  </si>
  <si>
    <t>Block edit; impact frozen</t>
  </si>
  <si>
    <t>§3-17</t>
  </si>
  <si>
    <t>CAB Date Lock After Pending CAB</t>
  </si>
  <si>
    <t>CAB Date becomes read-only once Status &gt;= Pending CAB.</t>
  </si>
  <si>
    <t>User attempts CAB date edit after Pending CAB</t>
  </si>
  <si>
    <t>Block edit; CAB date frozen</t>
  </si>
  <si>
    <t>§3-18</t>
  </si>
  <si>
    <t>Deployment Fields Lock at Deploying</t>
  </si>
  <si>
    <t>Deployment Window, Checklist, and Dress Rehearsal become read-only once Status = Deploying.</t>
  </si>
  <si>
    <t>User attempts deployment field edit</t>
  </si>
  <si>
    <t>Block edit; deployment fields frozen</t>
  </si>
  <si>
    <t>§3-19</t>
  </si>
  <si>
    <t>Documentation Lock After Pending CAB</t>
  </si>
  <si>
    <t>Release Notes, Change Description, and Justification become read-only once Status &gt;= Pending CAB.</t>
  </si>
  <si>
    <t>User attempts documentation edit after Pending CAB</t>
  </si>
  <si>
    <t>Block edit; documentation frozen</t>
  </si>
  <si>
    <t>§3-20</t>
  </si>
  <si>
    <t>Communication Lock After Ready</t>
  </si>
  <si>
    <t>Communication Plan becomes read-only once Status &gt;= Ready.</t>
  </si>
  <si>
    <t>User attempts comms edit after Ready</t>
  </si>
  <si>
    <t>Block edit; comms plan frozen</t>
  </si>
  <si>
    <t>§3-21</t>
  </si>
  <si>
    <t>Sign-Off Completion Lock</t>
  </si>
  <si>
    <t>Once a sign-off is set to 'Yes', it cannot be changed back to 'No' without returning release to a rework status (Testing or Planning).</t>
  </si>
  <si>
    <t>User attempts to revoke sign-off</t>
  </si>
  <si>
    <t>Block unless status reverts to rework</t>
  </si>
  <si>
    <t>§3-22</t>
  </si>
  <si>
    <t>Risk Lock After Ready</t>
  </si>
  <si>
    <t>User attempts risk edit after Ready</t>
  </si>
  <si>
    <t>Block edit; risks frozen</t>
  </si>
  <si>
    <t>VR-28</t>
  </si>
  <si>
    <t>Work Items Complete Before Ready</t>
  </si>
  <si>
    <t>All work items (Jira tickets, ServiceNow tasks) linked to the release must have Status = Done or Closed before transitioning to Ready. Open work items indicate incomplete development.</t>
  </si>
  <si>
    <t>VR-29</t>
  </si>
  <si>
    <t>Work Items Complete Before Deploying</t>
  </si>
  <si>
    <t>All linked work items must be Done/Closed before transitioning to Deploying. This is the final check before deployment begins.</t>
  </si>
  <si>
    <t>VR-30</t>
  </si>
  <si>
    <t>Test Sign-Off Before UAT</t>
  </si>
  <si>
    <t>Test Sign-Off must be 'Yes' before a release can transition from Testing to UAT. Ensures testing phase is formally complete.</t>
  </si>
  <si>
    <t>User moves to UAT</t>
  </si>
  <si>
    <t>VR-31</t>
  </si>
  <si>
    <t>Ops Sign-Off Before Ready</t>
  </si>
  <si>
    <t>Ops Sign-Off (operations readiness confirmation) must be 'Yes' before transitioning to Ready. Ensures infrastructure and support teams are prepared.</t>
  </si>
  <si>
    <t>VR-32</t>
  </si>
  <si>
    <t>VR-33</t>
  </si>
  <si>
    <t>Open Incidents Block Closure</t>
  </si>
  <si>
    <t>Release cannot transition to Closed if any linked Incident has Status = Open. All post-deployment issues must be resolved or delinked.</t>
  </si>
  <si>
    <t>User moves to Closed</t>
  </si>
  <si>
    <t>VR-34</t>
  </si>
  <si>
    <t>PIR Required Before Closure</t>
  </si>
  <si>
    <t>For releases with Size = Large or any release that was Rolled Back, Post-Implementation Review (PIR) field must be 'Complete' before transitioning to Closed.</t>
  </si>
  <si>
    <t>VR-35</t>
  </si>
  <si>
    <t>Blocker Creation Lock After Deploying</t>
  </si>
  <si>
    <t>New blockers cannot be created for a release once Status &gt;= Deploying. Issues found during deployment should be logged as Incidents instead.</t>
  </si>
  <si>
    <t>User attempts to create blocker</t>
  </si>
  <si>
    <t>Block; suggest create Incident instead</t>
  </si>
  <si>
    <t>VR-36</t>
  </si>
  <si>
    <t>Dependency Modification Lock</t>
  </si>
  <si>
    <t>Dependency records cannot be added or removed once release Status &gt;= Ready. Dependency structure is frozen for deployment.</t>
  </si>
  <si>
    <t>User attempts dependency change</t>
  </si>
  <si>
    <t>Block; dependencies frozen</t>
  </si>
  <si>
    <t>VR-37</t>
  </si>
  <si>
    <t>Security Sign-Off Required</t>
  </si>
  <si>
    <t>If the release affects security-sensitive systems (Security Flag = Yes), Security Sign-Off must be 'Yes' before transitioning to Pending CAB.</t>
  </si>
  <si>
    <t>Block if security-sensitive without sign-off</t>
  </si>
  <si>
    <t>Sheet</t>
  </si>
  <si>
    <t>Release Fields</t>
  </si>
  <si>
    <t>Field lock matrix (45 fields by status), related entity locks, progression blockers, enablers</t>
  </si>
  <si>
    <t>You need to know which fields lock at each status, what blocks transitions, or enabler requirements</t>
  </si>
  <si>
    <t>Locked</t>
  </si>
  <si>
    <t>Editable</t>
  </si>
  <si>
    <t>Editable*</t>
  </si>
  <si>
    <t>Editable = Can be modified</t>
  </si>
  <si>
    <t>Locked = Read-only</t>
  </si>
  <si>
    <t>Editable* = Editable but triggers status revert</t>
  </si>
  <si>
    <t>A traffic-light status showing overall release health: GREEN Green (healthy), YELLOW Yellow (at risk), RED Red (critical issues).</t>
  </si>
  <si>
    <t>Real-time calculation of Release Health based on: status, gate completion, blockers, conflicts, risks. Displayed as GREEN/YELLOW/RED.</t>
  </si>
  <si>
    <t>Computed health indicator (GREEN/YELLOW/RED)</t>
  </si>
  <si>
    <t>Test Case Name</t>
  </si>
  <si>
    <t>Rule Reference</t>
  </si>
  <si>
    <t>Test Steps (When)</t>
  </si>
  <si>
    <t>Example/Notes</t>
  </si>
  <si>
    <t>REL-TC-001</t>
  </si>
  <si>
    <t>1. Release Creation &amp; Field Validation</t>
  </si>
  <si>
    <t>Create release with all required fields</t>
  </si>
  <si>
    <t>§1-01, §1-02</t>
  </si>
  <si>
    <t>User has Release Manager role. No existing release with same name.</t>
  </si>
  <si>
    <t>1. Click 'New Release'
2. Enter Release Name: 'Q3 Payment Gateway Update'
3. Select Application: 'Payment Portal'
4. Click Save</t>
  </si>
  <si>
    <t>Release created successfully with Status = Draft. Release ID auto-generated. Created Date and Created By populated.</t>
  </si>
  <si>
    <t>Release Name must be unique per application.</t>
  </si>
  <si>
    <t>P1</t>
  </si>
  <si>
    <t>REL-TC-002</t>
  </si>
  <si>
    <t>Attempt to create release without Release Name</t>
  </si>
  <si>
    <t>User has Release Manager role.</t>
  </si>
  <si>
    <t>1. Click 'New Release'
2. Leave Release Name blank
3. Select Application: 'CRM System'
4. Click Save</t>
  </si>
  <si>
    <t>BLOCKED. Error message: 'Release name is required'. Release not created.</t>
  </si>
  <si>
    <t>Empty string and whitespace-only should be treated as blank.</t>
  </si>
  <si>
    <t>REL-TC-003</t>
  </si>
  <si>
    <t>Attempt to create release without Application</t>
  </si>
  <si>
    <t>1. Click 'New Release'
2. Enter Release Name: 'Test Release'
3. Leave Application unselected
4. Click Save</t>
  </si>
  <si>
    <t>BLOCKED. Error message: 'Application must be selected'. Release not created.</t>
  </si>
  <si>
    <t>REL-TC-004</t>
  </si>
  <si>
    <t>Create release with Unicode characters in name</t>
  </si>
  <si>
    <t>1. Click 'New Release'
2. Enter Release Name: '日本語リリース v2.0'
3. Select Application
4. Click Save</t>
  </si>
  <si>
    <t>Release created successfully. Unicode characters stored and displayed correctly.</t>
  </si>
  <si>
    <t>Test with CJK characters, Cyrillic, Arabic, emoji (🚀)</t>
  </si>
  <si>
    <t>P2</t>
  </si>
  <si>
    <t>REL-TC-005</t>
  </si>
  <si>
    <t>Create release with emoji in name</t>
  </si>
  <si>
    <t>1. Click 'New Release'
2. Enter Release Name: '🚀 Launch v2.0 🎉'
3. Select Application
4. Click Save</t>
  </si>
  <si>
    <t>Release created successfully. Emoji characters stored and displayed correctly.</t>
  </si>
  <si>
    <t>P3</t>
  </si>
  <si>
    <t>REL-TC-006</t>
  </si>
  <si>
    <t>Validate End Date cannot be before Start Date</t>
  </si>
  <si>
    <t>Release exists in Draft status.</t>
  </si>
  <si>
    <t>1. Open release
2. Set Start Date: 2026-08-15
3. Set End Date: 2026-08-10
4. Click Save</t>
  </si>
  <si>
    <t>BLOCKED. Error message: 'End date cannot be before start date'. Changes not saved.</t>
  </si>
  <si>
    <t>Example: Start=Aug 15, End=Aug 10 should fail.</t>
  </si>
  <si>
    <t>REL-TC-007</t>
  </si>
  <si>
    <t>Validate Start Date equals End Date is allowed</t>
  </si>
  <si>
    <t>1. Open release
2. Set Start Date: 2026-08-15
3. Set End Date: 2026-08-15
4. Click Save</t>
  </si>
  <si>
    <t>Saved successfully. Duration = 1 day (same-day release allowed).</t>
  </si>
  <si>
    <t>Single-day releases are valid.</t>
  </si>
  <si>
    <t>REL-TC-008</t>
  </si>
  <si>
    <t>Verify Release ID is auto-generated and read-only</t>
  </si>
  <si>
    <t>User creates a new release.</t>
  </si>
  <si>
    <t>1. Create new release with valid data
2. Attempt to manually edit Release ID field</t>
  </si>
  <si>
    <t>Release ID auto-assigned (e.g., REL-00123). Field is read-only and cannot be edited.</t>
  </si>
  <si>
    <t>Format: REL-NNNNN</t>
  </si>
  <si>
    <t>REL-TC-009</t>
  </si>
  <si>
    <t>Verify Created Date is system-generated</t>
  </si>
  <si>
    <t>1. Create new release
2. Check Created Date field
3. Attempt to edit Created Date</t>
  </si>
  <si>
    <t>Created Date = current system timestamp. Field is read-only.</t>
  </si>
  <si>
    <t>Timestamp should include date and time.</t>
  </si>
  <si>
    <t>REL-TC-010</t>
  </si>
  <si>
    <t>Verify Created By is system-generated</t>
  </si>
  <si>
    <t>User 'john.smith@company.com' creates a new release.</t>
  </si>
  <si>
    <t>1. Create new release
2. Check Created By field
3. Attempt to edit Created By</t>
  </si>
  <si>
    <t>Created By = 'john.smith@company.com'. Field is read-only.</t>
  </si>
  <si>
    <t>REL-TC-011</t>
  </si>
  <si>
    <t>Validate Size field accepts only S/M/L values</t>
  </si>
  <si>
    <t>Release in Planning status.</t>
  </si>
  <si>
    <t>1. Open release
2. Attempt to set Size to 'Extra Large' or invalid value</t>
  </si>
  <si>
    <t>BLOCKED. Only Small (S), Medium (M), Large (L) values accepted.</t>
  </si>
  <si>
    <t>Dropdown should limit options.</t>
  </si>
  <si>
    <t>REL-TC-012</t>
  </si>
  <si>
    <t>Validate Priority field accepts only P1-P4</t>
  </si>
  <si>
    <t>1. Open release
2. Attempt to set Priority to 'P0' or 'P5'</t>
  </si>
  <si>
    <t>BLOCKED. Only P1, P2, P3, P4 values accepted.</t>
  </si>
  <si>
    <t>REL-TC-013</t>
  </si>
  <si>
    <t>Verify Duration is auto-calculated</t>
  </si>
  <si>
    <t>Release with Start Date = 2026-08-01, End Date = 2026-08-10.</t>
  </si>
  <si>
    <t>1. Set Start Date and End Date
2. Save release
3. Check Duration field</t>
  </si>
  <si>
    <t>Duration auto-calculated as 10 days. Field is read-only.</t>
  </si>
  <si>
    <t>Formula: End Date - Start Date + 1</t>
  </si>
  <si>
    <t>REL-TC-014</t>
  </si>
  <si>
    <t>Verify Last Modified Date updates on save</t>
  </si>
  <si>
    <t>Existing release. Note current Last Modified Date.</t>
  </si>
  <si>
    <t>1. Open release
2. Edit any field (e.g., Scope Description)
3. Save
4. Check Last Modified Date</t>
  </si>
  <si>
    <t>Last Modified Date updated to current timestamp. Last Modified By updated to current user.</t>
  </si>
  <si>
    <t>REL-TC-015</t>
  </si>
  <si>
    <t>2. Status Transitions - Happy Path</t>
  </si>
  <si>
    <t>Transition Draft → Planning with required fields</t>
  </si>
  <si>
    <t>Release in Draft status with Release Name and Application set.</t>
  </si>
  <si>
    <t>1. Open release in Draft
2. Set Release Owner: 'jane.doe@company.com'
3. Set Size: Medium
4. Click 'Move to Planning'</t>
  </si>
  <si>
    <t>Status changes to Planning. Audit trail records transition with timestamp and user.</t>
  </si>
  <si>
    <t>Owner and Size required per §1-04, §1-06</t>
  </si>
  <si>
    <t>REL-TC-016</t>
  </si>
  <si>
    <t>Transition Planning → Testing with required fields</t>
  </si>
  <si>
    <t>Release in Planning status with Owner, Size, Start Date, End Date set.</t>
  </si>
  <si>
    <t>1. Open release in Planning
2. Set Priority: P2
3. Click 'Move to Testing'</t>
  </si>
  <si>
    <t>Status changes to Testing. All fields remain editable.</t>
  </si>
  <si>
    <t>Priority required per §1-05</t>
  </si>
  <si>
    <t>REL-TC-017</t>
  </si>
  <si>
    <t>Transition Testing → UAT</t>
  </si>
  <si>
    <t>Release in Testing status. Test Sign-Off = Yes. No open blockers.</t>
  </si>
  <si>
    <t>1. Complete Test Sign-Off
2. Resolve any blockers
3. Click 'Move to UAT'</t>
  </si>
  <si>
    <t>Status changes to UAT. UAT environment booking becomes required.</t>
  </si>
  <si>
    <t>Test sign-off gate per VR-30</t>
  </si>
  <si>
    <t>REL-TC-018</t>
  </si>
  <si>
    <t>Transition UAT → Pending CAB with all sign-offs</t>
  </si>
  <si>
    <t>§4-04, VR-14</t>
  </si>
  <si>
    <t>Release in UAT. Dev Sign-Off=Yes, Test Sign-Off=Yes, UAT Sign-Off=Yes. Go-Live Date set. No open blockers. Rollback Plan and Release Notes entered.</t>
  </si>
  <si>
    <t>1. Complete all required sign-offs
2. Set Go-Live Date: 2026-09-01
3. Enter Rollback Plan
4. Enter Release Notes
5. Click 'Submit to CAB'</t>
  </si>
  <si>
    <t>Status changes to Pending CAB. Sign-off fields become locked. Notification sent to CAB approvers.</t>
  </si>
  <si>
    <t>All gates required per VR-14, VR-24</t>
  </si>
  <si>
    <t>REL-TC-019</t>
  </si>
  <si>
    <t>CAB Approval: Pending CAB → Approved</t>
  </si>
  <si>
    <t>Release in Pending CAB. CAB Member logged in.</t>
  </si>
  <si>
    <t>1. CAB Member opens release
2. Reviews documentation
3. Clicks 'Approve'
4. Enters approval comments</t>
  </si>
  <si>
    <t>Status changes to Approved. Approval record created with timestamp and approver. 30-day expiry timer starts.</t>
  </si>
  <si>
    <t>Approval locked per §3-10</t>
  </si>
  <si>
    <t>REL-TC-020</t>
  </si>
  <si>
    <t>Transition Approved → Ready with all gates</t>
  </si>
  <si>
    <t>§4-06, VR-16</t>
  </si>
  <si>
    <t>Release in Approved status. Rollback Plan = Ready. Deployment Checklist = Complete. Ops Sign-Off = Yes. No open blockers. No unmet hard dependencies.</t>
  </si>
  <si>
    <t>1. Mark Rollback Plan as Ready
2. Complete Deployment Checklist
3. Obtain Ops Sign-Off
4. Click 'Move to Ready'</t>
  </si>
  <si>
    <t>Status changes to Ready. Ownership fields lock. Release eligible for deployment.</t>
  </si>
  <si>
    <t>Ready gates per VR-16, VR-27, VR-31</t>
  </si>
  <si>
    <t>REL-TC-021</t>
  </si>
  <si>
    <t>Transition Ready → Deploying with environment booking</t>
  </si>
  <si>
    <t>§4-07, VR-19</t>
  </si>
  <si>
    <t>Release in Ready status. Environment booked. Deploy Date set. Hard dependencies met. Not in freeze window.</t>
  </si>
  <si>
    <t>1. Confirm environment booking
2. Set Deploy Date within booking window
3. Click 'Start Deployment'</t>
  </si>
  <si>
    <t>Status changes to Deploying. Date and scope fields lock. Deployment timer starts.</t>
  </si>
  <si>
    <t>Environment required per VR-19</t>
  </si>
  <si>
    <t>REL-TC-022</t>
  </si>
  <si>
    <t>Transition Deploying → Deployed</t>
  </si>
  <si>
    <t>Release in Deploying status. Deployment activities completed.</t>
  </si>
  <si>
    <t>1. Complete deployment steps
2. Verify deployment success
3. Click 'Confirm Deployed'</t>
  </si>
  <si>
    <t>Status changes to Deployed. Post-deployment validation period starts.</t>
  </si>
  <si>
    <t>REL-TC-023</t>
  </si>
  <si>
    <t>Transition Deployed → Closed</t>
  </si>
  <si>
    <t>Release in Deployed status. No open incidents. Post-implementation review complete.</t>
  </si>
  <si>
    <t>1. Complete post-implementation review
2. Close any linked incidents
3. Click 'Close Release'</t>
  </si>
  <si>
    <t>Status changes to Closed. ALL fields become IMMUTABLE. Record archived.</t>
  </si>
  <si>
    <t>Terminal status per §3-01</t>
  </si>
  <si>
    <t>REL-TC-024</t>
  </si>
  <si>
    <t>Cancel release from Draft status</t>
  </si>
  <si>
    <t>Release in Draft status.</t>
  </si>
  <si>
    <t>1. Open release
2. Click 'Cancel Release'
3. Enter cancellation reason
4. Confirm cancellation</t>
  </si>
  <si>
    <t>Status changes to Cancelled. ALL fields become IMMUTABLE. Linked records cascaded.</t>
  </si>
  <si>
    <t>Can cancel from any non-terminal status</t>
  </si>
  <si>
    <t>REL-TC-025</t>
  </si>
  <si>
    <t>Cancel release from Planning status</t>
  </si>
  <si>
    <t>Release in Planning status with some blockers and risks.</t>
  </si>
  <si>
    <t>1. Click 'Cancel Release'
2. Enter reason: 'Project deprioritized'
3. Confirm</t>
  </si>
  <si>
    <t>REL-TC-026</t>
  </si>
  <si>
    <t>Cancel release from Approved status</t>
  </si>
  <si>
    <t>Release in Approved status (CAB approved but not yet deployed).</t>
  </si>
  <si>
    <t>1. Click 'Cancel Release'
2. Enter reason
3. Confirm</t>
  </si>
  <si>
    <t>Status changes to Cancelled. Approval records preserved for audit but marked as superseded.</t>
  </si>
  <si>
    <t>REL-TC-027</t>
  </si>
  <si>
    <t>CAB Deferral: Pending CAB → Deferred</t>
  </si>
  <si>
    <t>1. CAB Member reviews release
2. Clicks 'Defer'
3. Enters deferral reason and new target date</t>
  </si>
  <si>
    <t>Status changes to Deferred. Original CAB date preserved. Release can be resubmitted.</t>
  </si>
  <si>
    <t>REL-TC-028</t>
  </si>
  <si>
    <t>Resubmit deferred release: Deferred → Pending CAB</t>
  </si>
  <si>
    <t>Release in Deferred status. Issues addressed.</t>
  </si>
  <si>
    <t>1. Update Go-Live Date if needed
2. Click 'Resubmit to CAB'</t>
  </si>
  <si>
    <t>Status changes to Pending CAB. New approval cycle starts.</t>
  </si>
  <si>
    <t>REL-TC-029</t>
  </si>
  <si>
    <t>Full lifecycle: Draft to Closed</t>
  </si>
  <si>
    <t>All §4</t>
  </si>
  <si>
    <t>No existing release. User has RM role.</t>
  </si>
  <si>
    <t>1. Create new release (Draft)
2. Add required fields → Planning
3. Set Priority → Testing
4. Complete Test Sign-Off → UAT
5. Complete all sign-offs → Pending CAB
6. CAB Approve → Approved
7. Complete gates → Ready
8. Book env, start deploy → Deploying
9. Confirm → Deployed
10. Close</t>
  </si>
  <si>
    <t>Release progresses through all 10 statuses. Audit trail shows complete history. Duration calculated correctly.</t>
  </si>
  <si>
    <t>End-to-end smoke test</t>
  </si>
  <si>
    <t>REL-TC-030</t>
  </si>
  <si>
    <t>3. Status Transitions - Negative Cases</t>
  </si>
  <si>
    <t>Block Draft → Planning without Owner</t>
  </si>
  <si>
    <t>Release in Draft status. Release Owner not set.</t>
  </si>
  <si>
    <t>1. Open release in Draft
2. Leave Release Owner blank
3. Click 'Move to Planning'</t>
  </si>
  <si>
    <t>BLOCKED. Error: 'Release owner is required'. Status remains Draft.</t>
  </si>
  <si>
    <t>REL-TC-031</t>
  </si>
  <si>
    <t>Block Draft → Planning without Size</t>
  </si>
  <si>
    <t>Release in Draft status. Size not set.</t>
  </si>
  <si>
    <t>1. Open release in Draft
2. Set Owner but leave Size blank
3. Click 'Move to Planning'</t>
  </si>
  <si>
    <t>BLOCKED. Error: 'Release size is required'. Status remains Draft.</t>
  </si>
  <si>
    <t>REL-TC-032</t>
  </si>
  <si>
    <t>Block Planning → Testing without Priority</t>
  </si>
  <si>
    <t>Release in Planning status. Priority not set.</t>
  </si>
  <si>
    <t>1. Open release in Planning
2. Leave Priority blank
3. Click 'Move to Testing'</t>
  </si>
  <si>
    <t>BLOCKED. Error: 'Priority is required'. Status remains Planning.</t>
  </si>
  <si>
    <t>REL-TC-033</t>
  </si>
  <si>
    <t>Block Planning → Testing without Start Date</t>
  </si>
  <si>
    <t>Release in Planning status. Start Date not set.</t>
  </si>
  <si>
    <t>1. Open release in Planning
2. Set Priority but leave Start Date blank
3. Click 'Move to Testing'</t>
  </si>
  <si>
    <t>BLOCKED. Error: 'Start date is required'. Status remains Planning.</t>
  </si>
  <si>
    <t>REL-TC-034</t>
  </si>
  <si>
    <t>Block Testing → UAT without Test Sign-Off</t>
  </si>
  <si>
    <t>Release in Testing status. Test Sign-Off = No.</t>
  </si>
  <si>
    <t>1. Open release in Testing
2. Test Sign-Off remains 'No'
3. Click 'Move to UAT'</t>
  </si>
  <si>
    <t>REL-TC-035</t>
  </si>
  <si>
    <t>Block Testing → UAT with open blockers</t>
  </si>
  <si>
    <t>Release in Testing status. One blocker with Status = Open.</t>
  </si>
  <si>
    <t>1. Create blocker for release
2. Leave blocker Open
3. Attempt 'Move to UAT'</t>
  </si>
  <si>
    <t>BLOCKED. Error: 'Active blockers must be resolved'. Status remains Testing.</t>
  </si>
  <si>
    <t>REL-TC-036</t>
  </si>
  <si>
    <t>Block UAT → Pending CAB without Dev Sign-Off</t>
  </si>
  <si>
    <t>Release in UAT. Dev Sign-Off = No. Other sign-offs complete.</t>
  </si>
  <si>
    <t>1. Open release in UAT
2. Dev Sign-Off = No
3. Click 'Submit to CAB'</t>
  </si>
  <si>
    <t>REL-TC-037</t>
  </si>
  <si>
    <t>Block UAT → Pending CAB without UAT Sign-Off</t>
  </si>
  <si>
    <t>Release in UAT. UAT Sign-Off = No.</t>
  </si>
  <si>
    <t>1. Complete Dev and Test Sign-Offs
2. Leave UAT Sign-Off = No
3. Click 'Submit to CAB'</t>
  </si>
  <si>
    <t>REL-TC-038</t>
  </si>
  <si>
    <t>Block UAT → Pending CAB without Go-Live Date</t>
  </si>
  <si>
    <t>Release in UAT. All sign-offs complete. Go-Live Date blank.</t>
  </si>
  <si>
    <t>1. Complete all sign-offs
2. Leave Go-Live Date blank
3. Click 'Submit to CAB'</t>
  </si>
  <si>
    <t>BLOCKED. Error: 'Go-Live Date is required'. Status remains UAT.</t>
  </si>
  <si>
    <t>REL-TC-039</t>
  </si>
  <si>
    <t>Block UAT → Pending CAB with open blockers</t>
  </si>
  <si>
    <t>Release in UAT. All sign-offs done. One blocker Status = In Progress.</t>
  </si>
  <si>
    <t>1. Complete sign-offs
2. Set Go-Live Date
3. Blocker exists with Status 'In Progress'
4. Click 'Submit to CAB'</t>
  </si>
  <si>
    <t>REL-TC-040</t>
  </si>
  <si>
    <t>Block UAT → Pending CAB without Rollback Plan</t>
  </si>
  <si>
    <t>Release in UAT. Sign-offs done. Go-Live set. Rollback Plan blank.</t>
  </si>
  <si>
    <t>1. Complete sign-offs and set Go-Live Date
2. Leave Rollback Plan blank
3. Click 'Submit to CAB'</t>
  </si>
  <si>
    <t>REL-TC-041</t>
  </si>
  <si>
    <t>Block UAT → Pending CAB without Release Notes</t>
  </si>
  <si>
    <t>Release in UAT. Sign-offs done. Go-Live set. Rollback Plan entered. Release Notes blank.</t>
  </si>
  <si>
    <t>1. Complete all gates except Release Notes
2. Leave Release Notes blank
3. Click 'Submit to CAB'</t>
  </si>
  <si>
    <t>REL-TC-042</t>
  </si>
  <si>
    <t>Block UAT → Pending CAB with high risk without mitigation</t>
  </si>
  <si>
    <t>Release in UAT with Risk (Probability=5, Impact=5, Score=25). No Mitigation Plan.</t>
  </si>
  <si>
    <t>1. Add Critical risk (score ≥16)
2. Leave Mitigation Plan blank
3. Attempt 'Submit to CAB'</t>
  </si>
  <si>
    <t>Risk score 16-25 = Critical</t>
  </si>
  <si>
    <t>REL-TC-043</t>
  </si>
  <si>
    <t>Block Approved → Ready with open blockers</t>
  </si>
  <si>
    <t>Release in Approved status. New blocker created after approval.</t>
  </si>
  <si>
    <t>1. Create blocker after CAB approval
2. Blocker Status = Open
3. Click 'Move to Ready'</t>
  </si>
  <si>
    <t>REL-TC-044</t>
  </si>
  <si>
    <t>Block Approved → Ready without Rollback Plan Ready</t>
  </si>
  <si>
    <t>Release in Approved. Rollback Plan entered but not marked 'Ready'.</t>
  </si>
  <si>
    <t>1. Rollback Plan = Draft or empty
2. Click 'Move to Ready'</t>
  </si>
  <si>
    <t>REL-TC-045</t>
  </si>
  <si>
    <t>Block Approved → Ready without Deployment Checklist complete</t>
  </si>
  <si>
    <t>Release in Approved. Deployment Checklist incomplete (3 of 5 items done).</t>
  </si>
  <si>
    <t>1. Leave checklist items unchecked
2. Click 'Move to Ready'</t>
  </si>
  <si>
    <t>REL-TC-046</t>
  </si>
  <si>
    <t>Block Approved → Ready without Ops Sign-Off</t>
  </si>
  <si>
    <t>Release in Approved. Ops Sign-Off = No.</t>
  </si>
  <si>
    <t>1. Complete other gates
2. Leave Ops Sign-Off = No
3. Click 'Move to Ready'</t>
  </si>
  <si>
    <t>REL-TC-047</t>
  </si>
  <si>
    <t>Block Approved → Ready with unmet hard dependency</t>
  </si>
  <si>
    <t>Release A in Approved. Hard dependency on Release B (Status = Testing).</t>
  </si>
  <si>
    <t>1. Create hard dependency A → B
2. Release B still in Testing
3. Try to move A to Ready</t>
  </si>
  <si>
    <t>REL-TC-048</t>
  </si>
  <si>
    <t>Block Approved → Ready with unacknowledged conflict</t>
  </si>
  <si>
    <t>Release in Approved. Conflict detected with another release. Status = Detected.</t>
  </si>
  <si>
    <t>1. System detects schedule conflict
2. Conflict not resolved or acknowledged
3. Click 'Move to Ready'</t>
  </si>
  <si>
    <t>REL-TC-049</t>
  </si>
  <si>
    <t>Block Ready → Deploying without environment booking</t>
  </si>
  <si>
    <t>Release in Ready. No environment booking exists.</t>
  </si>
  <si>
    <t>1. Release has no environment booking
2. Click 'Start Deployment'</t>
  </si>
  <si>
    <t>BLOCKED. Error: 'Environment booking required'. Status remains Ready.</t>
  </si>
  <si>
    <t>REL-TC-050</t>
  </si>
  <si>
    <t>Block Ready → Deploying with expired environment booking</t>
  </si>
  <si>
    <t>Release in Ready. Environment booking expired (past the time slot).</t>
  </si>
  <si>
    <t>1. Environment booking slot = yesterday
2. Click 'Start Deployment'</t>
  </si>
  <si>
    <t>BLOCKED. Error: 'Environment booking has expired'. Must re-book.</t>
  </si>
  <si>
    <t>REL-TC-051</t>
  </si>
  <si>
    <t>Block Ready → Deploying when hard dependency not deployed</t>
  </si>
  <si>
    <t>Release A in Ready. Hard dependency on Release B (Status = Ready, not yet Deployed).</t>
  </si>
  <si>
    <t>1. Hard dependency B Status = Ready
2. Try to start deployment of A</t>
  </si>
  <si>
    <t>REL-TC-052</t>
  </si>
  <si>
    <t>Block Ready → Deploying during freeze window</t>
  </si>
  <si>
    <t>Release in Ready. Deploy Date falls within active freeze window. Release is Standard type.</t>
  </si>
  <si>
    <t>1. Freeze window: Dec 15 - Jan 5
2. Deploy Date: Dec 20
3. Click 'Start Deployment'</t>
  </si>
  <si>
    <t>BLOCKED. Error: 'Deployment in freeze period blocked'. Requires VP exemption.</t>
  </si>
  <si>
    <t>Only Regulatory releases can get exemption</t>
  </si>
  <si>
    <t>REL-TC-053</t>
  </si>
  <si>
    <t>Block Ready → Deploying with incomplete linked work items</t>
  </si>
  <si>
    <t>Release in Ready. 3 Jira tickets linked, 1 still 'In Progress'.</t>
  </si>
  <si>
    <t>1. Link work items to release
2. One work item Status ≠ Done/Closed
3. Click 'Start Deployment'</t>
  </si>
  <si>
    <t>REL-TC-054</t>
  </si>
  <si>
    <t>Block Ready → Deploying with critical incident linked</t>
  </si>
  <si>
    <t>Release in Ready. Critical incident linked (Severity = P1, Status = Open).</t>
  </si>
  <si>
    <t>1. Critical incident linked to release
2. Incident Status = Open
3. Click 'Start Deployment'</t>
  </si>
  <si>
    <t>BLOCKED. Error: 'Critical incidents auto-block release'. Resolve incident first.</t>
  </si>
  <si>
    <t>REL-TC-055</t>
  </si>
  <si>
    <t>Block Deployed → Closed with open incidents</t>
  </si>
  <si>
    <t>Release in Deployed. Linked incident Status = Investigating.</t>
  </si>
  <si>
    <t>1. Incident linked to release
2. Incident Status = Open/Investigating
3. Click 'Close Release'</t>
  </si>
  <si>
    <t>REL-TC-056</t>
  </si>
  <si>
    <t>4. Field Lock Rules</t>
  </si>
  <si>
    <t>Closed release is completely immutable</t>
  </si>
  <si>
    <t>Release with Status = Closed.</t>
  </si>
  <si>
    <t>1. Open Closed release
2. Attempt to edit Release Name
3. Attempt to edit any other field</t>
  </si>
  <si>
    <t>ALL fields are read-only. No edits possible. Error: 'Closed records cannot be modified'.</t>
  </si>
  <si>
    <t>Terminal status - full immutability</t>
  </si>
  <si>
    <t>REL-TC-057</t>
  </si>
  <si>
    <t>Cancelled release is completely immutable</t>
  </si>
  <si>
    <t>Release with Status = Cancelled.</t>
  </si>
  <si>
    <t>1. Open Cancelled release
2. Attempt to edit Release Name
3. Attempt to edit Scope Description</t>
  </si>
  <si>
    <t>ALL fields are read-only. No edits possible. Error: 'Cancelled records cannot be modified'.</t>
  </si>
  <si>
    <t>REL-TC-058</t>
  </si>
  <si>
    <t>Release Name locks at Pending CAB</t>
  </si>
  <si>
    <t>Release with Status = Pending CAB.</t>
  </si>
  <si>
    <t>1. Open release in Pending CAB
2. Attempt to edit Release Name field</t>
  </si>
  <si>
    <t>BLOCKED. Release Name is read-only at Pending CAB and beyond.</t>
  </si>
  <si>
    <t>Locks to prevent confusion during approval</t>
  </si>
  <si>
    <t>REL-TC-059</t>
  </si>
  <si>
    <t>Application locks at Testing</t>
  </si>
  <si>
    <t>Release with Status = Testing.</t>
  </si>
  <si>
    <t>1. Open release in Testing
2. Attempt to change Application assignment</t>
  </si>
  <si>
    <t>BLOCKED. Application field is read-only at Testing and beyond.</t>
  </si>
  <si>
    <t>REL-TC-060</t>
  </si>
  <si>
    <t>Release Type locks at UAT</t>
  </si>
  <si>
    <t>Release with Status = UAT. Release Type = Standard.</t>
  </si>
  <si>
    <t>1. Open release in UAT
2. Attempt to change Release Type to Emergency</t>
  </si>
  <si>
    <t>BLOCKED. Release Type is read-only at UAT and beyond.</t>
  </si>
  <si>
    <t>REL-TC-061</t>
  </si>
  <si>
    <t>Release Owner locks at Ready</t>
  </si>
  <si>
    <t>Release with Status = Ready.</t>
  </si>
  <si>
    <t>1. Open release in Ready
2. Attempt to change Release Owner</t>
  </si>
  <si>
    <t>BLOCKED. Release Owner field is read-only at Ready and beyond.</t>
  </si>
  <si>
    <t>REL-TC-062</t>
  </si>
  <si>
    <t>Technical Lead locks at Pending CAB</t>
  </si>
  <si>
    <t>1. Open release in Pending CAB
2. Attempt to change Technical Lead</t>
  </si>
  <si>
    <t>BLOCKED. Technical Lead is read-only at Pending CAB and beyond.</t>
  </si>
  <si>
    <t>REL-TC-063</t>
  </si>
  <si>
    <t>Go-Live Date locks at Pending CAB</t>
  </si>
  <si>
    <t>Release with Status = Pending CAB. Go-Live Date = 2026-09-15.</t>
  </si>
  <si>
    <t>1. Open release in Pending CAB
2. Attempt to change Go-Live Date to 2026-10-01</t>
  </si>
  <si>
    <t>BLOCKED. Go-Live Date is read-only at Pending CAB and beyond.</t>
  </si>
  <si>
    <t>Date changes would invalidate CAB review</t>
  </si>
  <si>
    <t>REL-TC-064</t>
  </si>
  <si>
    <t>Sign-off fields lock at Pending CAB</t>
  </si>
  <si>
    <t>Release with Status = Pending CAB. Dev Sign-Off = Yes.</t>
  </si>
  <si>
    <t>1. Open release in Pending CAB
2. Attempt to change Dev Sign-Off to No</t>
  </si>
  <si>
    <t>BLOCKED. Sign-off fields are read-only once release reaches Pending CAB.</t>
  </si>
  <si>
    <t>Prevents sign-off changes during approval</t>
  </si>
  <si>
    <t>REL-TC-065</t>
  </si>
  <si>
    <t>Scope Description editable at Approved triggers revert</t>
  </si>
  <si>
    <t>Release with Status = Approved. User attempts scope change.</t>
  </si>
  <si>
    <t>1. Open release in Approved
2. Edit Scope Description
3. Save</t>
  </si>
  <si>
    <t>WARNING displayed: 'Scope change will revert status to Pending CAB'. User confirms, status reverts.</t>
  </si>
  <si>
    <t>Scope change = re-approval required</t>
  </si>
  <si>
    <t>REL-TC-066</t>
  </si>
  <si>
    <t>Size change at Approved triggers revert</t>
  </si>
  <si>
    <t>Release with Status = Approved. Size = Medium.</t>
  </si>
  <si>
    <t>1. Open release in Approved
2. Change Size to Large
3. Save and confirm warning</t>
  </si>
  <si>
    <t>Status reverts to Pending CAB. Audit trail shows 'Status reverted due to scope change'.</t>
  </si>
  <si>
    <t>REL-TC-067</t>
  </si>
  <si>
    <t>Priority change at Approved triggers revert</t>
  </si>
  <si>
    <t>Release with Status = Approved. Priority = P3.</t>
  </si>
  <si>
    <t>1. Open release in Approved
2. Change Priority to P1
3. Save and confirm warning</t>
  </si>
  <si>
    <t>REL-TC-068</t>
  </si>
  <si>
    <t>Date fields lock at Deploying</t>
  </si>
  <si>
    <t>Release with Status = Deploying.</t>
  </si>
  <si>
    <t>1. Open release in Deploying
2. Attempt to edit Start Date, End Date, Go-Live Date, Deploy Date</t>
  </si>
  <si>
    <t>BLOCKED. All date fields are read-only during deployment.</t>
  </si>
  <si>
    <t>REL-TC-069</t>
  </si>
  <si>
    <t>Scope fields lock at Deploying</t>
  </si>
  <si>
    <t>1. Open release in Deploying
2. Attempt to edit Size, Priority, Scope Description</t>
  </si>
  <si>
    <t>BLOCKED. Scope fields cannot be changed during active deployment.</t>
  </si>
  <si>
    <t>REL-TC-070</t>
  </si>
  <si>
    <t>Environment locks at Deploying</t>
  </si>
  <si>
    <t>Release with Status = Deploying. Environment = Production.</t>
  </si>
  <si>
    <t>1. Open release in Deploying
2. Attempt to change Environment to Staging</t>
  </si>
  <si>
    <t>BLOCKED. Environment cannot be changed during deployment.</t>
  </si>
  <si>
    <t>REL-TC-071</t>
  </si>
  <si>
    <t>Rollback Plan locks after Deployed</t>
  </si>
  <si>
    <t>Release with Status = Deployed.</t>
  </si>
  <si>
    <t>1. Open release in Deployed
2. Attempt to edit Rollback Plan</t>
  </si>
  <si>
    <t>BLOCKED. Rollback Plan cannot be modified after deployment.</t>
  </si>
  <si>
    <t>New rollback requires new release</t>
  </si>
  <si>
    <t>REL-TC-072</t>
  </si>
  <si>
    <t>CAB Date locks at Pending CAB</t>
  </si>
  <si>
    <t>Release with Status = Pending CAB. CAB Date = 2026-08-20.</t>
  </si>
  <si>
    <t>1. Open release in Pending CAB
2. Attempt to change CAB Date</t>
  </si>
  <si>
    <t>BLOCKED. CAB Date is read-only once submitted.</t>
  </si>
  <si>
    <t>REL-TC-073</t>
  </si>
  <si>
    <t>Documentation fields lock at Pending CAB</t>
  </si>
  <si>
    <t>1. Open release in Pending CAB
2. Attempt to edit Release Notes, Change Description, Justification</t>
  </si>
  <si>
    <t>BLOCKED. Documentation fields locked for CAB review stability.</t>
  </si>
  <si>
    <t>REL-TC-074</t>
  </si>
  <si>
    <t>Deployment fields lock at Deploying</t>
  </si>
  <si>
    <t>1. Open release in Deploying
2. Attempt to edit Deployment Window, Checklist, Dress Rehearsal</t>
  </si>
  <si>
    <t>BLOCKED. Deployment fields cannot be modified during execution.</t>
  </si>
  <si>
    <t>REL-TC-075</t>
  </si>
  <si>
    <t>Communication Plan locks at Ready</t>
  </si>
  <si>
    <t>1. Open release in Ready
2. Attempt to edit Communication Plan</t>
  </si>
  <si>
    <t>BLOCKED. Communication Plan locked once release is Ready.</t>
  </si>
  <si>
    <t>REL-TC-076</t>
  </si>
  <si>
    <t>Rejected status unlocks gate fields for rework</t>
  </si>
  <si>
    <t>§3-08, §4-12</t>
  </si>
  <si>
    <t>Release with Status = Rejected (CAB rejected).</t>
  </si>
  <si>
    <t>1. CAB rejects release
2. Status changes to Rejected
3. Check field editability</t>
  </si>
  <si>
    <t>Gate fields (sign-offs, documentation) become editable for rework.</t>
  </si>
  <si>
    <t>Rework path enables fixes</t>
  </si>
  <si>
    <t>REL-TC-077</t>
  </si>
  <si>
    <t>Backup Owner locks at Deploying</t>
  </si>
  <si>
    <t>1. Open release in Deploying
2. Attempt to change Backup Owner</t>
  </si>
  <si>
    <t>BLOCKED. Backup Owner locked during deployment execution.</t>
  </si>
  <si>
    <t>REL-TC-078</t>
  </si>
  <si>
    <t>Impact Assessment locks at Pending CAB</t>
  </si>
  <si>
    <t>1. Open release in Pending CAB
2. Attempt to edit Impact Assessment</t>
  </si>
  <si>
    <t>BLOCKED. Impact Assessment read-only during approval.</t>
  </si>
  <si>
    <t>REL-TC-079</t>
  </si>
  <si>
    <t>Affected Systems locks at Pending CAB</t>
  </si>
  <si>
    <t>1. Open release in Pending CAB
2. Attempt to edit Affected Systems list</t>
  </si>
  <si>
    <t>BLOCKED. Affected Systems read-only during approval.</t>
  </si>
  <si>
    <t>REL-TC-080</t>
  </si>
  <si>
    <t>Computed fields always read-only</t>
  </si>
  <si>
    <t>§2-01 to §2-11</t>
  </si>
  <si>
    <t>Release in any editable status (Draft, Planning, Testing).</t>
  </si>
  <si>
    <t>1. Open release
2. Attempt to edit: Release Health, Readiness %, Duration, Blocker Count, Risk Score</t>
  </si>
  <si>
    <t>ALL computed fields are read-only in every status. Values auto-calculated.</t>
  </si>
  <si>
    <t>System-managed fields</t>
  </si>
  <si>
    <t>REL-TC-081</t>
  </si>
  <si>
    <t>Audit fields always read-only</t>
  </si>
  <si>
    <t>§2-04 to §2-07</t>
  </si>
  <si>
    <t>Release in any status.</t>
  </si>
  <si>
    <t>1. Attempt to edit: Created Date, Created By, Last Modified Date, Last Modified By</t>
  </si>
  <si>
    <t>ALL audit fields are read-only in every status. System-managed.</t>
  </si>
  <si>
    <t>REL-TC-082</t>
  </si>
  <si>
    <t>Deploy Date editable until Deploying</t>
  </si>
  <si>
    <t>1. Open release in Ready
2. Edit Deploy Date
3. Save</t>
  </si>
  <si>
    <t>Deploy Date updated successfully. Remains editable until Deploying status.</t>
  </si>
  <si>
    <t>REL-TC-083</t>
  </si>
  <si>
    <t>Owner change allowed at Approved status</t>
  </si>
  <si>
    <t>Release with Status = Approved. Owner = john@company.com.</t>
  </si>
  <si>
    <t>1. Open release in Approved
2. Change Release Owner to jane@company.com
3. Save</t>
  </si>
  <si>
    <t>Release Owner updated. Change allowed because lock occurs at Ready.</t>
  </si>
  <si>
    <t>Owner can change after CAB but before Ready</t>
  </si>
  <si>
    <t>REL-TC-084</t>
  </si>
  <si>
    <t>5. Sign-Off &amp; Approval Rules</t>
  </si>
  <si>
    <t>Only gate owner can record sign-off</t>
  </si>
  <si>
    <t>User is NOT the designated Dev Sign-Off owner. Another user is assigned.</t>
  </si>
  <si>
    <t>1. Open release in Testing
2. Non-owner attempts to set Dev Sign-Off = Yes</t>
  </si>
  <si>
    <t>BLOCKED. Error: 'Only the gate owner may record this sign-off'.</t>
  </si>
  <si>
    <t>REL-TC-085</t>
  </si>
  <si>
    <t>Gate owner can record their own sign-off</t>
  </si>
  <si>
    <t>User IS the designated Test Sign-Off owner.</t>
  </si>
  <si>
    <t>1. Open release in Testing
2. Test Sign-Off owner clicks 'Sign Off'
3. Confirm</t>
  </si>
  <si>
    <t>Test Sign-Off = Yes. Timestamp and signatory recorded.</t>
  </si>
  <si>
    <t>REL-TC-086</t>
  </si>
  <si>
    <t>Sign-off cannot be revoked without status revert</t>
  </si>
  <si>
    <t>Release in UAT. Dev Sign-Off = Yes (already signed).</t>
  </si>
  <si>
    <t>1. Open release in UAT
2. Attempt to change Dev Sign-Off from Yes to No</t>
  </si>
  <si>
    <t>BLOCKED. Error: 'Completed sign-offs cannot be changed without returning to rework status'.</t>
  </si>
  <si>
    <t>REL-TC-087</t>
  </si>
  <si>
    <t>All 5 sign-offs required for Pending CAB</t>
  </si>
  <si>
    <t>Release in UAT. 4 of 5 sign-offs complete. Security Sign-Off = No.</t>
  </si>
  <si>
    <t>1. Complete Dev, Test, UAT, Business sign-offs
2. Leave Security Sign-Off = No
3. Submit to CAB</t>
  </si>
  <si>
    <t>Assuming Security is required for this release</t>
  </si>
  <si>
    <t>REL-TC-088</t>
  </si>
  <si>
    <t>Only CAB Member can approve release</t>
  </si>
  <si>
    <t>Release in Pending CAB. User does NOT have CAB Member role.</t>
  </si>
  <si>
    <t>1. Non-CAB user opens release in Pending CAB
2. Attempts to click 'Approve'</t>
  </si>
  <si>
    <t>BLOCKED. Approve/Reject/Defer buttons hidden or disabled for non-CAB users.</t>
  </si>
  <si>
    <t>REL-TC-089</t>
  </si>
  <si>
    <t>CAB Member can approve release</t>
  </si>
  <si>
    <t>Release in Pending CAB. User has CAB Member role.</t>
  </si>
  <si>
    <t>1. CAB Member opens release
2. Clicks 'Approve'
3. Enters comments</t>
  </si>
  <si>
    <t>Status → Approved. Approval record created. Notification sent to Release Manager.</t>
  </si>
  <si>
    <t>REL-TC-090</t>
  </si>
  <si>
    <t>CAB Member can reject release</t>
  </si>
  <si>
    <t>1. CAB Member opens release
2. Clicks 'Reject'
3. Enters rejection reason (mandatory)</t>
  </si>
  <si>
    <t>Status → Rejected. Release reverts to Planning rework path. Gate fields unlocked.</t>
  </si>
  <si>
    <t>Rejection reason required</t>
  </si>
  <si>
    <t>REL-TC-091</t>
  </si>
  <si>
    <t>CAB Member can defer release</t>
  </si>
  <si>
    <t>1. CAB Member opens release
2. Clicks 'Defer'
3. Enters deferral reason and new target date</t>
  </si>
  <si>
    <t>Status → Deferred. Release can be resubmitted later.</t>
  </si>
  <si>
    <t>REL-TC-092</t>
  </si>
  <si>
    <t>Approval record becomes immutable after granted</t>
  </si>
  <si>
    <t>Release Approved. Approval record exists.</t>
  </si>
  <si>
    <t>1. Open approval record
2. Attempt to edit Approver, Decision, or Comments</t>
  </si>
  <si>
    <t>BLOCKED. Approval records are read-only once granted. Cannot be revoked.</t>
  </si>
  <si>
    <t>Only superseded by new approval</t>
  </si>
  <si>
    <t>REL-TC-093</t>
  </si>
  <si>
    <t>CAB approval expires after 30 days</t>
  </si>
  <si>
    <t>Release Approved 31 days ago. Not yet deployed.</t>
  </si>
  <si>
    <t>1. System runs daily check
2. Approval older than 30 days detected</t>
  </si>
  <si>
    <t>Approval Status → Expired. Release must be resubmitted to CAB.</t>
  </si>
  <si>
    <t>Prevents stale approvals</t>
  </si>
  <si>
    <t>REL-TC-094</t>
  </si>
  <si>
    <t>Delegate can approve on behalf of CAB Member</t>
  </si>
  <si>
    <t>CAB Member has delegated authority to jane@company.com for this week.</t>
  </si>
  <si>
    <t>1. Delegate opens release in Pending CAB
2. Clicks 'Approve'
3. Confirms delegation</t>
  </si>
  <si>
    <t>Approved. Audit shows 'Approved by jane@company.com (delegate for john@company.com)'.</t>
  </si>
  <si>
    <t>Delegation must be active</t>
  </si>
  <si>
    <t>REL-TC-095</t>
  </si>
  <si>
    <t>Ops Sign-Off required before Ready</t>
  </si>
  <si>
    <t>Release in Approved. Ops Sign-Off = No. All other Ready gates met.</t>
  </si>
  <si>
    <t>1. Complete all gates except Ops Sign-Off
2. Click 'Move to Ready'</t>
  </si>
  <si>
    <t>REL-TC-096</t>
  </si>
  <si>
    <t>Security Sign-Off required for security-sensitive systems</t>
  </si>
  <si>
    <t>Release for security-sensitive application. Security Sign-Off = No.</t>
  </si>
  <si>
    <t>1. Application flagged as security-sensitive
2. Attempt to submit to CAB without Security Sign-Off</t>
  </si>
  <si>
    <t>BLOCKED. Error: 'Security sign-off required for this application'.</t>
  </si>
  <si>
    <t>Based on application configuration</t>
  </si>
  <si>
    <t>REL-TC-097</t>
  </si>
  <si>
    <t>Sign-Off with Conditions tracks conditions</t>
  </si>
  <si>
    <t>Sign-Off owner approves with conditions.</t>
  </si>
  <si>
    <t>1. Open release
2. Sign-Off owner selects 'Approve with Conditions'
3. Enters conditions</t>
  </si>
  <si>
    <t>Sign-Off Status = 'Approved with Conditions'. Conditions recorded and visible.</t>
  </si>
  <si>
    <t>REL-TC-098</t>
  </si>
  <si>
    <t>Sign-Off can be withdrawn before use</t>
  </si>
  <si>
    <t>Sign-Off = Pending. Sign-Off owner wants to withdraw request.</t>
  </si>
  <si>
    <t>1. Sign-Off owner opens sign-off request
2. Clicks 'Withdraw'
3. Enters reason</t>
  </si>
  <si>
    <t>Sign-Off Status = Withdrawn. Can be re-requested if needed.</t>
  </si>
  <si>
    <t>REL-TC-099</t>
  </si>
  <si>
    <t>Rejected sign-off blocks CAB submission</t>
  </si>
  <si>
    <t>Release in UAT. Test Sign-Off = Rejected.</t>
  </si>
  <si>
    <t>1. Test Sign-Off owner rejects sign-off
2. Attempt to submit to CAB</t>
  </si>
  <si>
    <t>BLOCKED. Error: 'Sign-off rejected - cannot proceed'. Must resolve issues first.</t>
  </si>
  <si>
    <t>REL-TC-100</t>
  </si>
  <si>
    <t>Large release: Dress Rehearsal warning</t>
  </si>
  <si>
    <t>Release Size = Large. Dress Rehearsal = Not Done.</t>
  </si>
  <si>
    <t>1. Complete all Ready gates except Dress Rehearsal
2. Click 'Move to Ready'</t>
  </si>
  <si>
    <t>WARNING displayed: 'Dress rehearsal recommended for Large releases'. User can proceed after acknowledgment.</t>
  </si>
  <si>
    <t>Warning only, not blocking</t>
  </si>
  <si>
    <t>REL-TC-101</t>
  </si>
  <si>
    <t>CAB lead time validation - Small release</t>
  </si>
  <si>
    <t>Release Size = Small. CAB submitted with Go-Live Date = tomorrow (1 day lead time).</t>
  </si>
  <si>
    <t>1. Set Go-Live Date to tomorrow
2. Submit to CAB</t>
  </si>
  <si>
    <t>2 days minimum for Small</t>
  </si>
  <si>
    <t>REL-TC-102</t>
  </si>
  <si>
    <t>CAB lead time validation - Large release</t>
  </si>
  <si>
    <t>Release Size = Large. CAB submitted with Go-Live Date = 2 days away.</t>
  </si>
  <si>
    <t>1. Set Go-Live Date to 2 days from now
2. Submit to CAB</t>
  </si>
  <si>
    <t>3 days minimum for Large</t>
  </si>
  <si>
    <t>REL-TC-103</t>
  </si>
  <si>
    <t>Approval notification sent to Release Manager</t>
  </si>
  <si>
    <t>Release in Pending CAB. CAB Member makes decision.</t>
  </si>
  <si>
    <t>1. CAB Member approves/rejects/defers release</t>
  </si>
  <si>
    <t>Notification sent to Release Manager with decision and any comments.</t>
  </si>
  <si>
    <t>REL-TC-104</t>
  </si>
  <si>
    <t>6. Dependency Rules</t>
  </si>
  <si>
    <t>Create hard dependency between releases</t>
  </si>
  <si>
    <t>Release A (in Planning). Release B (in Testing) exists.</t>
  </si>
  <si>
    <t>1. Open Release A
2. Add dependency: 'A depends on B'
3. Set Type = Hard
4. Save</t>
  </si>
  <si>
    <t>Dependency created. A cannot proceed to Deploying until B is Deployed/Closed.</t>
  </si>
  <si>
    <t>REL-TC-105</t>
  </si>
  <si>
    <t>Create soft dependency between releases</t>
  </si>
  <si>
    <t>1. Open Release A
2. Add dependency: 'A depends on B'
3. Set Type = Soft
4. Save</t>
  </si>
  <si>
    <t>Dependency created as advisory. Warning shown but does not block transitions.</t>
  </si>
  <si>
    <t>Soft = advisory only</t>
  </si>
  <si>
    <t>REL-TC-106</t>
  </si>
  <si>
    <t>Hard dependency blocks Deploying transition</t>
  </si>
  <si>
    <t>Release A in Ready. Hard dependency on B (Status = Ready, not Deployed).</t>
  </si>
  <si>
    <t>1. Release B still in Ready
2. Attempt to start deployment of A</t>
  </si>
  <si>
    <t>REL-TC-107</t>
  </si>
  <si>
    <t>Hard dependency auto-updates when prerequisite deploys</t>
  </si>
  <si>
    <t>AV-04, CASC-04</t>
  </si>
  <si>
    <t>Release A depends on B (Hard). B just reached Deployed status.</t>
  </si>
  <si>
    <t>1. B transitions to Deployed
2. Check A's dependency status</t>
  </si>
  <si>
    <t>Dependency Status auto-updates to 'Met'. A can now proceed.</t>
  </si>
  <si>
    <t>Automatic cascade</t>
  </si>
  <si>
    <t>REL-TC-108</t>
  </si>
  <si>
    <t>Circular dependency prevention - 2 releases</t>
  </si>
  <si>
    <t>Release A depends on B (Hard).</t>
  </si>
  <si>
    <t>1. Open Release B
2. Attempt to create dependency: 'B depends on A'
3. Save</t>
  </si>
  <si>
    <t>BLOCKED. Error: 'Circular dependency detected: A → B → A'.</t>
  </si>
  <si>
    <t>REL-TC-109</t>
  </si>
  <si>
    <t>Circular dependency prevention - 3+ releases</t>
  </si>
  <si>
    <t>A depends on B, B depends on C.</t>
  </si>
  <si>
    <t>1. Open Release C
2. Attempt to create dependency: 'C depends on A'
3. Save</t>
  </si>
  <si>
    <t>BLOCKED. Error: 'Circular dependency chain detected: C → A → B → C'.</t>
  </si>
  <si>
    <t>REL-TC-110</t>
  </si>
  <si>
    <t>Dependency can be waived with approval</t>
  </si>
  <si>
    <t>Release A has hard dependency on B. Business justification to waive.</t>
  </si>
  <si>
    <t>1. Open dependency record
2. Click 'Waive Dependency'
3. Enter justification
4. Approve waiver</t>
  </si>
  <si>
    <t>Dependency Status = Waived. Documented approval recorded. A can proceed.</t>
  </si>
  <si>
    <t>REL-TC-111</t>
  </si>
  <si>
    <t>Dependency can be removed</t>
  </si>
  <si>
    <t>Release A has dependency on B. Dependency no longer valid.</t>
  </si>
  <si>
    <t>1. Open dependency record
2. Click 'Remove Dependency'
3. Confirm</t>
  </si>
  <si>
    <t>Dependency Status = Removed. Relationship deleted from A.</t>
  </si>
  <si>
    <t>REL-TC-112</t>
  </si>
  <si>
    <t>Met dependency becomes locked</t>
  </si>
  <si>
    <t>Dependency Status = Met (B has been deployed).</t>
  </si>
  <si>
    <t>1. Open dependency record
2. Attempt to edit Type or linked release</t>
  </si>
  <si>
    <t>BLOCKED. Met dependencies are read-only. System auto-updated.</t>
  </si>
  <si>
    <t>REL-TC-113</t>
  </si>
  <si>
    <t>Dependencies locked when release reaches Deploying</t>
  </si>
  <si>
    <t>Release A in Deploying. Has 3 dependencies.</t>
  </si>
  <si>
    <t>1. Open Release A
2. Attempt to add new dependency
3. Attempt to edit existing dependency</t>
  </si>
  <si>
    <t>BLOCKED. Dependency records locked once deployment starts.</t>
  </si>
  <si>
    <t>REL-TC-114</t>
  </si>
  <si>
    <t>At Risk dependency shows warning</t>
  </si>
  <si>
    <t>Release A depends on B (Hard). B's timeline slipping.</t>
  </si>
  <si>
    <t>1. B's Go-Live Date pushed back
2. Check A's dependency status</t>
  </si>
  <si>
    <t>Dependency Status = 'At Risk'. Warning indicator shown on A.</t>
  </si>
  <si>
    <t>Proactive visibility</t>
  </si>
  <si>
    <t>REL-TC-115</t>
  </si>
  <si>
    <t>Cancelled release updates dependent releases</t>
  </si>
  <si>
    <t>Release B is cancelled. Release A has hard dependency on B.</t>
  </si>
  <si>
    <t>1. Cancel Release B
2. Check Release A's dependency status</t>
  </si>
  <si>
    <t>Dependency cannot be Met (B cancelled). A's dependency shows as 'Blocked/Cancelled'.</t>
  </si>
  <si>
    <t>Cascade notification</t>
  </si>
  <si>
    <t>REL-TC-116</t>
  </si>
  <si>
    <t>Soft dependency allows Deploying with warning</t>
  </si>
  <si>
    <t>Release A in Ready. Soft dependency on B (Status = Testing).</t>
  </si>
  <si>
    <t>1. B still in Testing
2. Attempt to start deployment of A</t>
  </si>
  <si>
    <t>WARNING displayed: 'Soft dependency B not complete'. User can proceed after acknowledgment.</t>
  </si>
  <si>
    <t>Soft = warning only</t>
  </si>
  <si>
    <t>REL-TC-117</t>
  </si>
  <si>
    <t>Multiple dependencies all must be met for Hard</t>
  </si>
  <si>
    <t>Release A has hard dependencies on B, C, D. B and C Deployed, D still in Ready.</t>
  </si>
  <si>
    <t>1. B and C reach Deployed
2. D still in Ready
3. Attempt to deploy A</t>
  </si>
  <si>
    <t>ALL hard deps required</t>
  </si>
  <si>
    <t>REL-TC-118</t>
  </si>
  <si>
    <t>7. Blocker &amp; Blocked Status Rules</t>
  </si>
  <si>
    <t>Create blocker for release</t>
  </si>
  <si>
    <t>Release in Planning status. User has write access.</t>
  </si>
  <si>
    <t>1. Open release
2. Click 'Add Blocker'
3. Enter Description (min 10 chars): 'Database migration scripts not ready'
4. Set Severity: High
5. Save</t>
  </si>
  <si>
    <t>Blocker created with Status = Open. Release evaluates for Blocked transition.</t>
  </si>
  <si>
    <t>Description min 10 chars per §1-09</t>
  </si>
  <si>
    <t>REL-TC-119</t>
  </si>
  <si>
    <t>Blocker description minimum 10 characters</t>
  </si>
  <si>
    <t>Creating new blocker for release.</t>
  </si>
  <si>
    <t>1. Click 'Add Blocker'
2. Enter Description: 'Too short'
3. Save</t>
  </si>
  <si>
    <t>BLOCKED. Error: 'Blocker description must be at least 10 characters'.</t>
  </si>
  <si>
    <t>9 chars should fail, 10 should pass</t>
  </si>
  <si>
    <t>REL-TC-120</t>
  </si>
  <si>
    <t>Blocker auto-blocks release when created</t>
  </si>
  <si>
    <t>Release in Testing. No existing blockers.</t>
  </si>
  <si>
    <t>1. Create blocker with Severity = Critical
2. Check release status</t>
  </si>
  <si>
    <t>Release Status changes to Blocked. Previous status recorded for restoration.</t>
  </si>
  <si>
    <t>REL-TC-121</t>
  </si>
  <si>
    <t>Release unblocks when all blockers resolved</t>
  </si>
  <si>
    <t>Release Status = Blocked. One blocker (Status = Open).</t>
  </si>
  <si>
    <t>1. Resolve the blocker (Status → Resolved → Closed)
2. Check release status</t>
  </si>
  <si>
    <t>Release Status returns to previous status (e.g., Testing). Auto-unblock cascade.</t>
  </si>
  <si>
    <t>REL-TC-122</t>
  </si>
  <si>
    <t>Multiple blockers - release stays blocked until ALL resolved</t>
  </si>
  <si>
    <t>Release Status = Blocked. Three blockers: 2 Closed, 1 Open.</t>
  </si>
  <si>
    <t>1. Close two blockers
2. Leave one blocker Open
3. Check release status</t>
  </si>
  <si>
    <t>Release remains Blocked. ALL blockers must be resolved to unblock.</t>
  </si>
  <si>
    <t>REL-TC-123</t>
  </si>
  <si>
    <t>Resolved blocker becomes read-only</t>
  </si>
  <si>
    <t>Blocker with Status = Closed.</t>
  </si>
  <si>
    <t>1. Open closed blocker
2. Attempt to edit Description or Severity</t>
  </si>
  <si>
    <t>BLOCKED. Resolved/Closed blockers are read-only.</t>
  </si>
  <si>
    <t>Create new blocker if needed</t>
  </si>
  <si>
    <t>REL-TC-124</t>
  </si>
  <si>
    <t>Cannot create new blockers once Deploying</t>
  </si>
  <si>
    <t>Release Status = Deploying.</t>
  </si>
  <si>
    <t>1. Open release in Deploying
2. Attempt to add new blocker</t>
  </si>
  <si>
    <t>BLOCKED. Cannot create new blockers once deployment has started.</t>
  </si>
  <si>
    <t>REL-TC-125</t>
  </si>
  <si>
    <t>All blockers become read-only at Deploying</t>
  </si>
  <si>
    <t>Release Status = Deploying. Existing blockers (Closed).</t>
  </si>
  <si>
    <t>1. Open existing blocker linked to release
2. Attempt any edit</t>
  </si>
  <si>
    <t>BLOCKED. All blockers linked to release become read-only once deployment starts.</t>
  </si>
  <si>
    <t>REL-TC-126</t>
  </si>
  <si>
    <t>Stale blocker alert after 5 days</t>
  </si>
  <si>
    <t>Blocker Status = In Progress. Created 6 days ago.</t>
  </si>
  <si>
    <t>1. System runs daily check
2. Blocker 'In Progress' for &gt;5 days detected</t>
  </si>
  <si>
    <t>Stale alert generated. Notification sent to blocker owner and Release Manager.</t>
  </si>
  <si>
    <t>5-day threshold</t>
  </si>
  <si>
    <t>REL-TC-127</t>
  </si>
  <si>
    <t>Blocker can be escalated</t>
  </si>
  <si>
    <t>Blocker Status = In Progress. Needs management attention.</t>
  </si>
  <si>
    <t>1. Open blocker
2. Click 'Escalate'
3. Enter escalation reason</t>
  </si>
  <si>
    <t>Blocker Status → Escalated. Higher visibility. Notification to management.</t>
  </si>
  <si>
    <t>REL-TC-128</t>
  </si>
  <si>
    <t>Blocker can be reopened after resolution</t>
  </si>
  <si>
    <t>Blocker Status = Resolved. Issue recurs.</t>
  </si>
  <si>
    <t>1. Open resolved blocker
2. Click 'Reopen'
3. Enter reason for reopening</t>
  </si>
  <si>
    <t>Blocker Status → Reopened. Release may transition back to Blocked.</t>
  </si>
  <si>
    <t>REL-TC-129</t>
  </si>
  <si>
    <t>Release with 3 Open blockers. Release is cancelled.</t>
  </si>
  <si>
    <t>1. Cancel the release
2. Check linked blockers</t>
  </si>
  <si>
    <t>REL-TC-130</t>
  </si>
  <si>
    <t>Open blocker prevents Testing → UAT</t>
  </si>
  <si>
    <t>Release in Testing. Blocker Status = Open.</t>
  </si>
  <si>
    <t>1. Blocker exists with Status = Open
2. Attempt 'Move to UAT'</t>
  </si>
  <si>
    <t>BLOCKED. Error: 'Active blockers must be resolved'.</t>
  </si>
  <si>
    <t>REL-TC-131</t>
  </si>
  <si>
    <t>Open blocker prevents Approved → Ready</t>
  </si>
  <si>
    <t>Release in Approved. New blocker created post-CAB with Status = Open.</t>
  </si>
  <si>
    <t>1. Create blocker after CAB approval
2. Attempt 'Move to Ready'</t>
  </si>
  <si>
    <t>REL-TC-132</t>
  </si>
  <si>
    <t>Blocker notification to Release Manager</t>
  </si>
  <si>
    <t>Release exists. User creates new blocker.</t>
  </si>
  <si>
    <t>1. Create blocker for release
2. Save</t>
  </si>
  <si>
    <t>Immediate notification sent to Release Manager: 'New blocker created for [Release Name]'.</t>
  </si>
  <si>
    <t>REL-TC-133</t>
  </si>
  <si>
    <t>Blocked status can transition to Cancelled</t>
  </si>
  <si>
    <t>Release Status = Blocked.</t>
  </si>
  <si>
    <t>1. Open blocked release
2. Click 'Cancel Release'
3. Enter reason</t>
  </si>
  <si>
    <t>REL-TC-134</t>
  </si>
  <si>
    <t>Blocked status records previous status for restoration</t>
  </si>
  <si>
    <t>Release in Testing. Blocker created.</t>
  </si>
  <si>
    <t>1. Release transitions to Blocked
2. Check 'Previous Status' field
3. Resolve all blockers</t>
  </si>
  <si>
    <t>Previous Status = Testing. When unblocked, release returns to Testing.</t>
  </si>
  <si>
    <t>REL-TC-135</t>
  </si>
  <si>
    <t>Blocker owner can be reassigned</t>
  </si>
  <si>
    <t>Blocker exists with Owner = john@company.com.</t>
  </si>
  <si>
    <t>1. Open blocker
2. Change Owner to jane@company.com
3. Save</t>
  </si>
  <si>
    <t>Owner updated. Notification sent to new owner.</t>
  </si>
  <si>
    <t>REL-TC-136</t>
  </si>
  <si>
    <t>8. Environment &amp; Scheduling Rules</t>
  </si>
  <si>
    <t>Book SIT environment for release</t>
  </si>
  <si>
    <t>Release in Testing. SIT environment available for target dates.</t>
  </si>
  <si>
    <t>1. Open Environment Bookings
2. Select SIT environment
3. Set date/time range
4. Link to release
5. Confirm booking</t>
  </si>
  <si>
    <t>Environment booked. Release linked. Booking visible on calendar.</t>
  </si>
  <si>
    <t>SIT, UAT, STG require booking</t>
  </si>
  <si>
    <t>REL-TC-137</t>
  </si>
  <si>
    <t>Environment double-booking prevented</t>
  </si>
  <si>
    <t>SIT environment booked for Release A (Mon 9am-5pm). Release B wants same slot.</t>
  </si>
  <si>
    <t>1. Open Environment Bookings for Release B
2. Select SIT
3. Attempt to book Mon 9am-5pm</t>
  </si>
  <si>
    <t>BLOCKED. Error: 'Environment already booked by Release A'. Show conflict details.</t>
  </si>
  <si>
    <t>REL-TC-138</t>
  </si>
  <si>
    <t>Concurrent booking conflict detection</t>
  </si>
  <si>
    <t>Two users attempt to book same environment slot simultaneously.</t>
  </si>
  <si>
    <t>1. User A and User B both click 'Book' at same time for same SIT slot</t>
  </si>
  <si>
    <t>One succeeds. Other receives conflict notification: 'Environment just booked — select different slot.'</t>
  </si>
  <si>
    <t>Race condition handling</t>
  </si>
  <si>
    <t>REL-TC-139</t>
  </si>
  <si>
    <t>Production deploy requires environment booking</t>
  </si>
  <si>
    <t>Release in Ready. No environment booking for Production.</t>
  </si>
  <si>
    <t>1. Attempt to transition to Deploying
2. No PRD booking exists</t>
  </si>
  <si>
    <t>BLOCKED. Error: 'Production environment booking required before deployment'.</t>
  </si>
  <si>
    <t>REL-TC-140</t>
  </si>
  <si>
    <t>Freeze window blocks standard deployment</t>
  </si>
  <si>
    <t>Release in Ready. Go-Live Date falls within freeze window (Dec 20).</t>
  </si>
  <si>
    <t>1. System detects Go-Live within freeze period
2. Attempt to transition to Deploying</t>
  </si>
  <si>
    <t>BLOCKED. Error: 'Deployment blocked during freeze window. Freeze ends Jan 5.'</t>
  </si>
  <si>
    <t>Year-end freeze example</t>
  </si>
  <si>
    <t>REL-TC-141</t>
  </si>
  <si>
    <t>Regulatory release can deploy during freeze with VP exemption</t>
  </si>
  <si>
    <t>VR-05, ROLE-06</t>
  </si>
  <si>
    <t>Release Type = Regulatory. Go-Live during freeze. VP exemption granted.</t>
  </si>
  <si>
    <t>1. Set Release Type = Regulatory
2. Request freeze exemption
3. VP approves exemption
4. Transition to Deploying</t>
  </si>
  <si>
    <t>Deployment allowed. Exemption recorded. Audit trail shows VP approval.</t>
  </si>
  <si>
    <t>Only Regulatory releases eligible</t>
  </si>
  <si>
    <t>REL-TC-142</t>
  </si>
  <si>
    <t>Freeze exemption requires VP-level approval</t>
  </si>
  <si>
    <t>Standard release in freeze window. Manager requests exemption.</t>
  </si>
  <si>
    <t>1. Request freeze exemption
2. Manager (not VP) attempts to approve</t>
  </si>
  <si>
    <t>BLOCKED. Error: 'Freeze exemption requires VP-level approval'.</t>
  </si>
  <si>
    <t>REL-TC-143</t>
  </si>
  <si>
    <t>Environment booking can be cancelled</t>
  </si>
  <si>
    <t>Release has SIT booking. Plans change.</t>
  </si>
  <si>
    <t>1. Open Environment Booking
2. Click 'Cancel Booking'
3. Enter reason</t>
  </si>
  <si>
    <t>Booking cancelled. Environment slot freed. Notification sent.</t>
  </si>
  <si>
    <t>REL-TC-144</t>
  </si>
  <si>
    <t>Deploy window must be within maintenance window</t>
  </si>
  <si>
    <t>No maintenance window scheduled for target deploy time.</t>
  </si>
  <si>
    <t>1. Set Deploy Window outside any maintenance window
2. Attempt to book</t>
  </si>
  <si>
    <t>WARNING: 'Deploy time outside scheduled maintenance window'. Can proceed with acknowledgment.</t>
  </si>
  <si>
    <t>Warning not block</t>
  </si>
  <si>
    <t>REL-TC-145</t>
  </si>
  <si>
    <t>Go-Live date in past rejected</t>
  </si>
  <si>
    <t>Today is July 15. User tries to set Go-Live = July 10.</t>
  </si>
  <si>
    <t>1. Open release
2. Set Go-Live Date = past date
3. Save</t>
  </si>
  <si>
    <t>BLOCKED. Error: 'Go-Live date must be today or in the future'.</t>
  </si>
  <si>
    <t>REL-TC-146</t>
  </si>
  <si>
    <t>Environment booking locked after deployment starts</t>
  </si>
  <si>
    <t>Release Status = Deploying. Booking exists.</t>
  </si>
  <si>
    <t>1. Open Environment Booking linked to Deploying release
2. Attempt to edit dates/times</t>
  </si>
  <si>
    <t>BLOCKED. Environment booking becomes read-only once deployment starts.</t>
  </si>
  <si>
    <t>REL-TC-147</t>
  </si>
  <si>
    <t>Multiple environment bookings for same release</t>
  </si>
  <si>
    <t>Release needs SIT, UAT, and PRD environments at different stages.</t>
  </si>
  <si>
    <t>1. Book SIT for testing phase
2. Book UAT for UAT phase
3. Book PRD for go-live</t>
  </si>
  <si>
    <t>All three bookings created. Each linked to release. No conflicts.</t>
  </si>
  <si>
    <t>One release, multiple environments</t>
  </si>
  <si>
    <t>REL-TC-148</t>
  </si>
  <si>
    <t>Release cancelled frees environment bookings</t>
  </si>
  <si>
    <t>Release has 3 environment bookings. Release is cancelled.</t>
  </si>
  <si>
    <t>1. Cancel the release
2. Check environment bookings</t>
  </si>
  <si>
    <t>All bookings Status → Cancelled. Slots freed for other releases.</t>
  </si>
  <si>
    <t>Cascade cancellation</t>
  </si>
  <si>
    <t>REL-TC-149</t>
  </si>
  <si>
    <t>UAT environment required before Pending CAB</t>
  </si>
  <si>
    <t>Release in UAT. No UAT environment booking.</t>
  </si>
  <si>
    <t>1. Attempt transition to Pending CAB
2. No UAT environment booking exists</t>
  </si>
  <si>
    <t>BLOCKED. Error: 'UAT environment booking required before CAB submission'.</t>
  </si>
  <si>
    <t>REL-TC-150</t>
  </si>
  <si>
    <t>Development environment does not require booking</t>
  </si>
  <si>
    <t>Release in Testing. Using DEV environment.</t>
  </si>
  <si>
    <t>1. Work in DEV environment
2. No booking required</t>
  </si>
  <si>
    <t>Development work proceeds without formal booking. DEV is shared resource.</t>
  </si>
  <si>
    <t>DEV = No booking required</t>
  </si>
  <si>
    <t>REL-TC-151</t>
  </si>
  <si>
    <t>Daylight saving time transition handling</t>
  </si>
  <si>
    <t>Deploy date is during DST transition (2 AM on DST change day).</t>
  </si>
  <si>
    <t>1. Set deploy time for 2 AM on DST change day
2. Save</t>
  </si>
  <si>
    <t>WARNING: 'Deploy time falls during DST transition — verify.' Time stored correctly in UTC.</t>
  </si>
  <si>
    <t>Edge case</t>
  </si>
  <si>
    <t>REL-TC-152</t>
  </si>
  <si>
    <t>Cross-timezone deploy time display</t>
  </si>
  <si>
    <t>Release Manager in London (UTC+0). Release Owner in Sydney (UTC+10).</t>
  </si>
  <si>
    <t>1. RM sets deploy time as 10 PM London time
2. Owner views release in Sydney</t>
  </si>
  <si>
    <t>Time stored as UTC. Displayed as 8 AM next day in Sydney. Both see correct local time.</t>
  </si>
  <si>
    <t>REL-TC-153</t>
  </si>
  <si>
    <t>Environment booking conflict notification</t>
  </si>
  <si>
    <t>Booking conflict detected by system.</t>
  </si>
  <si>
    <t>1. System detects overlap
2. Affected parties notified</t>
  </si>
  <si>
    <t>Notification sent to both release owners: 'Environment booking conflict detected'.</t>
  </si>
  <si>
    <t>REL-TC-154</t>
  </si>
  <si>
    <t>9. Risk Management Rules</t>
  </si>
  <si>
    <t>Create risk record for release</t>
  </si>
  <si>
    <t>Release in Planning. User has write access.</t>
  </si>
  <si>
    <t>1. Open release
2. Click 'Add Risk'
3. Enter Description
4. Set Probability (1-5): 3
5. Set Impact (1-5): 4
6. Save</t>
  </si>
  <si>
    <t>Risk created. Score auto-calculated = 12 (High/Orange). Status = Open.</t>
  </si>
  <si>
    <t>REL-TC-155</t>
  </si>
  <si>
    <t>Risk score auto-calculation</t>
  </si>
  <si>
    <t>Risk with Probability = 4, Impact = 5.</t>
  </si>
  <si>
    <t>1. View risk record
2. Check Risk Score field</t>
  </si>
  <si>
    <t>Risk Score = 20 (auto-calculated). Field is read-only (§2-08).</t>
  </si>
  <si>
    <t>User cannot edit Score directly</t>
  </si>
  <si>
    <t>REL-TC-156</t>
  </si>
  <si>
    <t>Critical risk (16-25) requires mitigation plan</t>
  </si>
  <si>
    <t>Risk Score = 20 (Critical). No mitigation plan entered.</t>
  </si>
  <si>
    <t>1. Create risk with P=4, I=5
2. Leave Mitigation Plan blank
3. Save</t>
  </si>
  <si>
    <t>REL-TC-157</t>
  </si>
  <si>
    <t>Critical risk with mitigation plan saves successfully</t>
  </si>
  <si>
    <t>Risk Score = 20 (Critical). Mitigation plan provided.</t>
  </si>
  <si>
    <t>1. Create risk with P=4, I=5
2. Enter Mitigation Plan
3. Save</t>
  </si>
  <si>
    <t>Risk saved. Status = Open with Mitigation Documented.</t>
  </si>
  <si>
    <t>REL-TC-158</t>
  </si>
  <si>
    <t>Probability must be 1-5</t>
  </si>
  <si>
    <t>Creating risk for release.</t>
  </si>
  <si>
    <t>1. Set Probability = 6
2. Save</t>
  </si>
  <si>
    <t>BLOCKED. Error: 'Probability must be between 1 and 5'.</t>
  </si>
  <si>
    <t>REL-TC-159</t>
  </si>
  <si>
    <t>Impact must be 1-5</t>
  </si>
  <si>
    <t>1. Set Impact = 0
2. Save</t>
  </si>
  <si>
    <t>BLOCKED. Error: 'Impact must be between 1 and 5'.</t>
  </si>
  <si>
    <t>REL-TC-160</t>
  </si>
  <si>
    <t>Risk severity levels by score</t>
  </si>
  <si>
    <t>Verify all severity threshold calculations.</t>
  </si>
  <si>
    <t>1. Create risks with various scores:
   - P=1, I=2 → Score 2 (Low)
   - P=2, I=4 → Score 8 (Medium)
   - P=3, I=4 → Score 12 (High)
   - P=4, I=5 → Score 20 (Critical)</t>
  </si>
  <si>
    <t>Scores correct: 1-4 Low (Green), 5-9 Medium (Yellow), 10-15 High (Orange), 16-25 Critical (Red).</t>
  </si>
  <si>
    <t>REL-TC-161</t>
  </si>
  <si>
    <t>Risk can transition to Mitigated</t>
  </si>
  <si>
    <t>Risk Status = Open. Mitigation actions completed.</t>
  </si>
  <si>
    <t>1. Open risk
2. Document mitigation actions taken
3. Set Status = Mitigated</t>
  </si>
  <si>
    <t>Status updated. Risk remains visible but no longer actively tracked.</t>
  </si>
  <si>
    <t>REL-TC-162</t>
  </si>
  <si>
    <t>Risk can transition to Accepted</t>
  </si>
  <si>
    <t>Risk Status = Open. Decision to accept risk.</t>
  </si>
  <si>
    <t>1. Open risk
2. Document acceptance rationale
3. Set Status = Accepted</t>
  </si>
  <si>
    <t>Status updated. Documented acceptance. May require approval for Critical risks.</t>
  </si>
  <si>
    <t>REL-TC-163</t>
  </si>
  <si>
    <t>Risk can transition to Closed</t>
  </si>
  <si>
    <t>Risk Status = Mitigated or Accepted.</t>
  </si>
  <si>
    <t>1. Open risk
2. Confirm risk no longer applicable
3. Set Status = Closed</t>
  </si>
  <si>
    <t>Risk closed. Becomes read-only. Retained for audit.</t>
  </si>
  <si>
    <t>REL-TC-164</t>
  </si>
  <si>
    <t>Closed risk becomes read-only</t>
  </si>
  <si>
    <t>Risk Status = Closed.</t>
  </si>
  <si>
    <t>1. Open closed risk
2. Attempt to edit Probability or Mitigation</t>
  </si>
  <si>
    <t>BLOCKED. Closed risks are read-only.</t>
  </si>
  <si>
    <t>REL-TC-165</t>
  </si>
  <si>
    <t>Unmitigated critical risks shown on health indicator</t>
  </si>
  <si>
    <t>Release has Critical risk (Score 20) with Status = Open.</t>
  </si>
  <si>
    <t>1. Check Release Health Indicator</t>
  </si>
  <si>
    <t>Health = RED due to unmitigated critical risk. Warning displayed.</t>
  </si>
  <si>
    <t>REL-TC-166</t>
  </si>
  <si>
    <t>Release with 3 Open risks. Release is cancelled.</t>
  </si>
  <si>
    <t>1. Cancel the release
2. Check linked risks</t>
  </si>
  <si>
    <t>REL-TC-167</t>
  </si>
  <si>
    <t>Risk owner required</t>
  </si>
  <si>
    <t>Creating risk without owner.</t>
  </si>
  <si>
    <t>1. Create risk
2. Leave Owner field blank
3. Save</t>
  </si>
  <si>
    <t>BLOCKED. Error: 'Risk owner is required'.</t>
  </si>
  <si>
    <t>REL-TC-168</t>
  </si>
  <si>
    <t>10. Cascade &amp; Cross-Entity Rules</t>
  </si>
  <si>
    <t>Release with 5 Open blockers. User cancels release.</t>
  </si>
  <si>
    <t>1. Open release
2. Cancel release
3. Check blocker statuses</t>
  </si>
  <si>
    <t>REL-TC-169</t>
  </si>
  <si>
    <t>Release cancellation cascades to approvals</t>
  </si>
  <si>
    <t>Release with Pending approval. User cancels release.</t>
  </si>
  <si>
    <t>1. Open release
2. Cancel release
3. Check approval status</t>
  </si>
  <si>
    <t>Approval Status → Withdrawn. Cannot be used.</t>
  </si>
  <si>
    <t>REL-TC-170</t>
  </si>
  <si>
    <t>Release cancellation cascades to sign-offs</t>
  </si>
  <si>
    <t>Release with 3 sign-offs (2 Complete, 1 Pending). User cancels release.</t>
  </si>
  <si>
    <t>1. Cancel release
2. Check sign-off statuses</t>
  </si>
  <si>
    <t>All sign-offs Status → N/A (Not Applicable). Historical record retained.</t>
  </si>
  <si>
    <t>REL-TC-171</t>
  </si>
  <si>
    <t>Release cancellation cascades to dependencies</t>
  </si>
  <si>
    <t>Release A depends on Release B. Release A is cancelled.</t>
  </si>
  <si>
    <t>1. Cancel Release A
2. Check dependency record</t>
  </si>
  <si>
    <t>Dependency Status → Cancelled. B no longer has A as dependent.</t>
  </si>
  <si>
    <t>REL-TC-172</t>
  </si>
  <si>
    <t>Release with 4 Open risks. User cancels release.</t>
  </si>
  <si>
    <t>1. Cancel release
2. Check risk statuses</t>
  </si>
  <si>
    <t>REL-TC-173</t>
  </si>
  <si>
    <t>Release cancellation cascades to environment bookings</t>
  </si>
  <si>
    <t>Release with SIT, UAT, PRD bookings. User cancels release.</t>
  </si>
  <si>
    <t>1. Cancel release
2. Check environment bookings</t>
  </si>
  <si>
    <t>All bookings cancelled. Slots freed for other releases.</t>
  </si>
  <si>
    <t>REL-TC-174</t>
  </si>
  <si>
    <t>Blocker resolution auto-checks release unblock</t>
  </si>
  <si>
    <t>Release Blocked with single blocker. Blocker resolved.</t>
  </si>
  <si>
    <t>1. Resolve blocker
2. Close blocker
3. System checks release</t>
  </si>
  <si>
    <t>Release auto-evaluates. If no other blockers, transitions back to previous status.</t>
  </si>
  <si>
    <t>REL-TC-175</t>
  </si>
  <si>
    <t>Application retirement blocked by in-flight releases</t>
  </si>
  <si>
    <t>App A has 3 releases (1 Closed, 2 In-Flight). Admin attempts retirement.</t>
  </si>
  <si>
    <t>1. Navigate to App A
2. Click 'Retire Application'
3. Confirm</t>
  </si>
  <si>
    <t>BLOCKED. Error: 'Cannot retire app with in-flight releases'. Lists 2 active releases.</t>
  </si>
  <si>
    <t>REL-TC-176</t>
  </si>
  <si>
    <t>Application retirement allowed with only closed releases</t>
  </si>
  <si>
    <t>App A has 3 releases (all Closed or Cancelled). Admin attempts retirement.</t>
  </si>
  <si>
    <t>Application marked as Retired. Historical releases retained for audit.</t>
  </si>
  <si>
    <t>REL-TC-177</t>
  </si>
  <si>
    <t>Conflict auto-detection when overlapping bookings</t>
  </si>
  <si>
    <t>Release A and B both target same deploy window.</t>
  </si>
  <si>
    <t>1. B's deploy window overlaps with A's
2. System detects during booking</t>
  </si>
  <si>
    <t>Conflict record auto-created. Status = Open. Both RMs notified.</t>
  </si>
  <si>
    <t>Automatic conflict detection</t>
  </si>
  <si>
    <t>REL-TC-178</t>
  </si>
  <si>
    <t>Conflict resolution updates both releases</t>
  </si>
  <si>
    <t>Conflict between Release A and B. Resolved by shifting B's date.</t>
  </si>
  <si>
    <t>1. Open conflict record
2. Mark as Resolved
3. Document resolution</t>
  </si>
  <si>
    <t>Conflict Status → Resolved. Both releases updated. Calendar refreshed.</t>
  </si>
  <si>
    <t>REL-TC-179</t>
  </si>
  <si>
    <t>User leave impacts release owner</t>
  </si>
  <si>
    <t>Release Owner scheduled on leave during Go-Live. HR sync detects leave.</t>
  </si>
  <si>
    <t>1. HR sync imports leave record
2. System detects conflict with release</t>
  </si>
  <si>
    <t>WARNING generated. Suggestion to assign delegate or adjust dates.</t>
  </si>
  <si>
    <t>REL-TC-180</t>
  </si>
  <si>
    <t>Freeze window impacts multiple releases</t>
  </si>
  <si>
    <t>Admin adds new freeze window. 10 releases have Go-Live dates in range.</t>
  </si>
  <si>
    <t>1. Create freeze window (Dec 15 - Jan 5)
2. System scans releases</t>
  </si>
  <si>
    <t>All 10 releases flagged. Notifications sent. Releases need date adjustment or exemption.</t>
  </si>
  <si>
    <t>REL-TC-181</t>
  </si>
  <si>
    <t>Prerequisite deployment updates dependency status</t>
  </si>
  <si>
    <t>Release A depends on B (Hard). B successfully deployed.</t>
  </si>
  <si>
    <t>1. B transitions to Deployed
2. System evaluates A's dependencies</t>
  </si>
  <si>
    <t>Dependency Status auto-updates to Met. A can proceed to Deploying.</t>
  </si>
  <si>
    <t>Automatic status update</t>
  </si>
  <si>
    <t>REL-TC-182</t>
  </si>
  <si>
    <t>Prerequisite rollback impacts dependent releases</t>
  </si>
  <si>
    <t>Release A deployed depending on B. B is rolled back.</t>
  </si>
  <si>
    <t>1. B transitions to Rolled Back
2. System evaluates A's dependency</t>
  </si>
  <si>
    <t>WARNING: 'Prerequisite B has been rolled back'. A may need investigation.</t>
  </si>
  <si>
    <t>REL-TC-183</t>
  </si>
  <si>
    <t>Incident linkage to release</t>
  </si>
  <si>
    <t>Production incident traced to recently deployed Release X.</t>
  </si>
  <si>
    <t>1. Create incident
2. Link to Release X
3. Save</t>
  </si>
  <si>
    <t>Incident linked. Release X shows incident in related records.</t>
  </si>
  <si>
    <t>REL-TC-184</t>
  </si>
  <si>
    <t>Orphan blocker prevention on release deletion</t>
  </si>
  <si>
    <t>Release with linked blockers is deleted (admin action).</t>
  </si>
  <si>
    <t>1. Admin deletes release
2. Check for orphan blockers</t>
  </si>
  <si>
    <t>Blockers archived or deleted. No orphan records. Audit logged.</t>
  </si>
  <si>
    <t>REL-TC-185</t>
  </si>
  <si>
    <t>Cascade audit trail</t>
  </si>
  <si>
    <t>Release cancelled with multiple cascades.</t>
  </si>
  <si>
    <t>1. Cancel release with blockers, approvals, risks, bookings
2. Check Audit Trail</t>
  </si>
  <si>
    <t>Each cascade action logged individually with timestamps, user, and cascade reason.</t>
  </si>
  <si>
    <t>REL-TC-186</t>
  </si>
  <si>
    <t>11. Notification Rules</t>
  </si>
  <si>
    <t>Status change notification to Release Manager</t>
  </si>
  <si>
    <t>Release status transitions from Testing to UAT.</t>
  </si>
  <si>
    <t>1. Transition release from Testing to UAT
2. Check notifications</t>
  </si>
  <si>
    <t>Release Manager receives notification: 'Release [Name] status changed to UAT'.</t>
  </si>
  <si>
    <t>REL-TC-187</t>
  </si>
  <si>
    <t>CAB decision notification</t>
  </si>
  <si>
    <t>CAB decision made on release (Approved/Rejected/Deferred).</t>
  </si>
  <si>
    <t>1. CAB approves release
2. Check notifications</t>
  </si>
  <si>
    <t>Release Manager and Owner receive: 'CAB Decision: Approved for [Release Name]'.</t>
  </si>
  <si>
    <t>REL-TC-188</t>
  </si>
  <si>
    <t>Blocker created notification</t>
  </si>
  <si>
    <t>New blocker created for release.</t>
  </si>
  <si>
    <t>1. Create blocker
2. Save</t>
  </si>
  <si>
    <t>Release Manager notified: 'New blocker created: [Blocker Description]'.</t>
  </si>
  <si>
    <t>REL-TC-189</t>
  </si>
  <si>
    <t>Escalation notification during business hours</t>
  </si>
  <si>
    <t>Blocker escalated at 2 PM on Wednesday.</t>
  </si>
  <si>
    <t>1. Escalate blocker
2. Check notification timing</t>
  </si>
  <si>
    <t>Immediate notification sent during business hours (8 AM - 6 PM).</t>
  </si>
  <si>
    <t>REL-TC-190</t>
  </si>
  <si>
    <t>Escalation notification outside business hours</t>
  </si>
  <si>
    <t>Blocker escalated at 10 PM on Wednesday.</t>
  </si>
  <si>
    <t>1. Escalate blocker outside hours
2. Check notification delivery</t>
  </si>
  <si>
    <t>Notification queued for next business day (8 AM Thursday).</t>
  </si>
  <si>
    <t>Unless P1 Critical</t>
  </si>
  <si>
    <t>REL-TC-191</t>
  </si>
  <si>
    <t>Go-Live reminder 48 hours before</t>
  </si>
  <si>
    <t>Release Go-Live in 48 hours.</t>
  </si>
  <si>
    <t>1. System timer triggers
2. Check notifications</t>
  </si>
  <si>
    <t>Reminder sent to Release Owner, Manager, and stakeholders: '48 hours to Go-Live'.</t>
  </si>
  <si>
    <t>REL-TC-192</t>
  </si>
  <si>
    <t>Go-Live reminder 24 hours before</t>
  </si>
  <si>
    <t>Release Go-Live in 24 hours.</t>
  </si>
  <si>
    <t>Reminder sent: '24 hours to Go-Live for [Release Name]'.</t>
  </si>
  <si>
    <t>REL-TC-193</t>
  </si>
  <si>
    <t>Notification to deleted user fails gracefully</t>
  </si>
  <si>
    <t>Release Owner's account deleted. System tries to notify.</t>
  </si>
  <si>
    <t>1. Delete owner's user account
2. Trigger notification event</t>
  </si>
  <si>
    <t>Notification fails gracefully. Escalates to backup (e.g., Manager). Warning logged.</t>
  </si>
  <si>
    <t>REL-TC-194</t>
  </si>
  <si>
    <t>Notification flood prevention/batching</t>
  </si>
  <si>
    <t>Release triggers 50+ notifications in 1 minute.</t>
  </si>
  <si>
    <t>1. Multiple rapid actions on release
2. Check notification count</t>
  </si>
  <si>
    <t>Notifications batched/throttled. User receives digest instead of 50 separate emails.</t>
  </si>
  <si>
    <t>Prevents spam</t>
  </si>
  <si>
    <t>REL-TC-195</t>
  </si>
  <si>
    <t>Sign-off request notification</t>
  </si>
  <si>
    <t>Release needs sign-off from QA Lead.</t>
  </si>
  <si>
    <t>1. Request sign-off
2. Check notifications</t>
  </si>
  <si>
    <t>QA Lead receives: 'Sign-off requested for [Release Name]'. Direct link to sign-off page.</t>
  </si>
  <si>
    <t>REL-TC-196</t>
  </si>
  <si>
    <t>Approval expiring soon notification</t>
  </si>
  <si>
    <t>NOTIF-09, AV-22</t>
  </si>
  <si>
    <t>CAB approval expires in 7 days. Release not yet deployed.</t>
  </si>
  <si>
    <t>1. Approval granted 23 days ago
2. System timer checks</t>
  </si>
  <si>
    <t>Warning notification: 'CAB approval expires in 7 days for [Release Name]. Deploy or request extension.'</t>
  </si>
  <si>
    <t>30-day expiry per AV-22</t>
  </si>
  <si>
    <t>REL-TC-197</t>
  </si>
  <si>
    <t>Dependency at risk notification</t>
  </si>
  <si>
    <t>Prerequisite release B's Go-Live date pushed back. A depends on B.</t>
  </si>
  <si>
    <t>1. B's date changed
2. System evaluates A's dependency</t>
  </si>
  <si>
    <t>Release A's owner notified: 'Dependency at risk — B's Go-Live delayed'.</t>
  </si>
  <si>
    <t>REL-TC-198</t>
  </si>
  <si>
    <t>Stale blocker notification</t>
  </si>
  <si>
    <t>NOTIF-11, AV-03</t>
  </si>
  <si>
    <t>Blocker 'In Progress' for 6 days.</t>
  </si>
  <si>
    <t>1. System daily check
2. Blocker exceeds 5-day threshold</t>
  </si>
  <si>
    <t>Blocker owner and RM notified: 'Stale blocker alert — no progress for 5+ days'.</t>
  </si>
  <si>
    <t>REL-TC-199</t>
  </si>
  <si>
    <t>Conflict detected notification</t>
  </si>
  <si>
    <t>New conflict created between Release A and B.</t>
  </si>
  <si>
    <t>1. System detects scheduling conflict
2. Creates conflict record</t>
  </si>
  <si>
    <t>Both Release Managers notified: 'Scheduling conflict detected between A and B'.</t>
  </si>
  <si>
    <t>REL-TC-200</t>
  </si>
  <si>
    <t>Critical risk notification</t>
  </si>
  <si>
    <t>NOTIF-13</t>
  </si>
  <si>
    <t>Critical risk (Score ≥16) created for release.</t>
  </si>
  <si>
    <t>1. Create risk with P=4, I=5
2. Save</t>
  </si>
  <si>
    <t>REL-TC-201</t>
  </si>
  <si>
    <t>Deployment started notification</t>
  </si>
  <si>
    <t>NOTIF-14</t>
  </si>
  <si>
    <t>Release transitions to Deploying.</t>
  </si>
  <si>
    <t>1. Start deployment
2. Check notifications</t>
  </si>
  <si>
    <t>REL-TC-202</t>
  </si>
  <si>
    <t>12. Audit &amp; Compliance Rules</t>
  </si>
  <si>
    <t>All field changes logged to audit trail</t>
  </si>
  <si>
    <t>User edits Release Name field.</t>
  </si>
  <si>
    <t>1. Open release
2. Change Release Name from 'v1.0' to 'v1.1'
3. Save
4. Check Audit Trail</t>
  </si>
  <si>
    <t>Audit record: Timestamp, User, Field='Release Name', Before='v1.0', After='v1.1'.</t>
  </si>
  <si>
    <t>REL-TC-203</t>
  </si>
  <si>
    <t>Status transitions logged with timestamps</t>
  </si>
  <si>
    <t>Release transitions from Planning to Testing.</t>
  </si>
  <si>
    <t>1. Transition release
2. Check Audit Trail</t>
  </si>
  <si>
    <t>Audit record: Timestamp, User, Action='Status Change', Before='Planning', After='Testing'.</t>
  </si>
  <si>
    <t>REL-TC-204</t>
  </si>
  <si>
    <t>User attempts to modify audit trail entry.</t>
  </si>
  <si>
    <t>1. Navigate to Audit Trail
2. Attempt to edit or delete any record</t>
  </si>
  <si>
    <t>BLOCKED. Audit trail is append-only. No edit or delete operations permitted.</t>
  </si>
  <si>
    <t>REL-TC-205</t>
  </si>
  <si>
    <t>Cascade actions individually logged</t>
  </si>
  <si>
    <t>Release cancelled with 5 linked blockers.</t>
  </si>
  <si>
    <t>1. Cancel release
2. Check Audit Trail</t>
  </si>
  <si>
    <t>REL-TC-206</t>
  </si>
  <si>
    <t>User action attributed correctly</t>
  </si>
  <si>
    <t>User john@company.com approves sign-off.</t>
  </si>
  <si>
    <t>1. John approves sign-off
2. Check Audit Trail</t>
  </si>
  <si>
    <t>Audit shows User='john@company.com'. Not system user.</t>
  </si>
  <si>
    <t>REL-TC-207</t>
  </si>
  <si>
    <t>System action attributed to system user</t>
  </si>
  <si>
    <t>Auto-validation (AV) rule triggers status change.</t>
  </si>
  <si>
    <t>1. AV-03 stale blocker check runs
2. Check Audit Trail</t>
  </si>
  <si>
    <t>Audit shows User='SYSTEM' or 'AV-03'. Distinguishes from manual actions.</t>
  </si>
  <si>
    <t>REL-TC-208</t>
  </si>
  <si>
    <t>Failed actions logged</t>
  </si>
  <si>
    <t>User attempts blocked action (e.g., status transition without sign-offs).</t>
  </si>
  <si>
    <t>1. Attempt invalid transition
2. System blocks
3. Check Audit Trail</t>
  </si>
  <si>
    <t>Audit record: Timestamp, User, Action='Status Change Attempt', Result='Blocked', Reason='Missing sign-offs'.</t>
  </si>
  <si>
    <t>REL-TC-209</t>
  </si>
  <si>
    <t>Login/logout tracked</t>
  </si>
  <si>
    <t>User logs in and out of system.</t>
  </si>
  <si>
    <t>1. User logs in
2. User logs out
3. Check Audit Trail</t>
  </si>
  <si>
    <t>Both events logged: Login timestamp, Logout timestamp, User, IP Address.</t>
  </si>
  <si>
    <t>REL-TC-210</t>
  </si>
  <si>
    <t>Audit trail retention (7 years)</t>
  </si>
  <si>
    <t>Audit records from 6 years ago.</t>
  </si>
  <si>
    <t>1. Query audit trail for records from 6 years ago</t>
  </si>
  <si>
    <t>Records still available. Retention period = 7 years per compliance.</t>
  </si>
  <si>
    <t>REL-TC-211</t>
  </si>
  <si>
    <t>Audit report generation</t>
  </si>
  <si>
    <t>Compliance team needs audit report for specific release.</t>
  </si>
  <si>
    <t>1. Navigate to Reports
2. Select Audit Report
3. Filter by Release ID
4. Export</t>
  </si>
  <si>
    <t>Complete audit history exported. Includes all changes, transitions, approvals.</t>
  </si>
  <si>
    <t>REL-TC-212</t>
  </si>
  <si>
    <t>CAB decision fully documented</t>
  </si>
  <si>
    <t>CAB approves release with conditions.</t>
  </si>
  <si>
    <t>1. CAB makes decision
2. Check audit trail</t>
  </si>
  <si>
    <t>Audit includes: Decision (Approved), Approver, Timestamp, Conditions/Comments.</t>
  </si>
  <si>
    <t>REL-TC-213</t>
  </si>
  <si>
    <t>Sign-off audit trail</t>
  </si>
  <si>
    <t>Dev Lead signs off on release.</t>
  </si>
  <si>
    <t>1. Sign-off submitted
2. Check audit trail</t>
  </si>
  <si>
    <t>Audit: Signatory, Type (Dev Sign-Off), Timestamp, Release ID.</t>
  </si>
  <si>
    <t>REL-TC-214</t>
  </si>
  <si>
    <t>Exemption approval documented</t>
  </si>
  <si>
    <t>VP grants freeze window exemption.</t>
  </si>
  <si>
    <t>1. VP approves exemption
2. Check audit trail</t>
  </si>
  <si>
    <t>Audit: Exemption Type, Approver (VP), Justification, Release ID, Timestamp.</t>
  </si>
  <si>
    <t>REL-TC-215</t>
  </si>
  <si>
    <t>Audit read access restricted to compliance role</t>
  </si>
  <si>
    <t>Regular user attempts to view full audit trail.</t>
  </si>
  <si>
    <t>1. User with standard role accesses audit
2. Attempts bulk export</t>
  </si>
  <si>
    <t>Limited access. Full audit export requires Compliance Officer or Admin role.</t>
  </si>
  <si>
    <t>REL-TC-216</t>
  </si>
  <si>
    <t>13. Integration &amp; Sync Rules</t>
  </si>
  <si>
    <t>Jira ticket sync creates blocker</t>
  </si>
  <si>
    <t>Jira ticket linked to release transitions to 'Blocked'.</t>
  </si>
  <si>
    <t>1. Link Jira ticket to release
2. Jira ticket status changes to Blocked
3. Sync runs</t>
  </si>
  <si>
    <t>Blocker auto-created in ReleaseDesk. Description pulled from Jira. Sync logged.</t>
  </si>
  <si>
    <t>REL-TC-217</t>
  </si>
  <si>
    <t>Jira ticket sync updates existing blocker</t>
  </si>
  <si>
    <t>Jira ticket linked to existing blocker. Jira status changes to Resolved.</t>
  </si>
  <si>
    <t>1. Existing blocker linked to Jira ticket
2. Jira ticket resolved
3. Sync runs</t>
  </si>
  <si>
    <t>Blocker status updated to Resolved. Bi-directional sync working.</t>
  </si>
  <si>
    <t>REL-TC-218</t>
  </si>
  <si>
    <t>ServiceNow incident sync</t>
  </si>
  <si>
    <t>ServiceNow incident linked to deployed release.</t>
  </si>
  <si>
    <t>1. Incident created in ServiceNow
2. Linked to Release X
3. Sync runs</t>
  </si>
  <si>
    <t>Incident record created in ReleaseDesk. Linked to Release X. Severity synced.</t>
  </si>
  <si>
    <t>REL-TC-219</t>
  </si>
  <si>
    <t>Sync interval is 15 minutes</t>
  </si>
  <si>
    <t>External system updated. Check sync timing.</t>
  </si>
  <si>
    <t>1. Update external system at 2:00 PM
2. Check ReleaseDesk at 2:10 PM
3. Check at 2:15 PM</t>
  </si>
  <si>
    <t>Change not visible at 2:10. Visible at 2:15 (after 15-min sync cycle).</t>
  </si>
  <si>
    <t>Default 15-min interval</t>
  </si>
  <si>
    <t>REL-TC-220</t>
  </si>
  <si>
    <t>Webhook instant update</t>
  </si>
  <si>
    <t>External system sends webhook on status change.</t>
  </si>
  <si>
    <t>1. Configure webhook from Jira
2. Jira ticket updated
3. Webhook fires</t>
  </si>
  <si>
    <t>ReleaseDesk receives webhook. Updates immediately (not waiting for polling cycle).</t>
  </si>
  <si>
    <t>Real-time when available</t>
  </si>
  <si>
    <t>REL-TC-221</t>
  </si>
  <si>
    <t>Polling fallback when webhook unavailable</t>
  </si>
  <si>
    <t>Webhook endpoint down. Polling continues.</t>
  </si>
  <si>
    <t>1. Webhook fails
2. System falls back to polling
3. Check sync status</t>
  </si>
  <si>
    <t>Polling continues every 5 minutes. Data eventually consistent. Warning logged.</t>
  </si>
  <si>
    <t>5-min polling fallback</t>
  </si>
  <si>
    <t>REL-TC-222</t>
  </si>
  <si>
    <t>Sync failure does not corrupt data</t>
  </si>
  <si>
    <t>Sync job fails mid-way during data import.</t>
  </si>
  <si>
    <t>1. Network drops during sync
2. Partial data received
3. Admin restarts sync</t>
  </si>
  <si>
    <t>No duplicate records. Sync resumes from checkpoint. Previous partial changes rolled back.</t>
  </si>
  <si>
    <t>REL-TC-223</t>
  </si>
  <si>
    <t>Sync log records all operations</t>
  </si>
  <si>
    <t>Sync job runs successfully.</t>
  </si>
  <si>
    <t>1. Sync completes
2. Check Sync Logs</t>
  </si>
  <si>
    <t>Log entry: Timestamp, System (Jira/ServiceNow), Status (Success), Records Processed, Duration.</t>
  </si>
  <si>
    <t>Sync logs are read-only</t>
  </si>
  <si>
    <t>REL-TC-224</t>
  </si>
  <si>
    <t>Sync mapping handles field transformation</t>
  </si>
  <si>
    <t>Jira 'Priority' field maps to ReleaseDesk 'Severity'.</t>
  </si>
  <si>
    <t>1. Jira ticket Priority = 'Blocker'
2. Sync runs
3. Check ReleaseDesk blocker</t>
  </si>
  <si>
    <t>Severity correctly mapped to 'Critical' based on configured transform.</t>
  </si>
  <si>
    <t>REL-TC-225</t>
  </si>
  <si>
    <t>Sync conflict resolution (external wins)</t>
  </si>
  <si>
    <t>Same record updated in both systems during sync window.</t>
  </si>
  <si>
    <t>1. User updates blocker description locally
2. Jira updated simultaneously
3. Sync runs</t>
  </si>
  <si>
    <t>Conflict detected. External system wins (per config). Local change overwritten. User notified.</t>
  </si>
  <si>
    <t>Configurable policy</t>
  </si>
  <si>
    <t>REL-TC-226</t>
  </si>
  <si>
    <t>HR leave sync impacts release owner</t>
  </si>
  <si>
    <t>HR system records owner's leave during Go-Live.</t>
  </si>
  <si>
    <t>1. HR sync imports leave record
2. Leave overlaps with release Go-Live date</t>
  </si>
  <si>
    <t>Warning generated: 'Release owner on leave during Go-Live'. Suggest delegate.</t>
  </si>
  <si>
    <t>REL-TC-227</t>
  </si>
  <si>
    <t>External system unavailable handling</t>
  </si>
  <si>
    <t>SYNC-11</t>
  </si>
  <si>
    <t>Jira system down for maintenance.</t>
  </si>
  <si>
    <t>1. Sync attempts connection
2. Jira returns 503
3. Check behavior</t>
  </si>
  <si>
    <t>Sync marked as Failed. Retry scheduled. Error logged. No crash or data loss.</t>
  </si>
  <si>
    <t>REL-TC-228</t>
  </si>
  <si>
    <t>Deprecated API version warning</t>
  </si>
  <si>
    <t>SYNC-12</t>
  </si>
  <si>
    <t>ReleaseDesk calls deprecated Jira API version.</t>
  </si>
  <si>
    <t>1. API call made with v2 (deprecated)
2. Jira responds with deprecation header</t>
  </si>
  <si>
    <t>Request succeeds. Warning logged: 'API version deprecated — upgrade by {date}'.</t>
  </si>
  <si>
    <t>REL-TC-229</t>
  </si>
  <si>
    <t>API rate limiting handled</t>
  </si>
  <si>
    <t>Client exceeds Jira API rate limit.</t>
  </si>
  <si>
    <t>1. Rapid sync causes &gt;1000 calls/minute
2. Jira returns 429</t>
  </si>
  <si>
    <t>ReleaseDesk backs off. Waits specified time. Resumes sync. No data loss.</t>
  </si>
  <si>
    <t>REL-TC-230</t>
  </si>
  <si>
    <t>Sync admin can trigger manual sync</t>
  </si>
  <si>
    <t>Admin needs immediate sync before scheduled cycle.</t>
  </si>
  <si>
    <t>1. Admin navigates to Sync Admin
2. Clicks 'Sync Now'
3. Confirms</t>
  </si>
  <si>
    <t>Manual sync triggered. Results visible within minutes. Audit logged.</t>
  </si>
  <si>
    <t>REL-TC-231</t>
  </si>
  <si>
    <t>Sync disabled for archived releases</t>
  </si>
  <si>
    <t>Archived release has linked Jira tickets.</t>
  </si>
  <si>
    <t>1. Release archived
2. Jira ticket updated
3. Sync runs</t>
  </si>
  <si>
    <t>Sync skips archived release links. No updates applied. Reduces noise.</t>
  </si>
  <si>
    <t>REL-TC-232</t>
  </si>
  <si>
    <t>14. Role &amp; Permission Rules</t>
  </si>
  <si>
    <t>Release Owner can edit own release</t>
  </si>
  <si>
    <t>User is Release Owner. Release in Planning.</t>
  </si>
  <si>
    <t>1. Open release as owner
2. Edit Release Name
3. Save</t>
  </si>
  <si>
    <t>Edit succeeds. Owner has full write access to own releases.</t>
  </si>
  <si>
    <t>REL-TC-233</t>
  </si>
  <si>
    <t>Release Manager can edit all releases in scope</t>
  </si>
  <si>
    <t>User is Release Manager for App A. Release belongs to App A.</t>
  </si>
  <si>
    <t>1. Open release for App A (owned by someone else)
2. Edit Priority
3. Save</t>
  </si>
  <si>
    <t>Edit succeeds. RM has write access to all releases in their app scope.</t>
  </si>
  <si>
    <t>REL-TC-234</t>
  </si>
  <si>
    <t>Read-only user cannot edit release</t>
  </si>
  <si>
    <t>User has read-only access to release.</t>
  </si>
  <si>
    <t>1. Open release as read-only user
2. Attempt to edit any field</t>
  </si>
  <si>
    <t>BLOCKED. Edit options disabled/greyed out. Error on attempt: 'Read-only access'.</t>
  </si>
  <si>
    <t>REL-TC-235</t>
  </si>
  <si>
    <t>CAB member can approve releases</t>
  </si>
  <si>
    <t>User has CAB Member role. Release in Pending CAB.</t>
  </si>
  <si>
    <t>1. Open release
2. Click 'Approve'
3. Enter comments
4. Confirm</t>
  </si>
  <si>
    <t>Approval recorded. Release transitions to Approved. Audit logged.</t>
  </si>
  <si>
    <t>REL-TC-236</t>
  </si>
  <si>
    <t>Non-CAB user cannot approve releases</t>
  </si>
  <si>
    <t>User without CAB Member role. Release in Pending CAB.</t>
  </si>
  <si>
    <t>1. Open release
2. Attempt to approve</t>
  </si>
  <si>
    <t>BLOCKED. Approve button not visible or disabled. Error: 'CAB Member role required'.</t>
  </si>
  <si>
    <t>REL-TC-237</t>
  </si>
  <si>
    <t>Environment Admin can manage bookings</t>
  </si>
  <si>
    <t>User has Environment Admin role.</t>
  </si>
  <si>
    <t>1. Navigate to Environment Bookings
2. Create/edit/cancel bookings</t>
  </si>
  <si>
    <t>Full access to manage all environment bookings. Audit logged.</t>
  </si>
  <si>
    <t>REL-TC-238</t>
  </si>
  <si>
    <t>Regular user cannot manage other users' bookings</t>
  </si>
  <si>
    <t>User without Environment Admin role. Booking owned by another user.</t>
  </si>
  <si>
    <t>1. Open someone else's environment booking
2. Attempt to edit/cancel</t>
  </si>
  <si>
    <t>BLOCKED. Can only manage own bookings. Error: 'Environment Admin role required'.</t>
  </si>
  <si>
    <t>REL-TC-239</t>
  </si>
  <si>
    <t>Sync Admin can trigger manual sync</t>
  </si>
  <si>
    <t>User has Sync Admin role.</t>
  </si>
  <si>
    <t>1. Navigate to Sync Admin
2. Click 'Sync Now'
3. Confirm</t>
  </si>
  <si>
    <t>Manual sync triggered. Admin access granted.</t>
  </si>
  <si>
    <t>REL-TC-240</t>
  </si>
  <si>
    <t>Non-admin cannot trigger manual sync</t>
  </si>
  <si>
    <t>User without Sync Admin role.</t>
  </si>
  <si>
    <t>1. Navigate to Sync Admin area
2. Attempt to trigger sync</t>
  </si>
  <si>
    <t>BLOCKED. Sync Admin menu not visible or access denied.</t>
  </si>
  <si>
    <t>REL-TC-241</t>
  </si>
  <si>
    <t>Freeze exemption requires VP role</t>
  </si>
  <si>
    <t>Manager (not VP) attempts to grant freeze exemption.</t>
  </si>
  <si>
    <t>1. Manager opens exemption request
2. Attempts to approve</t>
  </si>
  <si>
    <t>BLOCKED. Error: 'VP-level approval required for freeze exemptions'.</t>
  </si>
  <si>
    <t>REL-TC-242</t>
  </si>
  <si>
    <t>VP can grant freeze exemption</t>
  </si>
  <si>
    <t>VP reviews freeze exemption request.</t>
  </si>
  <si>
    <t>1. VP opens exemption request
2. Approves exemption
3. Confirms</t>
  </si>
  <si>
    <t>Exemption granted. Release can deploy during freeze. Audit logged.</t>
  </si>
  <si>
    <t>REL-TC-243</t>
  </si>
  <si>
    <t>Incident manager can link incidents</t>
  </si>
  <si>
    <t>User has Incident Manager role.</t>
  </si>
  <si>
    <t>1. Open incident
2. Link to release
3. Save</t>
  </si>
  <si>
    <t>Incident linked. Relationship established. Audit logged.</t>
  </si>
  <si>
    <t>REL-TC-244</t>
  </si>
  <si>
    <t>Compliance Officer can export full audit</t>
  </si>
  <si>
    <t>User has Compliance Officer role.</t>
  </si>
  <si>
    <t>1. Navigate to Audit Reports
2. Select full audit export
3. Download</t>
  </si>
  <si>
    <t>Full audit trail exported. Access granted for compliance role.</t>
  </si>
  <si>
    <t>REL-TC-245</t>
  </si>
  <si>
    <t>Regular user limited audit access</t>
  </si>
  <si>
    <t>User without Compliance Officer role.</t>
  </si>
  <si>
    <t>1. Navigate to Audit Reports
2. Attempt full export</t>
  </si>
  <si>
    <t>BLOCKED. Limited to own activity audit. Full export requires Compliance Officer.</t>
  </si>
  <si>
    <t>REL-TC-246</t>
  </si>
  <si>
    <t>CAB Chair can override CAB decision</t>
  </si>
  <si>
    <t>CAB Chair needs to override previous CAB decision.</t>
  </si>
  <si>
    <t>1. Open approved release
2. CAB Chair initiates override
3. Changes decision to Deferred</t>
  </si>
  <si>
    <t>Override applied. Strong audit trail. Notification to stakeholders.</t>
  </si>
  <si>
    <t>REL-TC-247</t>
  </si>
  <si>
    <t>Permission revoked mid-session</t>
  </si>
  <si>
    <t>User has read access. Admin revokes access while user viewing.</t>
  </si>
  <si>
    <t>1. User opens release
2. Admin revokes user's access
3. User tries to navigate</t>
  </si>
  <si>
    <t>Access denied on next action. Error: 'Your access to this release has been revoked'.</t>
  </si>
  <si>
    <t>REL-TC-248</t>
  </si>
  <si>
    <t>15. Rollback &amp; Recovery Scenarios</t>
  </si>
  <si>
    <t>Successful rollback from Deployed</t>
  </si>
  <si>
    <t>Release Status = Deployed. Critical issue discovered post-deployment.</t>
  </si>
  <si>
    <t>1. Open deployed release
2. Click 'Rollback'
3. Execute rollback plan
4. Confirm completion</t>
  </si>
  <si>
    <t>Status → Rolled Back. Rollback timestamp recorded. Incident auto-created.</t>
  </si>
  <si>
    <t>REL-TC-249</t>
  </si>
  <si>
    <t>Rollback from Deploying</t>
  </si>
  <si>
    <t>Release Status = Deploying. Issue detected mid-deployment.</t>
  </si>
  <si>
    <t>1. Open deploying release
2. Click 'Abort/Rollback'
3. Confirm</t>
  </si>
  <si>
    <t>Status → Rolled Back. Partial deployment reversed. Timeline documented.</t>
  </si>
  <si>
    <t>REL-TC-250</t>
  </si>
  <si>
    <t>Rolled Back can transition to Testing (rework)</t>
  </si>
  <si>
    <t>Release Status = Rolled Back. Root cause identified.</t>
  </si>
  <si>
    <t>1. Open rolled back release
2. Document root cause
3. Click 'Return to Testing'
4. Confirm</t>
  </si>
  <si>
    <t>Status → Testing. Release begins rework cycle. Audit logged.</t>
  </si>
  <si>
    <t>REL-TC-251</t>
  </si>
  <si>
    <t>Root cause documentation required for rollback</t>
  </si>
  <si>
    <t>Rollback initiated without root cause documentation.</t>
  </si>
  <si>
    <t>1. Click 'Rollback'
2. Leave Root Cause field blank
3. Confirm</t>
  </si>
  <si>
    <t>BLOCKED. Error: 'Root cause documentation required before completing rollback'.</t>
  </si>
  <si>
    <t>REL-TC-252</t>
  </si>
  <si>
    <t>Rollback unlocks previously locked fields</t>
  </si>
  <si>
    <t>Release Status = Rolled Back. Fields were locked at Deploying.</t>
  </si>
  <si>
    <t>1. Release rolled back
2. Check field editability</t>
  </si>
  <si>
    <t>Most fields unlocked for rework. Can modify scope, dates, dependencies.</t>
  </si>
  <si>
    <t>REL-TC-253</t>
  </si>
  <si>
    <t>Rollback increments version/attempt counter</t>
  </si>
  <si>
    <t>Release rolled back. Preparing for re-deployment.</t>
  </si>
  <si>
    <t>1. Rollback completed
2. Check version/attempt counter</t>
  </si>
  <si>
    <t>Attempt Counter incremented (e.g., 'v1.0 Attempt 2'). History retained.</t>
  </si>
  <si>
    <t>REL-TC-254</t>
  </si>
  <si>
    <t>Save operation fails mid-way due to network drop.</t>
  </si>
  <si>
    <t>1. Edit multiple fields
2. Network drops during save
3. Network restored
4. Retry save</t>
  </si>
  <si>
    <t>Previous partial changes rolled back. Clean save allowed. No corrupt data.</t>
  </si>
  <si>
    <t>REL-TC-255</t>
  </si>
  <si>
    <t>Database timeout recovery</t>
  </si>
  <si>
    <t>1. User loads release page
2. Database timeout occurs
3. User refreshes</t>
  </si>
  <si>
    <t>Page loads with latest data on refresh. No stale cache displayed.</t>
  </si>
  <si>
    <t>REL-TC-256</t>
  </si>
  <si>
    <t>User editing release for 2+ hours. Session expires.</t>
  </si>
  <si>
    <t>1. User opens release
2. Edits for 2+ hours
3. Session expires
4. User clicks Save</t>
  </si>
  <si>
    <t>Redirected to login. Changes preserved in draft. After login, can resume editing.</t>
  </si>
  <si>
    <t>REL-TC-257</t>
  </si>
  <si>
    <t>Closed release archived for 1+ year. Need to reference.</t>
  </si>
  <si>
    <t>1. Admin navigates to Archive
2. Finds release
3. Clicks 'Restore'
4. Confirms</t>
  </si>
  <si>
    <t>Release restored with full history. Status = Closed (read-only). Audit logged.</t>
  </si>
  <si>
    <t>REL-TC-258</t>
  </si>
  <si>
    <t>Archived release cannot be modified</t>
  </si>
  <si>
    <t>Restored archived release.</t>
  </si>
  <si>
    <t>1. Restore archived release
2. Attempt to edit any field</t>
  </si>
  <si>
    <t>BLOCKED. Archived releases are read-only (historical record). Status preserved.</t>
  </si>
  <si>
    <t>REL-TC-259</t>
  </si>
  <si>
    <t>User searches for old release by name.</t>
  </si>
  <si>
    <t>1. Enter old release name in search
2. Execute search</t>
  </si>
  <si>
    <t>Archived releases shown with [Archived] label. Distinguishable from active.</t>
  </si>
  <si>
    <t>REL-TC-260</t>
  </si>
  <si>
    <t>Sync job failure recovery from checkpoint</t>
  </si>
  <si>
    <t>1. Sync job fails mid-import
2. Admin restarts sync
3. Check data</t>
  </si>
  <si>
    <t>No duplicate records created. Sync resumes from checkpoint. Data consistent.</t>
  </si>
  <si>
    <t>REL-TC-261</t>
  </si>
  <si>
    <t>Concurrent modification conflict resolution</t>
  </si>
  <si>
    <t>Two users edit same release simultaneously.</t>
  </si>
  <si>
    <t>1. User A opens release
2. User B opens same release
3. Both edit and save</t>
  </si>
  <si>
    <t>First save succeeds. Second user gets stale-data warning. Must reload before proceeding.</t>
  </si>
  <si>
    <t>REL-TC-262</t>
  </si>
  <si>
    <t>16. Security Rules</t>
  </si>
  <si>
    <t>SQL injection in text fields prevented</t>
  </si>
  <si>
    <t>Release name field accepts user input.</t>
  </si>
  <si>
    <t>1. Open new release
2. Enter Release Name: "'; DROP TABLE releases;--"
3. Save</t>
  </si>
  <si>
    <t>Input sanitised. No SQL execution. Release saved with literal text (escaped).</t>
  </si>
  <si>
    <t>REL-TC-263</t>
  </si>
  <si>
    <t>XSS injection in description field prevented</t>
  </si>
  <si>
    <t>Release description field accepts user input.</t>
  </si>
  <si>
    <t>1. Open release
2. Enter Description: "&lt;script&gt;alert('XSS')&lt;/script&gt;"
3. Save
4. View release</t>
  </si>
  <si>
    <t>Script tags escaped. No execution when viewed. Displayed as literal text.</t>
  </si>
  <si>
    <t>REL-TC-264</t>
  </si>
  <si>
    <t>CSRF token validation</t>
  </si>
  <si>
    <t>Form submission requires CSRF token.</t>
  </si>
  <si>
    <t>1. Submit form without valid CSRF token</t>
  </si>
  <si>
    <t>Request rejected. Error: 'Invalid or missing CSRF token'. Prevents cross-site attacks.</t>
  </si>
  <si>
    <t>REL-TC-265</t>
  </si>
  <si>
    <t>Password complexity requirements</t>
  </si>
  <si>
    <t>User attempts to set weak password.</t>
  </si>
  <si>
    <t>1. Go to password change
2. Enter password: 'password123'
3. Submit</t>
  </si>
  <si>
    <t>BLOCKED. Error: 'Password must include uppercase, number, special character, min 12 chars'.</t>
  </si>
  <si>
    <t>REL-TC-266</t>
  </si>
  <si>
    <t>Account lockout after failed attempts</t>
  </si>
  <si>
    <t>User enters wrong password 5 times.</t>
  </si>
  <si>
    <t>1. Attempt login with wrong password
2. Repeat 5 times</t>
  </si>
  <si>
    <t>Account locked after 5 failures. Lockout duration = 30 minutes. Notification to user/admin.</t>
  </si>
  <si>
    <t>REL-TC-267</t>
  </si>
  <si>
    <t>Session timeout enforcement</t>
  </si>
  <si>
    <t>User inactive for 2+ hours.</t>
  </si>
  <si>
    <t>1. User logs in
2. No activity for session timeout period
3. User tries to perform action</t>
  </si>
  <si>
    <t>Session expired. Redirected to login. Work in progress saved to draft.</t>
  </si>
  <si>
    <t>REL-TC-268</t>
  </si>
  <si>
    <t>Sensitive data encryption at rest</t>
  </si>
  <si>
    <t>Database contains sensitive release data.</t>
  </si>
  <si>
    <t>1. Check database storage
2. Verify encryption status</t>
  </si>
  <si>
    <t>All sensitive fields encrypted at rest (AES-256 or equivalent).</t>
  </si>
  <si>
    <t>REL-TC-269</t>
  </si>
  <si>
    <t>HTTPS enforced for all connections</t>
  </si>
  <si>
    <t>User attempts HTTP connection.</t>
  </si>
  <si>
    <t>1. Access system via HTTP
2. Check redirect</t>
  </si>
  <si>
    <t>Automatic redirect to HTTPS. All traffic encrypted in transit.</t>
  </si>
  <si>
    <t>REL-TC-270</t>
  </si>
  <si>
    <t>API authentication required</t>
  </si>
  <si>
    <t>API call without authentication token.</t>
  </si>
  <si>
    <t>1. Call API endpoint without auth header
2. Check response</t>
  </si>
  <si>
    <t>401 Unauthorized. Error: 'Authentication required'.</t>
  </si>
  <si>
    <t>REL-TC-271</t>
  </si>
  <si>
    <t>API rate limiting enforced</t>
  </si>
  <si>
    <t>1. Script sends rapid API requests
2. Monitor responses</t>
  </si>
  <si>
    <t>Rate limited after threshold. 429 response: 'Rate limit exceeded. Try again in {N} seconds.'</t>
  </si>
  <si>
    <t>REL-TC-272</t>
  </si>
  <si>
    <t>Input length validation</t>
  </si>
  <si>
    <t>User enters extremely long input in text field.</t>
  </si>
  <si>
    <t>1. Enter 100,000 character string in Release Name
2. Save</t>
  </si>
  <si>
    <t>REL-TC-273</t>
  </si>
  <si>
    <t>File upload validation</t>
  </si>
  <si>
    <t>User uploads malicious file as attachment.</t>
  </si>
  <si>
    <t>1. Upload file with .exe extension
2. Attempt to upload</t>
  </si>
  <si>
    <t>BLOCKED. Only allowed file types accepted (pdf, docx, xlsx, txt, png, jpg).</t>
  </si>
  <si>
    <t>REL-TC-274</t>
  </si>
  <si>
    <t>Audit trail tampering prevented</t>
  </si>
  <si>
    <t>Admin attempts to modify audit trail via direct DB access.</t>
  </si>
  <si>
    <t>1. Attempt UPDATE on audit_trail table
2. Check result</t>
  </si>
  <si>
    <t>BLOCKED at database level. Audit trail append-only. Triggers prevent modification.</t>
  </si>
  <si>
    <t>REL-TC-275</t>
  </si>
  <si>
    <t>Sensitive fields masked in logs</t>
  </si>
  <si>
    <t>System logs contain sensitive operations.</t>
  </si>
  <si>
    <t>1. Perform operation with sensitive data
2. Check system logs</t>
  </si>
  <si>
    <t>Sensitive fields (passwords, tokens, PII) masked or excluded from logs.</t>
  </si>
  <si>
    <t>REL-TC-276</t>
  </si>
  <si>
    <t>Authorization checked on every request</t>
  </si>
  <si>
    <t>User attempts direct URL manipulation.</t>
  </si>
  <si>
    <t>1. User copies URL of release they can access
2. Changes ID to different release
3. Navigates</t>
  </si>
  <si>
    <t>Authorization checked. If no access to target release: 403 Forbidden.</t>
  </si>
  <si>
    <t>REL-TC-277</t>
  </si>
  <si>
    <t>Multi-factor authentication enforcement</t>
  </si>
  <si>
    <t>User with MFA enabled logs in.</t>
  </si>
  <si>
    <t>1. Enter username/password
2. System prompts for MFA code
3. Enter valid code</t>
  </si>
  <si>
    <t>Login succeeds only with valid MFA code. No bypass possible.</t>
  </si>
  <si>
    <t>REL-TC-278</t>
  </si>
  <si>
    <t>API token expiry and rotation</t>
  </si>
  <si>
    <t>API token older than 90 days.</t>
  </si>
  <si>
    <t>1. Use API token issued 91 days ago
2. Make API call</t>
  </si>
  <si>
    <t>401 Unauthorized. Token expired. Must generate new token.</t>
  </si>
  <si>
    <t>REL-TC-279</t>
  </si>
  <si>
    <t>Privilege escalation prevented</t>
  </si>
  <si>
    <t>User attempts to access admin function via API.</t>
  </si>
  <si>
    <t>1. Regular user calls admin-only API endpoint
2. Check response</t>
  </si>
  <si>
    <t>403 Forbidden. Error: 'Insufficient permissions'. Role checked on every request.</t>
  </si>
  <si>
    <t>TEST SUITE SUMMARY</t>
  </si>
  <si>
    <t>Test Cases</t>
  </si>
  <si>
    <t>Row Range</t>
  </si>
  <si>
    <t>16-30</t>
  </si>
  <si>
    <t>31-56</t>
  </si>
  <si>
    <t>57-84</t>
  </si>
  <si>
    <t>85-104</t>
  </si>
  <si>
    <t>105-118</t>
  </si>
  <si>
    <t>119-136</t>
  </si>
  <si>
    <t>137-154</t>
  </si>
  <si>
    <t>155-168</t>
  </si>
  <si>
    <t>169-186</t>
  </si>
  <si>
    <t>187-202</t>
  </si>
  <si>
    <t>203-216</t>
  </si>
  <si>
    <t>217-232</t>
  </si>
  <si>
    <t>233-248</t>
  </si>
  <si>
    <t>249-262</t>
  </si>
  <si>
    <t>263-280</t>
  </si>
  <si>
    <t>TOTAL TEST CASES</t>
  </si>
  <si>
    <t>REL-TC-280</t>
  </si>
  <si>
    <t>17. Additional Edge Cases</t>
  </si>
  <si>
    <t>Test Sign-Off required before UAT transition</t>
  </si>
  <si>
    <t>Attempt to transition from Testing to UAT</t>
  </si>
  <si>
    <t>Transition blocked with message</t>
  </si>
  <si>
    <t>Complete test sign-off to proceed</t>
  </si>
  <si>
    <t>REL-TC-281</t>
  </si>
  <si>
    <t>Linked work items must be Done before Ready</t>
  </si>
  <si>
    <t>Release has linked Jira items with Status = In Progress</t>
  </si>
  <si>
    <t>Transition from Approved to Ready</t>
  </si>
  <si>
    <t>Work items XYZ-123, XYZ-456 are not complete</t>
  </si>
  <si>
    <t>REL-TC-282</t>
  </si>
  <si>
    <t>Linked work items must be Done before Deploying</t>
  </si>
  <si>
    <t>Release has linked work items Status ≠ Done</t>
  </si>
  <si>
    <t>Transition from Ready to Deploying</t>
  </si>
  <si>
    <t>Complete all linked work items before deploying</t>
  </si>
  <si>
    <t>REL-TC-283</t>
  </si>
  <si>
    <t>Open conflicts block Ready transition</t>
  </si>
  <si>
    <t>Release has open Conflict record (not Acknowledged)</t>
  </si>
  <si>
    <t>Transition to Ready</t>
  </si>
  <si>
    <t>Resolve or acknowledge conflict with Release XYZ</t>
  </si>
  <si>
    <t>REL-TC-284</t>
  </si>
  <si>
    <t>Open incidents block Closure</t>
  </si>
  <si>
    <t>Release has linked incident with Status = Open</t>
  </si>
  <si>
    <t>Transition from Deployed to Closed</t>
  </si>
  <si>
    <t>Cannot close: incident INC-123 is still open</t>
  </si>
  <si>
    <t>REL-TC-285</t>
  </si>
  <si>
    <t>PIR required before closure (Large release)</t>
  </si>
  <si>
    <t>Large release, PIR field = Incomplete</t>
  </si>
  <si>
    <t>Post-Implementation Review required for Large releases</t>
  </si>
  <si>
    <t>REL-TC-286</t>
  </si>
  <si>
    <t>PIR required before closure (Rolled Back release)</t>
  </si>
  <si>
    <t>Release was previously Rolled Back, PIR = Incomplete</t>
  </si>
  <si>
    <t>PIR required for releases that were rolled back</t>
  </si>
  <si>
    <t>REL-TC-287</t>
  </si>
  <si>
    <t>Blocker creation blocked after Deploying</t>
  </si>
  <si>
    <t>Attempt to create new blocker</t>
  </si>
  <si>
    <t>Blocked - suggest create Incident instead</t>
  </si>
  <si>
    <t>Cannot create blockers during deployment - log as Incident</t>
  </si>
  <si>
    <t>REL-TC-288</t>
  </si>
  <si>
    <t>Dependency modification blocked after Ready</t>
  </si>
  <si>
    <t>Release Status = Ready</t>
  </si>
  <si>
    <t>Attempt to add/remove dependency</t>
  </si>
  <si>
    <t>Blocked - dependencies frozen</t>
  </si>
  <si>
    <t>Dependencies cannot be modified after Ready status</t>
  </si>
  <si>
    <t>REL-TC-289</t>
  </si>
  <si>
    <t>Unresolved High risk escalation after 3 days</t>
  </si>
  <si>
    <t>High severity risk unmitigated for 3+ days</t>
  </si>
  <si>
    <t>Nightly batch runs</t>
  </si>
  <si>
    <t>Escalation alert sent to RM and manager</t>
  </si>
  <si>
    <t>Escalation: High risk unmitigated for 3+ days</t>
  </si>
  <si>
    <t>REL-TC-290</t>
  </si>
  <si>
    <t>Stale blocker alert after 5 working days</t>
  </si>
  <si>
    <t>Blocker in 'In Progress' status for &gt;5 days</t>
  </si>
  <si>
    <t>Daily check runs</t>
  </si>
  <si>
    <t>Reminder sent to blocker owner</t>
  </si>
  <si>
    <t>Blocker stale for 5+ days - please update</t>
  </si>
  <si>
    <t>REL-TC-291</t>
  </si>
  <si>
    <t>Critical incident auto-blocks release</t>
  </si>
  <si>
    <t>Release in Testing status, Critical incident created</t>
  </si>
  <si>
    <t>Incident linked to release</t>
  </si>
  <si>
    <t>Release auto-transitions to Blocked</t>
  </si>
  <si>
    <t>Critical incident detected - release blocked</t>
  </si>
  <si>
    <t>REL-TC-292</t>
  </si>
  <si>
    <t>Environment booking auto-release on expiry</t>
  </si>
  <si>
    <t>Environment booking expired, release not Deploying</t>
  </si>
  <si>
    <t>Hourly job runs</t>
  </si>
  <si>
    <t>Slot auto-released, RM notified</t>
  </si>
  <si>
    <t>Environment booking expired and released</t>
  </si>
  <si>
    <t>REL-TC-293</t>
  </si>
  <si>
    <t>Maintenance window alert T-24 hours</t>
  </si>
  <si>
    <t>Release Deploy Date overlaps with maintenance window</t>
  </si>
  <si>
    <t>T-24 hours before window</t>
  </si>
  <si>
    <t>Warning notification sent</t>
  </si>
  <si>
    <t>Maintenance window conflict in 24 hours</t>
  </si>
  <si>
    <t>REL-TC-294</t>
  </si>
  <si>
    <t>CAB reminder T-2 days</t>
  </si>
  <si>
    <t>Release not yet Pending CAB, CAB Date in 2 days</t>
  </si>
  <si>
    <t>Reminder sent to Release Owner</t>
  </si>
  <si>
    <t>CAB deadline in 2 days - submit for approval</t>
  </si>
  <si>
    <t>REL-TC-295</t>
  </si>
  <si>
    <t>Go-Live reminder T-1 day</t>
  </si>
  <si>
    <t>Release in Ready status, Go-Live tomorrow</t>
  </si>
  <si>
    <t>Checklist reminder sent</t>
  </si>
  <si>
    <t>Go-Live tomorrow - review checklist</t>
  </si>
  <si>
    <t>REL-TC-296</t>
  </si>
  <si>
    <t>Config drift detection creates record</t>
  </si>
  <si>
    <t>Deployed config differs from baseline &gt; threshold</t>
  </si>
  <si>
    <t>Daily scan runs</t>
  </si>
  <si>
    <t>Drift record auto-created, RM notified</t>
  </si>
  <si>
    <t>Configuration drift detected - review required</t>
  </si>
  <si>
    <t>REL-TC-297</t>
  </si>
  <si>
    <t>Unauthorized change alert</t>
  </si>
  <si>
    <t>Config change detected outside Deploying window</t>
  </si>
  <si>
    <t>Alert created, security team notified</t>
  </si>
  <si>
    <t>Unauthorized change detected outside deployment window</t>
  </si>
  <si>
    <t>REL-TC-298</t>
  </si>
  <si>
    <t>Stale release alert after 14 days inactivity</t>
  </si>
  <si>
    <t>Release in Planning, no activity for 14 days</t>
  </si>
  <si>
    <t>Inactivity alert sent to RM</t>
  </si>
  <si>
    <t>Release inactive for 14 days - please update</t>
  </si>
  <si>
    <t>REL-TC-299</t>
  </si>
  <si>
    <t>All blockers resolved auto-unblocks release</t>
  </si>
  <si>
    <t>Release is Blocked, last blocker resolved</t>
  </si>
  <si>
    <t>Blocker status changed to Resolved</t>
  </si>
  <si>
    <t>Release auto-transitions to previous status</t>
  </si>
  <si>
    <t>All blockers resolved - release unblocked</t>
  </si>
  <si>
    <t>REL-TC-300</t>
  </si>
  <si>
    <t>Notification throttling at 10+ per minute</t>
  </si>
  <si>
    <t>Release actions triggering many notifications</t>
  </si>
  <si>
    <t>More than 10 notifications in 1 minute</t>
  </si>
  <si>
    <t>Remaining notifications batched</t>
  </si>
  <si>
    <t>Notifications batched to prevent spam</t>
  </si>
  <si>
    <t>REL-TC-301</t>
  </si>
  <si>
    <t>Release in Approved status</t>
  </si>
  <si>
    <t>Attempt to edit Release Name</t>
  </si>
  <si>
    <t>Edit blocked - name frozen at Pending CAB</t>
  </si>
  <si>
    <t>Release name cannot be changed after CAB submission</t>
  </si>
  <si>
    <t>REL-TC-302</t>
  </si>
  <si>
    <t>Release in Testing status</t>
  </si>
  <si>
    <t>Attempt to change Application</t>
  </si>
  <si>
    <t>Edit blocked - app frozen at Testing</t>
  </si>
  <si>
    <t>Application cannot be changed after Testing</t>
  </si>
  <si>
    <t>REL-TC-303</t>
  </si>
  <si>
    <t>Release in UAT status</t>
  </si>
  <si>
    <t>Attempt to change Release Type</t>
  </si>
  <si>
    <t>Edit blocked - type frozen at UAT</t>
  </si>
  <si>
    <t>Release type cannot be changed after UAT</t>
  </si>
  <si>
    <t>REL-TC-304</t>
  </si>
  <si>
    <t>Owner locks at Ready</t>
  </si>
  <si>
    <t>Release in Ready status</t>
  </si>
  <si>
    <t>Attempt to change Release Owner</t>
  </si>
  <si>
    <t>Edit blocked - ownership frozen at Ready</t>
  </si>
  <si>
    <t>Release owner cannot be changed after Ready</t>
  </si>
  <si>
    <t>REL-TC-305</t>
  </si>
  <si>
    <t>Technical/Business Lead locks at Pending CAB</t>
  </si>
  <si>
    <t>Release in Pending CAB status</t>
  </si>
  <si>
    <t>Attempt to change Technical Lead</t>
  </si>
  <si>
    <t>Edit blocked - leads frozen at Pending CAB</t>
  </si>
  <si>
    <t>Technical Lead cannot be changed during CAB review</t>
  </si>
  <si>
    <t>REL-TC-306</t>
  </si>
  <si>
    <t>Attempt to edit Impact Assessment</t>
  </si>
  <si>
    <t>Edit blocked - impact frozen at Pending CAB</t>
  </si>
  <si>
    <t>Impact assessment cannot be changed during CAB review</t>
  </si>
  <si>
    <t>REL-TC-307</t>
  </si>
  <si>
    <t>Attempt to change CAB Date</t>
  </si>
  <si>
    <t>Edit blocked - CAB date frozen</t>
  </si>
  <si>
    <t>CAB date cannot be changed after submission</t>
  </si>
  <si>
    <t>REL-TC-308</t>
  </si>
  <si>
    <t>Attempt to edit Release Notes</t>
  </si>
  <si>
    <t>Edit blocked - documentation frozen</t>
  </si>
  <si>
    <t>Release notes cannot be changed during CAB review</t>
  </si>
  <si>
    <t>REL-TC-309</t>
  </si>
  <si>
    <t>Attempt to edit Communication Plan</t>
  </si>
  <si>
    <t>Edit blocked - comms frozen at Ready</t>
  </si>
  <si>
    <t>Communication plan cannot be changed after Ready</t>
  </si>
  <si>
    <t>REL-TC-310</t>
  </si>
  <si>
    <t>Risk records lock at Ready</t>
  </si>
  <si>
    <t>Attempt to edit linked Risk record</t>
  </si>
  <si>
    <t>Edit blocked - risks frozen at Ready</t>
  </si>
  <si>
    <t>Risk records cannot be modified after Ready</t>
  </si>
  <si>
    <t>REL-TC-311</t>
  </si>
  <si>
    <t>Two users open same release simultaneously</t>
  </si>
  <si>
    <t>Both click transition buttons at same time</t>
  </si>
  <si>
    <t>Only one succeeds, other gets stale-data warning</t>
  </si>
  <si>
    <t>Your copy is out of date - reload before proceeding</t>
  </si>
  <si>
    <t>REL-TC-312</t>
  </si>
  <si>
    <t>Two releases try to book same slot simultaneously</t>
  </si>
  <si>
    <t>Both click Book at the same time</t>
  </si>
  <si>
    <t>One succeeds, other gets conflict notification</t>
  </si>
  <si>
    <t>Environment just booked by another release</t>
  </si>
  <si>
    <t>REL-TC-313</t>
  </si>
  <si>
    <t>User A signs off while User B cancels</t>
  </si>
  <si>
    <t>Both actions submitted simultaneously</t>
  </si>
  <si>
    <t>Deterministic outcome - cancellation precedence</t>
  </si>
  <si>
    <t>Release cancelled - sign-off not applied</t>
  </si>
  <si>
    <t>REL-TC-314</t>
  </si>
  <si>
    <t>CAB deadline is 5:00 PM exactly</t>
  </si>
  <si>
    <t>Submit at exactly 5:00:00 PM</t>
  </si>
  <si>
    <t>Accepted (at boundary)</t>
  </si>
  <si>
    <t>REL-TC-315</t>
  </si>
  <si>
    <t>Submit at 5:00:01 PM</t>
  </si>
  <si>
    <t>CAB submission deadline has passed</t>
  </si>
  <si>
    <t>REL-TC-316</t>
  </si>
  <si>
    <t>Deploy window ends at 23:59:59</t>
  </si>
  <si>
    <t>Complete deployment at 23:59:59</t>
  </si>
  <si>
    <t>REL-TC-317</t>
  </si>
  <si>
    <t>Release starts 31 Dec, ends 2 Jan</t>
  </si>
  <si>
    <t>Save release dates</t>
  </si>
  <si>
    <t>Duration calculated correctly across year</t>
  </si>
  <si>
    <t>Duration: 3 days</t>
  </si>
  <si>
    <t>REL-TC-318</t>
  </si>
  <si>
    <t>Release scheduled for 29 Feb in leap year</t>
  </si>
  <si>
    <t>Save release</t>
  </si>
  <si>
    <t>Date stored and duration calculated correctly</t>
  </si>
  <si>
    <t>REL-TC-319</t>
  </si>
  <si>
    <t>RM in London (UTC+0) sets deploy for Sydney (UTC+10)</t>
  </si>
  <si>
    <t>RM sets deploy time as 10 PM London</t>
  </si>
  <si>
    <t>Stored as UTC, displayed correctly in each timezone</t>
  </si>
  <si>
    <t>REL-TC-320</t>
  </si>
  <si>
    <t>Deploy date during DST transition</t>
  </si>
  <si>
    <t>Set deploy for 2 AM on DST change day</t>
  </si>
  <si>
    <t>System handles non-existent/duplicate hour</t>
  </si>
  <si>
    <t>Deploy time falls during DST transition - verify</t>
  </si>
  <si>
    <t>REL-TC-321</t>
  </si>
  <si>
    <t>Closed release archived for 1+ year</t>
  </si>
  <si>
    <t>Admin restores the release</t>
  </si>
  <si>
    <t>Release restored with full history, Status = Closed</t>
  </si>
  <si>
    <t>(audit) Archived release restored</t>
  </si>
  <si>
    <t>REL-TC-322</t>
  </si>
  <si>
    <t>User searches for old release name</t>
  </si>
  <si>
    <t>Execute search</t>
  </si>
  <si>
    <t>Archived releases shown with [Archived] label</t>
  </si>
  <si>
    <t>REL-TC-323</t>
  </si>
  <si>
    <t>Release with 100 linked blockers</t>
  </si>
  <si>
    <t>Load release details page</t>
  </si>
  <si>
    <t>Page loads in &lt;3 seconds, blockers paginated</t>
  </si>
  <si>
    <t>REL-TC-324</t>
  </si>
  <si>
    <t>10 releases selected for bulk status change</t>
  </si>
  <si>
    <t>Apply bulk transition</t>
  </si>
  <si>
    <t>All transitions processed, audit logged for each</t>
  </si>
  <si>
    <t>(audit) Bulk transition applied to 10 releases</t>
  </si>
  <si>
    <t>REL-TC-325</t>
  </si>
  <si>
    <t>Webhook delivery failure retry</t>
  </si>
  <si>
    <t>Webhook fails on first attempt</t>
  </si>
  <si>
    <t>External system unreachable</t>
  </si>
  <si>
    <t>Retry with backoff, log for replay</t>
  </si>
  <si>
    <t>Webhook delivery failed - queued for retry</t>
  </si>
  <si>
    <t>REL-TC-326</t>
  </si>
  <si>
    <t>Sync conflict resolution - latest wins</t>
  </si>
  <si>
    <t>Both systems change same field simultaneously</t>
  </si>
  <si>
    <t>Sync detects conflict</t>
  </si>
  <si>
    <t>Latest timestamp wins, loser recorded in audit</t>
  </si>
  <si>
    <t>(audit) Sync conflict: local change overwritten</t>
  </si>
  <si>
    <t>REL-TC-327</t>
  </si>
  <si>
    <t>Sync unmapped value queued for review</t>
  </si>
  <si>
    <t>External system sends unmapped status value</t>
  </si>
  <si>
    <t>Sync runs</t>
  </si>
  <si>
    <t>Unmapped value queued for manual mapping</t>
  </si>
  <si>
    <t>Unmapped value 'CustomStatus' requires mapping</t>
  </si>
  <si>
    <t>REL-TC-328</t>
  </si>
  <si>
    <t>Tombstone handling - soft delete</t>
  </si>
  <si>
    <t>External record deleted in Jira</t>
  </si>
  <si>
    <t>Local record marked as 'Synced-Deleted'</t>
  </si>
  <si>
    <t>Release XYZ marked as deleted in source system</t>
  </si>
  <si>
    <t>REL-TC-329</t>
  </si>
  <si>
    <t>VP exemption required for freeze window</t>
  </si>
  <si>
    <t>Non-VP user attempts freeze exemption approval</t>
  </si>
  <si>
    <t>Click Approve Exemption</t>
  </si>
  <si>
    <t>Blocked - VP approval required</t>
  </si>
  <si>
    <t>Freeze exemptions require VP-level approval</t>
  </si>
  <si>
    <t>REL-TC-330</t>
  </si>
  <si>
    <t>Environment owner can override booking</t>
  </si>
  <si>
    <t>Environment owner views conflicting booking</t>
  </si>
  <si>
    <t>Click Override Booking</t>
  </si>
  <si>
    <t>Booking overridden, original user notified</t>
  </si>
  <si>
    <t>Booking overridden by environment owner</t>
  </si>
  <si>
    <t>REL-TC-331</t>
  </si>
  <si>
    <t>Incident severity can only be raised by owner/manager</t>
  </si>
  <si>
    <t>Non-owner attempts to raise incident severity</t>
  </si>
  <si>
    <t>Change severity from Medium to Critical</t>
  </si>
  <si>
    <t>Blocked - only owner/manager can raise severity</t>
  </si>
  <si>
    <t>Only incident owner can escalate severity</t>
  </si>
  <si>
    <t>REL-TC-332</t>
  </si>
  <si>
    <t>Leave calendar affects availability warning</t>
  </si>
  <si>
    <t>Release owner submits leave during Go-Live</t>
  </si>
  <si>
    <t>Leave record created</t>
  </si>
  <si>
    <t>Availability warning displayed on release</t>
  </si>
  <si>
    <t>(warn) Release owner on leave during Go-Live</t>
  </si>
  <si>
    <t>REL-TC-333</t>
  </si>
  <si>
    <t>Weekly compliance snapshot captured</t>
  </si>
  <si>
    <t>Release configurations exist</t>
  </si>
  <si>
    <t>Weekly job runs</t>
  </si>
  <si>
    <t>Snapshot archived for compliance</t>
  </si>
  <si>
    <t>(audit) Weekly compliance snapshot captured</t>
  </si>
  <si>
    <t>REL-TC-334</t>
  </si>
  <si>
    <t>User editing release for 2+ hours</t>
  </si>
  <si>
    <t>User clicks Save</t>
  </si>
  <si>
    <t>Redirected to login, changes preserved in draft</t>
  </si>
  <si>
    <t>Session expired - log in to continue. Draft saved.</t>
  </si>
  <si>
    <t>REL-TC-335</t>
  </si>
  <si>
    <t>Session token regenerated on privilege change</t>
  </si>
  <si>
    <t>User role changed by admin</t>
  </si>
  <si>
    <t>User performs next action</t>
  </si>
  <si>
    <t>Session token regenerated, old token invalid</t>
  </si>
  <si>
    <t>17. Additional Edge Cases (NEW)</t>
  </si>
  <si>
    <t>281-336</t>
  </si>
  <si>
    <t>2-15</t>
  </si>
  <si>
    <t>Expected Message / Notes</t>
  </si>
  <si>
    <t>RISK-TC-001</t>
  </si>
  <si>
    <t>1. Risk Creation &amp; Field Validation</t>
  </si>
  <si>
    <t>Create risk with all required fields</t>
  </si>
  <si>
    <t>§1-10, §1-11</t>
  </si>
  <si>
    <t>Release exists in Planning status</t>
  </si>
  <si>
    <t>Create new risk with Description, Probability=3, Impact=4</t>
  </si>
  <si>
    <t>Risk created successfully with calculated Risk Score=12</t>
  </si>
  <si>
    <t>Risk Score auto-calculated as Probability × Impact</t>
  </si>
  <si>
    <t>RISK-TC-002</t>
  </si>
  <si>
    <t>Create risk without Description</t>
  </si>
  <si>
    <t>Release exists</t>
  </si>
  <si>
    <t>Create risk without entering Description</t>
  </si>
  <si>
    <t>Save blocked - Description required</t>
  </si>
  <si>
    <t>Risk description is required</t>
  </si>
  <si>
    <t>RISK-TC-003</t>
  </si>
  <si>
    <t>Create risk with Description &lt; 10 characters</t>
  </si>
  <si>
    <t>§1-09 (analog)</t>
  </si>
  <si>
    <t>Create risk with Description = 'Short'</t>
  </si>
  <si>
    <t>Save blocked - Description too short</t>
  </si>
  <si>
    <t>Risk description must be at least 10 characters</t>
  </si>
  <si>
    <t>RISK-TC-004</t>
  </si>
  <si>
    <t>Risk Probability below minimum (0)</t>
  </si>
  <si>
    <t>Creating new risk</t>
  </si>
  <si>
    <t>Enter Probability = 0</t>
  </si>
  <si>
    <t>Blocked - must be 1-5</t>
  </si>
  <si>
    <t>Risk Probability must be 1-5</t>
  </si>
  <si>
    <t>RISK-TC-005</t>
  </si>
  <si>
    <t>Risk Probability above maximum (6)</t>
  </si>
  <si>
    <t>Enter Probability = 6</t>
  </si>
  <si>
    <t>RISK-TC-006</t>
  </si>
  <si>
    <t>Risk Probability at minimum boundary (1)</t>
  </si>
  <si>
    <t>Enter Probability = 1</t>
  </si>
  <si>
    <t>Accepted - valid boundary value</t>
  </si>
  <si>
    <t>RISK-TC-007</t>
  </si>
  <si>
    <t>Risk Probability at maximum boundary (5)</t>
  </si>
  <si>
    <t>Enter Probability = 5</t>
  </si>
  <si>
    <t>RISK-TC-008</t>
  </si>
  <si>
    <t>Risk Impact below minimum (0)</t>
  </si>
  <si>
    <t>Enter Impact = 0</t>
  </si>
  <si>
    <t>Risk Impact must be 1-5</t>
  </si>
  <si>
    <t>RISK-TC-009</t>
  </si>
  <si>
    <t>Risk Impact above maximum (6)</t>
  </si>
  <si>
    <t>Enter Impact = 6</t>
  </si>
  <si>
    <t>RISK-TC-010</t>
  </si>
  <si>
    <t>Risk Impact at minimum boundary (1)</t>
  </si>
  <si>
    <t>Enter Impact = 1</t>
  </si>
  <si>
    <t>RISK-TC-011</t>
  </si>
  <si>
    <t>Risk Impact at maximum boundary (5)</t>
  </si>
  <si>
    <t>Enter Impact = 5</t>
  </si>
  <si>
    <t>RISK-TC-012</t>
  </si>
  <si>
    <t>Risk Probability with decimal value</t>
  </si>
  <si>
    <t>Enter Probability = 2.5</t>
  </si>
  <si>
    <t>Blocked - must be integer</t>
  </si>
  <si>
    <t>Risk Probability must be a whole number 1-5</t>
  </si>
  <si>
    <t>RISK-TC-013</t>
  </si>
  <si>
    <t>Risk Impact with decimal value</t>
  </si>
  <si>
    <t>Enter Impact = 3.7</t>
  </si>
  <si>
    <t>Risk Impact must be a whole number 1-5</t>
  </si>
  <si>
    <t>RISK-TC-014</t>
  </si>
  <si>
    <t>Risk Probability with negative value</t>
  </si>
  <si>
    <t>Enter Probability = -1</t>
  </si>
  <si>
    <t>Blocked - must be positive 1-5</t>
  </si>
  <si>
    <t>RISK-TC-015</t>
  </si>
  <si>
    <t>Risk Score auto-calculation (Low: 1-4)</t>
  </si>
  <si>
    <t>Creating risk with P=1, I=2</t>
  </si>
  <si>
    <t>Save risk</t>
  </si>
  <si>
    <t>Risk Score = 2, Severity = Low</t>
  </si>
  <si>
    <t>Risk Score calculated as P×I=2 (Low)</t>
  </si>
  <si>
    <t>RISK-TC-016</t>
  </si>
  <si>
    <t>Risk Score auto-calculation (Medium: 5-9)</t>
  </si>
  <si>
    <t>Creating risk with P=3, I=3</t>
  </si>
  <si>
    <t>Risk Score = 9, Severity = Medium</t>
  </si>
  <si>
    <t>Risk Score calculated as P×I=9 (Medium)</t>
  </si>
  <si>
    <t>RISK-TC-017</t>
  </si>
  <si>
    <t>Risk Score auto-calculation (High: 10-15)</t>
  </si>
  <si>
    <t>Creating risk with P=3, I=5</t>
  </si>
  <si>
    <t>Risk Score = 15, Severity = High</t>
  </si>
  <si>
    <t>Risk Score calculated as P×I=15 (High)</t>
  </si>
  <si>
    <t>RISK-TC-018</t>
  </si>
  <si>
    <t>Risk Score auto-calculation (Critical: 16-25)</t>
  </si>
  <si>
    <t>Creating risk with P=5, I=5</t>
  </si>
  <si>
    <t>Risk Score = 25, Severity = Critical</t>
  </si>
  <si>
    <t>Risk Score calculated as P×I=25 (Critical)</t>
  </si>
  <si>
    <t>RISK-TC-019</t>
  </si>
  <si>
    <t>Risk Score is read-only (cannot edit)</t>
  </si>
  <si>
    <t>Risk exists with Score = 15</t>
  </si>
  <si>
    <t>Attempt to manually edit Risk Score to 10</t>
  </si>
  <si>
    <t>Edit blocked - computed field</t>
  </si>
  <si>
    <t>Risk Score is calculated automatically</t>
  </si>
  <si>
    <t>RISK-TC-020</t>
  </si>
  <si>
    <t>2. Risk Status Transitions - Happy Path</t>
  </si>
  <si>
    <t>Transition Identified → Assessing</t>
  </si>
  <si>
    <t>Status Lifecycle</t>
  </si>
  <si>
    <t>Risk in Identified status</t>
  </si>
  <si>
    <t>Move to Assessing</t>
  </si>
  <si>
    <t>Transition successful, assessment begins</t>
  </si>
  <si>
    <t>RISK-TC-021</t>
  </si>
  <si>
    <t>Transition Assessing → Mitigating</t>
  </si>
  <si>
    <t>Risk in Assessing status, Mitigation Plan documented</t>
  </si>
  <si>
    <t>Move to Mitigating</t>
  </si>
  <si>
    <t>Transition successful, mitigation active</t>
  </si>
  <si>
    <t>RISK-TC-022</t>
  </si>
  <si>
    <t>Transition Assessing → Accepted</t>
  </si>
  <si>
    <t>Risk in Assessing status, Low/Medium severity</t>
  </si>
  <si>
    <t>Accept risk with justification</t>
  </si>
  <si>
    <t>Transition successful, risk accepted</t>
  </si>
  <si>
    <t>Risk acceptance documented</t>
  </si>
  <si>
    <t>RISK-TC-023</t>
  </si>
  <si>
    <t>Transition Assessing → Closed (risk retired)</t>
  </si>
  <si>
    <t>Risk in Assessing status, determined to be non-issue</t>
  </si>
  <si>
    <t>Close risk with reason</t>
  </si>
  <si>
    <t>Transition successful, risk closed</t>
  </si>
  <si>
    <t>Risk retired - no longer applicable</t>
  </si>
  <si>
    <t>RISK-TC-024</t>
  </si>
  <si>
    <t>Transition Mitigating → Mitigated</t>
  </si>
  <si>
    <t>Risk in Mitigating, controls implemented</t>
  </si>
  <si>
    <t>Complete mitigation, move to Mitigated</t>
  </si>
  <si>
    <t>Transition successful, residual risk documented</t>
  </si>
  <si>
    <t>Mitigation complete, residual documented</t>
  </si>
  <si>
    <t>RISK-TC-025</t>
  </si>
  <si>
    <t>Transition Mitigating → Accepted</t>
  </si>
  <si>
    <t>Risk in Mitigating, partial mitigation acceptable</t>
  </si>
  <si>
    <t>Accept residual risk</t>
  </si>
  <si>
    <t>Transition successful</t>
  </si>
  <si>
    <t>Partial mitigation accepted</t>
  </si>
  <si>
    <t>RISK-TC-026</t>
  </si>
  <si>
    <t>Transition Mitigated → Accepted</t>
  </si>
  <si>
    <t>Risk in Mitigated status</t>
  </si>
  <si>
    <t>Formally accept mitigated risk</t>
  </si>
  <si>
    <t>Mitigated risk formally accepted</t>
  </si>
  <si>
    <t>RISK-TC-027</t>
  </si>
  <si>
    <t>Transition Mitigated → Closed</t>
  </si>
  <si>
    <t>Risk in Mitigated status, release deployed</t>
  </si>
  <si>
    <t>Close risk after successful deployment</t>
  </si>
  <si>
    <t>RISK-TC-028</t>
  </si>
  <si>
    <t>Transition Accepted → Closed</t>
  </si>
  <si>
    <t>Risk in Accepted status</t>
  </si>
  <si>
    <t>Close accepted risk</t>
  </si>
  <si>
    <t>RISK-TC-029</t>
  </si>
  <si>
    <t>Transition Identified → Closed (false positive)</t>
  </si>
  <si>
    <t>Risk in Identified status, determined invalid</t>
  </si>
  <si>
    <t>Close risk as false positive</t>
  </si>
  <si>
    <t>Risk closed - false positive</t>
  </si>
  <si>
    <t>RISK-TC-030</t>
  </si>
  <si>
    <t>High risk auto-escalated after 3 days</t>
  </si>
  <si>
    <t>High severity risk unmitigated, 3+ days old</t>
  </si>
  <si>
    <t>Nightly batch job runs</t>
  </si>
  <si>
    <t>Risk auto-escalated, RM and manager notified</t>
  </si>
  <si>
    <t>High risk unmitigated for 3+ days - escalated</t>
  </si>
  <si>
    <t>RISK-TC-031</t>
  </si>
  <si>
    <t>Escalated → Mitigating after action</t>
  </si>
  <si>
    <t>Risk in Escalated status</t>
  </si>
  <si>
    <t>Assign owner, begin mitigation</t>
  </si>
  <si>
    <t>Transition to Mitigating successful</t>
  </si>
  <si>
    <t>Escalation resolved - mitigation in progress</t>
  </si>
  <si>
    <t>RISK-TC-032</t>
  </si>
  <si>
    <t>Escalated → Accepted after review</t>
  </si>
  <si>
    <t>Risk in Escalated status, management accepts risk</t>
  </si>
  <si>
    <t>Management accepts risk</t>
  </si>
  <si>
    <t>Transition to Accepted successful</t>
  </si>
  <si>
    <t>Risk accepted by management</t>
  </si>
  <si>
    <t>RISK-TC-033</t>
  </si>
  <si>
    <t>3. Risk Status Transitions - Negative</t>
  </si>
  <si>
    <t>Invalid: Identified → Mitigated (skip Assessing)</t>
  </si>
  <si>
    <t>Attempt to transition directly to Mitigated</t>
  </si>
  <si>
    <t>Blocked - must go through Assessing</t>
  </si>
  <si>
    <t>Cannot skip assessment phase</t>
  </si>
  <si>
    <t>RISK-TC-034</t>
  </si>
  <si>
    <t>Invalid: Identified → Accepted (skip assessment)</t>
  </si>
  <si>
    <t>Attempt to accept without assessment</t>
  </si>
  <si>
    <t>Blocked - must assess first</t>
  </si>
  <si>
    <t>Risk must be assessed before acceptance</t>
  </si>
  <si>
    <t>RISK-TC-035</t>
  </si>
  <si>
    <t>Invalid: Assessing → Mitigated (skip Mitigating)</t>
  </si>
  <si>
    <t>Risk in Assessing status</t>
  </si>
  <si>
    <t>Blocked - must go through Mitigating</t>
  </si>
  <si>
    <t>Cannot skip mitigation phase</t>
  </si>
  <si>
    <t>RISK-TC-036</t>
  </si>
  <si>
    <t>Invalid: Closed → any status</t>
  </si>
  <si>
    <t>Risk in Closed status</t>
  </si>
  <si>
    <t>Attempt to transition to any other status</t>
  </si>
  <si>
    <t>Blocked - Closed is terminal</t>
  </si>
  <si>
    <t>Closed risks cannot be reopened</t>
  </si>
  <si>
    <t>RISK-TC-037</t>
  </si>
  <si>
    <t>Invalid: Mitigated → Mitigating (revert)</t>
  </si>
  <si>
    <t>Attempt to move back to Mitigating</t>
  </si>
  <si>
    <t>Blocked - cannot revert from Mitigated</t>
  </si>
  <si>
    <t>Mitigated status is final - cannot revert</t>
  </si>
  <si>
    <t>RISK-TC-038</t>
  </si>
  <si>
    <t>Invalid: Accepted → Mitigating (revert)</t>
  </si>
  <si>
    <t>Attempt to move to Mitigating</t>
  </si>
  <si>
    <t>Blocked - Accepted is read-only</t>
  </si>
  <si>
    <t>Accepted risks cannot be modified</t>
  </si>
  <si>
    <t>RISK-TC-039</t>
  </si>
  <si>
    <t>Assessing → Mitigating without Mitigation Plan</t>
  </si>
  <si>
    <t>Risk in Assessing, High severity, no Mitigation Plan</t>
  </si>
  <si>
    <t>Attempt to transition to Mitigating</t>
  </si>
  <si>
    <t>High severity risks require a mitigation plan</t>
  </si>
  <si>
    <t>RISK-TC-040</t>
  </si>
  <si>
    <t>Mitigating → Mitigated without controls documented</t>
  </si>
  <si>
    <t>Risk in Mitigating, no controls documented</t>
  </si>
  <si>
    <t>Attempt to transition to Mitigated</t>
  </si>
  <si>
    <t>Blocked - must document controls implemented</t>
  </si>
  <si>
    <t>Document implemented controls before completing</t>
  </si>
  <si>
    <t>RISK-TC-041</t>
  </si>
  <si>
    <t>Accept High risk without documented justification</t>
  </si>
  <si>
    <t>Risk with Severity = High, no acceptance justification</t>
  </si>
  <si>
    <t>Attempt to accept risk</t>
  </si>
  <si>
    <t>Blocked - justification required for High risks</t>
  </si>
  <si>
    <t>High risk acceptance requires documented justification</t>
  </si>
  <si>
    <t>RISK-TC-042</t>
  </si>
  <si>
    <t>Accept Critical risk without VP approval</t>
  </si>
  <si>
    <t>Risk with Severity = Critical</t>
  </si>
  <si>
    <t>Non-VP attempts to accept risk</t>
  </si>
  <si>
    <t>Blocked - requires VP-level approval</t>
  </si>
  <si>
    <t>Critical risk acceptance requires VP approval</t>
  </si>
  <si>
    <t>RISK-TC-043</t>
  </si>
  <si>
    <t>Close risk with open mitigation actions</t>
  </si>
  <si>
    <t>Risk has linked mitigation actions in progress</t>
  </si>
  <si>
    <t>Attempt to close risk</t>
  </si>
  <si>
    <t>Blocked - complete mitigation actions first</t>
  </si>
  <si>
    <t>Cannot close risk with open mitigation actions</t>
  </si>
  <si>
    <t>RISK-TC-044</t>
  </si>
  <si>
    <t>Transition without required Probability value</t>
  </si>
  <si>
    <t>New risk, Probability not set</t>
  </si>
  <si>
    <t>Attempt to save risk</t>
  </si>
  <si>
    <t>Blocked - Probability required</t>
  </si>
  <si>
    <t>Risk Probability is required</t>
  </si>
  <si>
    <t>RISK-TC-045</t>
  </si>
  <si>
    <t>Transition without required Impact value</t>
  </si>
  <si>
    <t>New risk, Impact not set</t>
  </si>
  <si>
    <t>Blocked - Impact required</t>
  </si>
  <si>
    <t>Risk Impact is required</t>
  </si>
  <si>
    <t>RISK-TC-046</t>
  </si>
  <si>
    <t>4. Risk Score Calculation &amp; Severity</t>
  </si>
  <si>
    <t>Risk Score = Probability × Impact (basic)</t>
  </si>
  <si>
    <t>Probability = 3, Impact = 4</t>
  </si>
  <si>
    <t>Risk Score computed as 12, Severity = High</t>
  </si>
  <si>
    <t>RISK-TC-047</t>
  </si>
  <si>
    <t>Low severity: Score 1 (1×1)</t>
  </si>
  <si>
    <t>Probability = 1, Impact = 1</t>
  </si>
  <si>
    <t>Risk Score = 1, Severity = Low</t>
  </si>
  <si>
    <t>RISK-TC-048</t>
  </si>
  <si>
    <t>Low severity: Score 4 (2×2)</t>
  </si>
  <si>
    <t>Probability = 2, Impact = 2</t>
  </si>
  <si>
    <t>Risk Score = 4, Severity = Low</t>
  </si>
  <si>
    <t>RISK-TC-049</t>
  </si>
  <si>
    <t>Medium severity boundary: Score 5 (1×5)</t>
  </si>
  <si>
    <t>Probability = 1, Impact = 5</t>
  </si>
  <si>
    <t>Risk Score = 5, Severity = Medium</t>
  </si>
  <si>
    <t>RISK-TC-050</t>
  </si>
  <si>
    <t>Medium severity: Score 9 (3×3)</t>
  </si>
  <si>
    <t>Probability = 3, Impact = 3</t>
  </si>
  <si>
    <t>RISK-TC-051</t>
  </si>
  <si>
    <t>High severity boundary: Score 10 (2×5)</t>
  </si>
  <si>
    <t>Probability = 2, Impact = 5</t>
  </si>
  <si>
    <t>Risk Score = 10, Severity = High</t>
  </si>
  <si>
    <t>RISK-TC-052</t>
  </si>
  <si>
    <t>High severity: Score 15 (3×5)</t>
  </si>
  <si>
    <t>Probability = 3, Impact = 5</t>
  </si>
  <si>
    <t>RISK-TC-053</t>
  </si>
  <si>
    <t>Critical severity boundary: Score 16 (4×4)</t>
  </si>
  <si>
    <t>Probability = 4, Impact = 4</t>
  </si>
  <si>
    <t>Risk Score = 16, Severity = Critical</t>
  </si>
  <si>
    <t>RISK-TC-054</t>
  </si>
  <si>
    <t>Critical severity: Maximum Score 25 (5×5)</t>
  </si>
  <si>
    <t>Probability = 5, Impact = 5</t>
  </si>
  <si>
    <t>RISK-TC-055</t>
  </si>
  <si>
    <t>Risk exists with computed score</t>
  </si>
  <si>
    <t>Attempt to manually edit Risk Score field</t>
  </si>
  <si>
    <t>Field is read-only, cannot edit</t>
  </si>
  <si>
    <t>Risk Score is computed automatically</t>
  </si>
  <si>
    <t>RISK-TC-056</t>
  </si>
  <si>
    <t>Severity auto-updates when Probability changes</t>
  </si>
  <si>
    <t>Existing risk: Prob=2, Impact=4 (Score=8, Medium)</t>
  </si>
  <si>
    <t>Change Probability to 4 (Score=16)</t>
  </si>
  <si>
    <t>Severity auto-updates to Critical</t>
  </si>
  <si>
    <t>RISK-TC-057</t>
  </si>
  <si>
    <t>Severity auto-updates when Impact changes</t>
  </si>
  <si>
    <t>Existing risk: Prob=3, Impact=3 (Score=9, Medium)</t>
  </si>
  <si>
    <t>Change Impact to 4 (Score=12)</t>
  </si>
  <si>
    <t>Severity auto-updates to High</t>
  </si>
  <si>
    <t>RISK-TC-058</t>
  </si>
  <si>
    <t>Probability boundary: Reject value 0</t>
  </si>
  <si>
    <t>Probability must be between 1 and 5</t>
  </si>
  <si>
    <t>RISK-TC-059</t>
  </si>
  <si>
    <t>Probability boundary: Reject value 6</t>
  </si>
  <si>
    <t>RISK-TC-060</t>
  </si>
  <si>
    <t>Impact boundary: Reject value 0</t>
  </si>
  <si>
    <t>Impact must be between 1 and 5</t>
  </si>
  <si>
    <t>RISK-TC-061</t>
  </si>
  <si>
    <t>Impact boundary: Reject value 6</t>
  </si>
  <si>
    <t>RISK-TC-062</t>
  </si>
  <si>
    <t>Probability: Reject decimal value 2.5</t>
  </si>
  <si>
    <t>Probability must be a whole number</t>
  </si>
  <si>
    <t>RISK-TC-063</t>
  </si>
  <si>
    <t>Impact: Reject negative value -1</t>
  </si>
  <si>
    <t>Enter Impact = -1</t>
  </si>
  <si>
    <t>Blocked - must be positive</t>
  </si>
  <si>
    <t>RISK-TC-064</t>
  </si>
  <si>
    <t>5. Risk Mitigation Rules</t>
  </si>
  <si>
    <t>High risk requires Mitigation Plan before Ready</t>
  </si>
  <si>
    <t>High severity risk linked to release</t>
  </si>
  <si>
    <t>Add Mitigation Plan, move release to Ready</t>
  </si>
  <si>
    <t>Allowed - VR-27 satisfied</t>
  </si>
  <si>
    <t>RISK-TC-065</t>
  </si>
  <si>
    <t>High risk blocks Ready without Mitigation Plan</t>
  </si>
  <si>
    <t>High severity risk, no Mitigation Plan</t>
  </si>
  <si>
    <t>Attempt to move release to Ready</t>
  </si>
  <si>
    <t>High severity risks require mitigation plan before Ready</t>
  </si>
  <si>
    <t>RISK-TC-066</t>
  </si>
  <si>
    <t>Critical risk blocks Ready without Mitigation Plan</t>
  </si>
  <si>
    <t>Critical severity risk, no Mitigation Plan</t>
  </si>
  <si>
    <t>Critical severity risks require mitigation plan before Ready</t>
  </si>
  <si>
    <t>RISK-TC-067</t>
  </si>
  <si>
    <t>Medium risk does NOT require Mitigation Plan for Ready</t>
  </si>
  <si>
    <t>Medium severity risk, no Mitigation Plan</t>
  </si>
  <si>
    <t>Move release to Ready</t>
  </si>
  <si>
    <t>Allowed - Medium risks can proceed</t>
  </si>
  <si>
    <t>RISK-TC-068</t>
  </si>
  <si>
    <t>Low risk does NOT require Mitigation Plan for Ready</t>
  </si>
  <si>
    <t>Low severity risk, no Mitigation Plan</t>
  </si>
  <si>
    <t>Allowed - Low risks can proceed</t>
  </si>
  <si>
    <t>RISK-TC-069</t>
  </si>
  <si>
    <t>Mitigation Plan: Accept minimum length (10 chars)</t>
  </si>
  <si>
    <t>High severity risk</t>
  </si>
  <si>
    <t>Enter 10-character Mitigation Plan</t>
  </si>
  <si>
    <t>Accepted - minimum length met</t>
  </si>
  <si>
    <t>RISK-TC-070</t>
  </si>
  <si>
    <t>Mitigation Plan: Reject too short (9 chars)</t>
  </si>
  <si>
    <t>Enter 9-character Mitigation Plan</t>
  </si>
  <si>
    <t>Blocked - too short</t>
  </si>
  <si>
    <t>Mitigation plan must be at least 10 characters</t>
  </si>
  <si>
    <t>RISK-TC-071</t>
  </si>
  <si>
    <t>Mitigation Plan: Accept maximum length (4000 chars)</t>
  </si>
  <si>
    <t>Enter 4000-character Mitigation Plan</t>
  </si>
  <si>
    <t>Accepted - within limit</t>
  </si>
  <si>
    <t>RISK-TC-072</t>
  </si>
  <si>
    <t>Mitigation Plan: Reject over limit (4001 chars)</t>
  </si>
  <si>
    <t>Enter 4001-character Mitigation Plan</t>
  </si>
  <si>
    <t>Blocked - exceeds limit</t>
  </si>
  <si>
    <t>Mitigation plan exceeds maximum length</t>
  </si>
  <si>
    <t>RISK-TC-073</t>
  </si>
  <si>
    <t>Mitigation Owner assigned when plan created</t>
  </si>
  <si>
    <t>Creating Mitigation Plan for risk</t>
  </si>
  <si>
    <t>Save Mitigation Plan with owner</t>
  </si>
  <si>
    <t>Owner assigned, appears in risk record</t>
  </si>
  <si>
    <t>RISK-TC-074</t>
  </si>
  <si>
    <t>Mitigation Due Date required for High/Critical</t>
  </si>
  <si>
    <t>High severity risk, Mitigation Plan exists, no Due Date</t>
  </si>
  <si>
    <t>Attempt to save</t>
  </si>
  <si>
    <t>Mitigation due date required for High/Critical risks</t>
  </si>
  <si>
    <t>RISK-TC-075</t>
  </si>
  <si>
    <t>Mitigation Due Date optional for Low/Medium</t>
  </si>
  <si>
    <t>Medium severity risk, Mitigation Plan exists, no Due Date</t>
  </si>
  <si>
    <t>Allowed - Due Date optional for Medium</t>
  </si>
  <si>
    <t>RISK-TC-076</t>
  </si>
  <si>
    <t>Mitigation Due Date cannot be in the past</t>
  </si>
  <si>
    <t>Creating Mitigation Plan</t>
  </si>
  <si>
    <t>Enter Due Date = yesterday</t>
  </si>
  <si>
    <t>Mitigation due date must be in the future</t>
  </si>
  <si>
    <t>RISK-TC-077</t>
  </si>
  <si>
    <t>Multiple mitigation actions per risk</t>
  </si>
  <si>
    <t>Risk in Mitigating status</t>
  </si>
  <si>
    <t>Add 3 separate mitigation actions</t>
  </si>
  <si>
    <t>All actions saved and tracked</t>
  </si>
  <si>
    <t>RISK-TC-078</t>
  </si>
  <si>
    <t>Residual Risk documented on Mitigated</t>
  </si>
  <si>
    <t>Risk transitioning to Mitigated</t>
  </si>
  <si>
    <t>Document residual risk level</t>
  </si>
  <si>
    <t>Residual risk saved</t>
  </si>
  <si>
    <t>RISK-TC-079</t>
  </si>
  <si>
    <t>Residual Risk required for High risks on Mitigated</t>
  </si>
  <si>
    <t>High severity risk transitioning to Mitigated</t>
  </si>
  <si>
    <t>Attempt without documenting residual risk</t>
  </si>
  <si>
    <t>Blocked - residual risk required</t>
  </si>
  <si>
    <t>Document residual risk level before completing</t>
  </si>
  <si>
    <t>RISK-TC-080</t>
  </si>
  <si>
    <t>Mitigation effectiveness review prompt</t>
  </si>
  <si>
    <t>Risk in Mitigated status, 30 days elapsed</t>
  </si>
  <si>
    <t>System nightly job runs</t>
  </si>
  <si>
    <t>Review prompt sent to risk owner</t>
  </si>
  <si>
    <t>Mitigation effectiveness review due</t>
  </si>
  <si>
    <t>RISK-TC-081</t>
  </si>
  <si>
    <t>6. Risk Lock Rules &amp; Field Editing</t>
  </si>
  <si>
    <t>Risk editable when Release in Draft</t>
  </si>
  <si>
    <t>Risk linked to release in Draft status</t>
  </si>
  <si>
    <t>Edit risk Probability, Impact, Description</t>
  </si>
  <si>
    <t>All fields editable</t>
  </si>
  <si>
    <t>RISK-TC-082</t>
  </si>
  <si>
    <t>Risk editable when Release in Planning</t>
  </si>
  <si>
    <t>Risk linked to release in Planning status</t>
  </si>
  <si>
    <t>Edit risk fields</t>
  </si>
  <si>
    <t>RISK-TC-083</t>
  </si>
  <si>
    <t>RISK-TC-084</t>
  </si>
  <si>
    <t>Risk locks when Release reaches Ready</t>
  </si>
  <si>
    <t>Risk linked to release in Ready status</t>
  </si>
  <si>
    <t>Attempt to edit risk Probability</t>
  </si>
  <si>
    <t>Blocked - risk locked at Ready</t>
  </si>
  <si>
    <t>Risk records locked after release reaches Ready</t>
  </si>
  <si>
    <t>RISK-TC-085</t>
  </si>
  <si>
    <t>Risk locked in Deploying status</t>
  </si>
  <si>
    <t>Risk linked to release in Deploying status</t>
  </si>
  <si>
    <t>Attempt to edit risk Impact</t>
  </si>
  <si>
    <t>Blocked - risk locked</t>
  </si>
  <si>
    <t>RISK-TC-086</t>
  </si>
  <si>
    <t>Risk locked in Deployed status</t>
  </si>
  <si>
    <t>Risk linked to release in Deployed status</t>
  </si>
  <si>
    <t>Attempt to edit any risk field</t>
  </si>
  <si>
    <t>RISK-TC-087</t>
  </si>
  <si>
    <t>Risk locked in Closed status</t>
  </si>
  <si>
    <t>Risk linked to release in Closed status</t>
  </si>
  <si>
    <t>RISK-TC-088</t>
  </si>
  <si>
    <t>Risk status transition allowed when locked</t>
  </si>
  <si>
    <t>Risk locked (release in Ready), risk in Mitigating</t>
  </si>
  <si>
    <t>Transition risk to Mitigated</t>
  </si>
  <si>
    <t>Status transition allowed even when fields locked</t>
  </si>
  <si>
    <t>RISK-TC-089</t>
  </si>
  <si>
    <t>New risk cannot be added after Ready</t>
  </si>
  <si>
    <t>Attempt to create new risk linked to release</t>
  </si>
  <si>
    <t>Blocked - cannot add risks after Ready</t>
  </si>
  <si>
    <t>Cannot add risks after release reaches Ready</t>
  </si>
  <si>
    <t>RISK-TC-090</t>
  </si>
  <si>
    <t>Mitigation notes editable even when locked</t>
  </si>
  <si>
    <t>§3-22, Exception</t>
  </si>
  <si>
    <t>Risk locked (release in Ready)</t>
  </si>
  <si>
    <t>Add mitigation completion notes</t>
  </si>
  <si>
    <t>Notes field remains editable</t>
  </si>
  <si>
    <t>RISK-TC-091</t>
  </si>
  <si>
    <t>Risk unlocked if release reverts to Planning</t>
  </si>
  <si>
    <t>Risk was locked (release in Ready), release reverted to Planning</t>
  </si>
  <si>
    <t>Fields editable again after revert</t>
  </si>
  <si>
    <t>RISK-TC-092</t>
  </si>
  <si>
    <t>Standalone risk (no release) always editable</t>
  </si>
  <si>
    <t>Risk not linked to any release</t>
  </si>
  <si>
    <t>Edit risk fields at any time</t>
  </si>
  <si>
    <t>All fields remain editable</t>
  </si>
  <si>
    <t>RISK-TC-093</t>
  </si>
  <si>
    <t>Delete risk allowed before Ready</t>
  </si>
  <si>
    <t>Risk linked to release in Planning</t>
  </si>
  <si>
    <t>Delete risk</t>
  </si>
  <si>
    <t>Risk deleted successfully</t>
  </si>
  <si>
    <t>RISK-TC-094</t>
  </si>
  <si>
    <t>Delete risk blocked after Ready</t>
  </si>
  <si>
    <t>Attempt to delete risk</t>
  </si>
  <si>
    <t>Blocked - cannot delete locked risks</t>
  </si>
  <si>
    <t>Cannot delete risks after release reaches Ready</t>
  </si>
  <si>
    <t>RISK-TC-095</t>
  </si>
  <si>
    <t>7. Risk Escalation &amp; Alerts</t>
  </si>
  <si>
    <t>AV-02: High risk auto-escalates after 3 days</t>
  </si>
  <si>
    <t>High severity risk in Identified status, created 3+ days ago</t>
  </si>
  <si>
    <t>High risk unmitigated for 3+ days - escalated to RM</t>
  </si>
  <si>
    <t>RISK-TC-096</t>
  </si>
  <si>
    <t>AV-02: Critical risk auto-escalates after 3 days</t>
  </si>
  <si>
    <t>Critical severity risk, unmitigated 3+ days</t>
  </si>
  <si>
    <t>Risk auto-escalated, VP notified</t>
  </si>
  <si>
    <t>Critical risk unmitigated for 3+ days - escalated to VP</t>
  </si>
  <si>
    <t>RISK-TC-097</t>
  </si>
  <si>
    <t>No escalation for Medium risk at 3 days</t>
  </si>
  <si>
    <t>Medium severity risk, unmitigated 3+ days</t>
  </si>
  <si>
    <t>No escalation - AV-02 only for High/Critical</t>
  </si>
  <si>
    <t>RISK-TC-098</t>
  </si>
  <si>
    <t>No escalation for Low risk at 3 days</t>
  </si>
  <si>
    <t>Low severity risk, unmitigated 3+ days</t>
  </si>
  <si>
    <t>RISK-TC-099</t>
  </si>
  <si>
    <t>Escalation boundary: Exactly 72 hours</t>
  </si>
  <si>
    <t>High risk created exactly 72 hours ago</t>
  </si>
  <si>
    <t>Nightly batch job runs at 72h mark</t>
  </si>
  <si>
    <t>Risk escalated at boundary</t>
  </si>
  <si>
    <t>RISK-TC-100</t>
  </si>
  <si>
    <t>No escalation at 71 hours 59 minutes</t>
  </si>
  <si>
    <t>High risk created 71h 59m ago</t>
  </si>
  <si>
    <t>No escalation yet - threshold not reached</t>
  </si>
  <si>
    <t>RISK-TC-101</t>
  </si>
  <si>
    <t>Escalation email contains risk details</t>
  </si>
  <si>
    <t>High risk auto-escalated</t>
  </si>
  <si>
    <t>Check escalation email</t>
  </si>
  <si>
    <t>Email contains: Risk ID, Title, Severity, Days Open, Release Name</t>
  </si>
  <si>
    <t>RISK-TC-102</t>
  </si>
  <si>
    <t>Escalation dashboard shows all escalated risks</t>
  </si>
  <si>
    <t>Multiple risks have been escalated</t>
  </si>
  <si>
    <t>View RM escalation dashboard</t>
  </si>
  <si>
    <t>All escalated risks listed with status</t>
  </si>
  <si>
    <t>RISK-TC-103</t>
  </si>
  <si>
    <t>Risk owner notified before escalation (2 day warning)</t>
  </si>
  <si>
    <t>High risk unmitigated for 2 days</t>
  </si>
  <si>
    <t>Warning sent to risk owner</t>
  </si>
  <si>
    <t>Risk will escalate in 24 hours if not addressed</t>
  </si>
  <si>
    <t>RISK-TC-104</t>
  </si>
  <si>
    <t>De-escalation when mitigation started</t>
  </si>
  <si>
    <t>Move risk to Mitigating status</t>
  </si>
  <si>
    <t>Escalation cleared, normal monitoring resumes</t>
  </si>
  <si>
    <t>Risk de-escalated - mitigation in progress</t>
  </si>
  <si>
    <t>RISK-TC-105</t>
  </si>
  <si>
    <t>Escalation persists until resolved</t>
  </si>
  <si>
    <t>Risk escalated, still in Identified status after 7 days</t>
  </si>
  <si>
    <t>Nightly batch job runs daily</t>
  </si>
  <si>
    <t>Daily escalation reminders sent</t>
  </si>
  <si>
    <t>Reminder: High risk still unmitigated - 7 days</t>
  </si>
  <si>
    <t>RISK-TC-106</t>
  </si>
  <si>
    <t>Multiple escalation levels (3 days, 5 days, 7 days)</t>
  </si>
  <si>
    <t>Critical risk unmitigated</t>
  </si>
  <si>
    <t>Days pass without action</t>
  </si>
  <si>
    <t>L1 → RM (3d), L2 → VP (5d), L3 → SVP (7d)</t>
  </si>
  <si>
    <t>RISK-TC-107</t>
  </si>
  <si>
    <t>Escalation audit trail recorded</t>
  </si>
  <si>
    <t>AUDIT</t>
  </si>
  <si>
    <t>Risk auto-escalated</t>
  </si>
  <si>
    <t>View risk audit history</t>
  </si>
  <si>
    <t>Escalation event recorded with timestamp and recipients</t>
  </si>
  <si>
    <t>RISK-TC-108</t>
  </si>
  <si>
    <t>8. Risk-Release Integration</t>
  </si>
  <si>
    <t>Link new risk to release</t>
  </si>
  <si>
    <t>Release in Draft status</t>
  </si>
  <si>
    <t>Create risk and link to release</t>
  </si>
  <si>
    <t>Risk linked successfully</t>
  </si>
  <si>
    <t>RISK-TC-109</t>
  </si>
  <si>
    <t>Link existing risk to release</t>
  </si>
  <si>
    <t>Standalone risk exists, release in Planning</t>
  </si>
  <si>
    <t>Associate risk with release</t>
  </si>
  <si>
    <t>RISK-TC-110</t>
  </si>
  <si>
    <t>Multiple risks per release</t>
  </si>
  <si>
    <t>Release in Planning status</t>
  </si>
  <si>
    <t>Add 5 different risks to release</t>
  </si>
  <si>
    <t>All 5 risks linked and displayed</t>
  </si>
  <si>
    <t>RISK-TC-111</t>
  </si>
  <si>
    <t>Risk count shown on release summary</t>
  </si>
  <si>
    <t>Release has 3 linked risks</t>
  </si>
  <si>
    <t>View release summary</t>
  </si>
  <si>
    <t>Risk count = 3 displayed</t>
  </si>
  <si>
    <t>RISK-TC-112</t>
  </si>
  <si>
    <t>High risk indicator on release</t>
  </si>
  <si>
    <t>Release has 1 Critical and 2 Medium risks</t>
  </si>
  <si>
    <t>View release list/summary</t>
  </si>
  <si>
    <t>Critical risk indicator shown</t>
  </si>
  <si>
    <t>RISK-TC-113</t>
  </si>
  <si>
    <t>Unlink risk from release</t>
  </si>
  <si>
    <t>Risk becomes standalone, still exists</t>
  </si>
  <si>
    <t>RISK-TC-114</t>
  </si>
  <si>
    <t>Cannot unlink risk after Ready</t>
  </si>
  <si>
    <t>§3-22, Integration</t>
  </si>
  <si>
    <t>Attempt to unlink risk</t>
  </si>
  <si>
    <t>Cannot modify risk associations after Ready</t>
  </si>
  <si>
    <t>RISK-TC-115</t>
  </si>
  <si>
    <t>Release Risk Score aggregated</t>
  </si>
  <si>
    <t>§2-11, Integration</t>
  </si>
  <si>
    <t>Release has 3 risks: scores 6, 12, 20</t>
  </si>
  <si>
    <t>View release aggregate risk</t>
  </si>
  <si>
    <t>Aggregate Risk Score shown (max or sum per policy)</t>
  </si>
  <si>
    <t>RISK-TC-116</t>
  </si>
  <si>
    <t>Risk inherits release environment context</t>
  </si>
  <si>
    <t>Release targets PROD environment</t>
  </si>
  <si>
    <t>View risk context</t>
  </si>
  <si>
    <t>Risk displays environment = PROD</t>
  </si>
  <si>
    <t>RISK-TC-117</t>
  </si>
  <si>
    <t>Risk filter by release status</t>
  </si>
  <si>
    <t>Multiple releases with different statuses</t>
  </si>
  <si>
    <t>Filter risks by release status = Ready</t>
  </si>
  <si>
    <t>Only risks linked to Ready releases shown</t>
  </si>
  <si>
    <t>RISK-TC-118</t>
  </si>
  <si>
    <t>Cross-release risk linking (same risk, multiple releases)</t>
  </si>
  <si>
    <t>Risk applicable to 2 related releases</t>
  </si>
  <si>
    <t>Link same risk to both releases</t>
  </si>
  <si>
    <t>Risk appears in both releases' risk registers</t>
  </si>
  <si>
    <t>RISK-TC-119</t>
  </si>
  <si>
    <t>Risk report filtered by release date range</t>
  </si>
  <si>
    <t>Risks linked to releases in Q1, Q2, Q3</t>
  </si>
  <si>
    <t>Run risk report for Q2 releases</t>
  </si>
  <si>
    <t>Only Q2 release risks in report</t>
  </si>
  <si>
    <t>RISK-TC-120</t>
  </si>
  <si>
    <t>Release blocked from Ready if any Critical risk unmitigated</t>
  </si>
  <si>
    <t>Release has Critical risk in Identified status</t>
  </si>
  <si>
    <t>Unmitigated Critical risks block release progression</t>
  </si>
  <si>
    <t>RISK-TC-121</t>
  </si>
  <si>
    <t>9. Risk Cascade &amp; Cross-Entity Rules</t>
  </si>
  <si>
    <t>CASC-05: Risks archived when release deleted</t>
  </si>
  <si>
    <t>Release with 3 linked risks</t>
  </si>
  <si>
    <t>Admin deletes the release</t>
  </si>
  <si>
    <t>All 3 risks archived (not orphaned)</t>
  </si>
  <si>
    <t>(audit) Linked risks archived on release deletion</t>
  </si>
  <si>
    <t>RISK-TC-122</t>
  </si>
  <si>
    <t>Release with 2 linked risks</t>
  </si>
  <si>
    <t>Cancel the release</t>
  </si>
  <si>
    <t>RISK-TC-123</t>
  </si>
  <si>
    <t>Archived risks not editable</t>
  </si>
  <si>
    <t>Risk archived after release deletion</t>
  </si>
  <si>
    <t>Attempt to edit archived risk</t>
  </si>
  <si>
    <t>Blocked - archived risks are read-only</t>
  </si>
  <si>
    <t>Archived risks cannot be modified</t>
  </si>
  <si>
    <t>RISK-TC-124</t>
  </si>
  <si>
    <t>Archived risks visible in history</t>
  </si>
  <si>
    <t>View risk history/archive</t>
  </si>
  <si>
    <t>Archived risk visible with archive timestamp</t>
  </si>
  <si>
    <t>RISK-TC-125</t>
  </si>
  <si>
    <t>Risk linked to blocker (risk causes blocker)</t>
  </si>
  <si>
    <t>Risk identified as cause of blocker</t>
  </si>
  <si>
    <t>Link risk to blocker record</t>
  </si>
  <si>
    <t>Risk-blocker association saved</t>
  </si>
  <si>
    <t>RISK-TC-126</t>
  </si>
  <si>
    <t>Blocker resolved when risk mitigated</t>
  </si>
  <si>
    <t>Blocker linked to risk, risk mitigated</t>
  </si>
  <si>
    <t>Complete risk mitigation</t>
  </si>
  <si>
    <t>Blocker status updated to reflect mitigation</t>
  </si>
  <si>
    <t>RISK-TC-127</t>
  </si>
  <si>
    <t>Risk from incident (PIR creates risk)</t>
  </si>
  <si>
    <t>Post-incident review identifies new risk</t>
  </si>
  <si>
    <t>Create risk from PIR workflow</t>
  </si>
  <si>
    <t>Risk created with PIR reference</t>
  </si>
  <si>
    <t>RISK-TC-128</t>
  </si>
  <si>
    <t>Risk triggers dependency check</t>
  </si>
  <si>
    <t>Risk identified affects dependent release</t>
  </si>
  <si>
    <t>Save risk with cross-release impact flag</t>
  </si>
  <si>
    <t>Dependent release owners notified</t>
  </si>
  <si>
    <t>Risk may impact dependent release [ID]</t>
  </si>
  <si>
    <t>RISK-TC-129</t>
  </si>
  <si>
    <t>App retirement blocked by open risks</t>
  </si>
  <si>
    <t>App has releases with open (unresolved) risks</t>
  </si>
  <si>
    <t>Admin attempts to retire app</t>
  </si>
  <si>
    <t>Blocked - resolve risks first</t>
  </si>
  <si>
    <t>Cannot retire app with open risks on in-flight releases</t>
  </si>
  <si>
    <t>RISK-TC-130</t>
  </si>
  <si>
    <t>Risk notification to stakeholders</t>
  </si>
  <si>
    <t>NOTIF</t>
  </si>
  <si>
    <t>High risk identified on release</t>
  </si>
  <si>
    <t>Save High severity risk</t>
  </si>
  <si>
    <t>Stakeholders receive notification</t>
  </si>
  <si>
    <t>New High severity risk identified on [Release]</t>
  </si>
  <si>
    <t>RISK-TC-131</t>
  </si>
  <si>
    <t>Risk audit trail complete</t>
  </si>
  <si>
    <t>Risk undergoes multiple status changes</t>
  </si>
  <si>
    <t>All changes logged: status, field edits, user, timestamp</t>
  </si>
  <si>
    <t>RISK-TC-132</t>
  </si>
  <si>
    <t>Risk export to external GRC system</t>
  </si>
  <si>
    <t>INT-EXT</t>
  </si>
  <si>
    <t>Risk marked for GRC export</t>
  </si>
  <si>
    <t>Trigger export to external GRC</t>
  </si>
  <si>
    <t>Risk data exported successfully</t>
  </si>
  <si>
    <t>RISK-TC-133</t>
  </si>
  <si>
    <t>10. Risk Edge Cases</t>
  </si>
  <si>
    <t>Concurrent risk status transitions</t>
  </si>
  <si>
    <t>Two users open same risk simultaneously</t>
  </si>
  <si>
    <t>Both click transition buttons at the same time</t>
  </si>
  <si>
    <t>One succeeds, other gets stale-data warning</t>
  </si>
  <si>
    <t>Your copy is out of date — reload before proceeding</t>
  </si>
  <si>
    <t>RISK-TC-134</t>
  </si>
  <si>
    <t>Concurrent risk mitigation updates</t>
  </si>
  <si>
    <t>Two users editing same risk mitigation plan</t>
  </si>
  <si>
    <t>Both submit updates simultaneously</t>
  </si>
  <si>
    <t>Optimistic locking prevents data loss</t>
  </si>
  <si>
    <t>Changes conflict — merge or reload</t>
  </si>
  <si>
    <t>RISK-TC-135</t>
  </si>
  <si>
    <t>Risk severity changes during escalation window</t>
  </si>
  <si>
    <t>AV-02, Concurrency</t>
  </si>
  <si>
    <t>High risk at 2.5 days, user downgrades to Medium</t>
  </si>
  <si>
    <t>Downgrade just before 3-day threshold</t>
  </si>
  <si>
    <t>No escalation - severity now Medium</t>
  </si>
  <si>
    <t>RISK-TC-136</t>
  </si>
  <si>
    <t>Risk severity upgrade triggers immediate review</t>
  </si>
  <si>
    <t>Medium risk upgraded to Critical</t>
  </si>
  <si>
    <t>Change Impact from 3 to 5 (score 9→15)</t>
  </si>
  <si>
    <t>Immediate notification sent, escalation timer starts</t>
  </si>
  <si>
    <t>Risk severity increased to Critical - review required</t>
  </si>
  <si>
    <t>RISK-TC-137</t>
  </si>
  <si>
    <t>100+ risks on single release (performance)</t>
  </si>
  <si>
    <t>Release with 100 linked risks</t>
  </si>
  <si>
    <t>Load release risk register</t>
  </si>
  <si>
    <t>Page loads in &lt;3 seconds, pagination applied</t>
  </si>
  <si>
    <t>RISK-TC-138</t>
  </si>
  <si>
    <t>Bulk risk import validation</t>
  </si>
  <si>
    <t>Import</t>
  </si>
  <si>
    <t>CSV with 50 risks to import</t>
  </si>
  <si>
    <t>Import risks via bulk upload</t>
  </si>
  <si>
    <t>Valid risks imported, invalid rows reported</t>
  </si>
  <si>
    <t>45 imported, 5 failed validation (see error log)</t>
  </si>
  <si>
    <t>RISK-TC-139</t>
  </si>
  <si>
    <t>Risk title with special characters</t>
  </si>
  <si>
    <t>Enter title: "SQL &amp; &lt;XSS&gt; 'test' injection"</t>
  </si>
  <si>
    <t>Characters escaped, no injection</t>
  </si>
  <si>
    <t>RISK-TC-140</t>
  </si>
  <si>
    <t>Risk description with maximum length (10000 chars)</t>
  </si>
  <si>
    <t>BV-Length</t>
  </si>
  <si>
    <t>Enter 10000-character description</t>
  </si>
  <si>
    <t>Accepted at boundary</t>
  </si>
  <si>
    <t>RISK-TC-141</t>
  </si>
  <si>
    <t>Risk description over maximum (10001 chars)</t>
  </si>
  <si>
    <t>Enter 10001-character description</t>
  </si>
  <si>
    <t>Description exceeds maximum length of 10000 characters</t>
  </si>
  <si>
    <t>RISK-TC-142</t>
  </si>
  <si>
    <t>Unicode characters in risk fields</t>
  </si>
  <si>
    <t>Enter title with emojis and CJK: "リスク 风险 ⚠️"</t>
  </si>
  <si>
    <t>Unicode preserved correctly</t>
  </si>
  <si>
    <t>RISK-TC-143</t>
  </si>
  <si>
    <t>Risk created at exactly midnight (timezone)</t>
  </si>
  <si>
    <t>User in EST timezone, server in UTC</t>
  </si>
  <si>
    <t>Create risk at 12:00 AM EST</t>
  </si>
  <si>
    <t>Timestamp stored correctly as UTC</t>
  </si>
  <si>
    <t>RISK-TC-144</t>
  </si>
  <si>
    <t>Escalation calculation across DST change</t>
  </si>
  <si>
    <t>High risk created 2 days before DST change</t>
  </si>
  <si>
    <t>72 hours pass (including DST switch)</t>
  </si>
  <si>
    <t>Escalation at correct 72-hour mark regardless of DST</t>
  </si>
  <si>
    <t>RISK-TC-145</t>
  </si>
  <si>
    <t>Risk with all optional fields empty</t>
  </si>
  <si>
    <t>Creating minimal risk</t>
  </si>
  <si>
    <t>Enter only required fields (Title, Probability, Impact)</t>
  </si>
  <si>
    <t>Risk saved successfully</t>
  </si>
  <si>
    <t>RISK-TC-146</t>
  </si>
  <si>
    <t>Duplicate risk title allowed</t>
  </si>
  <si>
    <t>Risk 'Database failure' exists</t>
  </si>
  <si>
    <t>Create another risk titled 'Database failure'</t>
  </si>
  <si>
    <t>Allowed - titles not unique</t>
  </si>
  <si>
    <t>RISK-TC-147</t>
  </si>
  <si>
    <t>Session timeout during risk edit</t>
  </si>
  <si>
    <t>User editing risk for 2+ hours, session expires</t>
  </si>
  <si>
    <t>Redirected to login, draft preserved</t>
  </si>
  <si>
    <t>RISK-TC-148</t>
  </si>
  <si>
    <t>Permission revoked while editing risk</t>
  </si>
  <si>
    <t>User has edit access, admin revokes permission</t>
  </si>
  <si>
    <t>Access denied, changes not saved</t>
  </si>
  <si>
    <t>Your permission to edit this risk has been revoked</t>
  </si>
  <si>
    <t>RISK-TC-149</t>
  </si>
  <si>
    <t>Risk visibility restricted to release team</t>
  </si>
  <si>
    <t>Risk marked as confidential</t>
  </si>
  <si>
    <t>Non-team member attempts to view</t>
  </si>
  <si>
    <t>Access denied</t>
  </si>
  <si>
    <t>You do not have permission to view this risk</t>
  </si>
  <si>
    <t>RISK-TC-150</t>
  </si>
  <si>
    <t>Network drops mid-save of risk</t>
  </si>
  <si>
    <t>Network restored, user retries</t>
  </si>
  <si>
    <t>Previous partial changes rolled back, clean save</t>
  </si>
  <si>
    <t>RISK-TC-151</t>
  </si>
  <si>
    <t>Database timeout during risk query</t>
  </si>
  <si>
    <t>Database times out loading risk register</t>
  </si>
  <si>
    <t>User refreshes page</t>
  </si>
  <si>
    <t>Page loads with latest data, no stale cache</t>
  </si>
  <si>
    <t>RISK-TC-152</t>
  </si>
  <si>
    <t>Risk linked to non-existent release (data corruption)</t>
  </si>
  <si>
    <t>Database has orphan risk-release link</t>
  </si>
  <si>
    <t>Load risk detail page</t>
  </si>
  <si>
    <t>Graceful handling, orphan link flagged</t>
  </si>
  <si>
    <t>Warning: Linked release not found - data inconsistency</t>
  </si>
  <si>
    <t>RISK-TC-153</t>
  </si>
  <si>
    <t>Risk version conflict resolution</t>
  </si>
  <si>
    <t>Two versions of same risk exist due to sync issue</t>
  </si>
  <si>
    <t>Admin runs data reconciliation</t>
  </si>
  <si>
    <t>Newer version retained, older archived, audit logged</t>
  </si>
  <si>
    <t>RISK-TC-154</t>
  </si>
  <si>
    <t>Leap year handling in escalation dates</t>
  </si>
  <si>
    <t>High risk created Feb 28 non-leap year</t>
  </si>
  <si>
    <t>Escalation date calculation</t>
  </si>
  <si>
    <t>Correctly calculates to Mar 2 (not Feb 30)</t>
  </si>
  <si>
    <t>RISK-TC-155</t>
  </si>
  <si>
    <t>Year boundary in risk reporting</t>
  </si>
  <si>
    <t>Risk created Dec 31, mitigated Jan 2</t>
  </si>
  <si>
    <t>Generate annual risk report</t>
  </si>
  <si>
    <t>Risk appears in both years appropriately</t>
  </si>
  <si>
    <t>RISK-TC-156</t>
  </si>
  <si>
    <t>11. Risk Permissions &amp; Roles</t>
  </si>
  <si>
    <t>Release Manager can create risks</t>
  </si>
  <si>
    <t>User has Release Manager role</t>
  </si>
  <si>
    <t>Create new risk</t>
  </si>
  <si>
    <t>Risk created successfully</t>
  </si>
  <si>
    <t>RISK-TC-157</t>
  </si>
  <si>
    <t>Risk Owner can edit own risk</t>
  </si>
  <si>
    <t>User is assigned Risk Owner</t>
  </si>
  <si>
    <t>Edit risk details</t>
  </si>
  <si>
    <t>Changes saved successfully</t>
  </si>
  <si>
    <t>RISK-TC-158</t>
  </si>
  <si>
    <t>Non-owner cannot edit others' risk</t>
  </si>
  <si>
    <t>User is not Risk Owner or RM</t>
  </si>
  <si>
    <t>Attempt to edit risk</t>
  </si>
  <si>
    <t>Blocked - insufficient permission</t>
  </si>
  <si>
    <t>You do not have permission to edit this risk</t>
  </si>
  <si>
    <t>RISK-TC-159</t>
  </si>
  <si>
    <t>Read-only user can view but not edit</t>
  </si>
  <si>
    <t>User has read-only access</t>
  </si>
  <si>
    <t>View risk details</t>
  </si>
  <si>
    <t>Risk visible, edit buttons disabled</t>
  </si>
  <si>
    <t>RISK-TC-160</t>
  </si>
  <si>
    <t>Admin can edit any risk</t>
  </si>
  <si>
    <t>User has Admin role</t>
  </si>
  <si>
    <t>Edit any risk regardless of ownership</t>
  </si>
  <si>
    <t>RISK-TC-161</t>
  </si>
  <si>
    <t>VP required to accept Critical risk</t>
  </si>
  <si>
    <t>User without VP role, Critical risk</t>
  </si>
  <si>
    <t>RISK-TC-162</t>
  </si>
  <si>
    <t>Risk escalation notifies correct role hierarchy</t>
  </si>
  <si>
    <t>High risk escalated</t>
  </si>
  <si>
    <t>Check notification recipients</t>
  </si>
  <si>
    <t>RM, Manager, and above notified based on hierarchy</t>
  </si>
  <si>
    <t>RISK-TC-163</t>
  </si>
  <si>
    <t>Delegate can act on behalf of Risk Owner</t>
  </si>
  <si>
    <t>User designated as delegate for Risk Owner</t>
  </si>
  <si>
    <t>Edit risk during owner's absence</t>
  </si>
  <si>
    <t>Changes saved with delegate attribution</t>
  </si>
  <si>
    <t>RISK-TC-164</t>
  </si>
  <si>
    <t>Audit: Risk permission changes logged</t>
  </si>
  <si>
    <t>AUDIT, ROLE</t>
  </si>
  <si>
    <t>Admin changes user permission on risk</t>
  </si>
  <si>
    <t>View audit log</t>
  </si>
  <si>
    <t>Permission change recorded with timestamp</t>
  </si>
  <si>
    <t>RISK-TC-165</t>
  </si>
  <si>
    <t>Cross-team risk visibility controlled</t>
  </si>
  <si>
    <t>Risk on Team A's release</t>
  </si>
  <si>
    <t>Team B member attempts to view</t>
  </si>
  <si>
    <t>Blocked or allowed based on visibility settings</t>
  </si>
  <si>
    <t>RISK-TC-166</t>
  </si>
  <si>
    <t>12. Risk Reporting &amp; Analytics</t>
  </si>
  <si>
    <t>Risk summary report generation</t>
  </si>
  <si>
    <t>Reporting</t>
  </si>
  <si>
    <t>Multiple risks across releases</t>
  </si>
  <si>
    <t>Generate risk summary report</t>
  </si>
  <si>
    <t>Report shows counts by severity, status, release</t>
  </si>
  <si>
    <t>RISK-TC-167</t>
  </si>
  <si>
    <t>Risk trend report (monthly)</t>
  </si>
  <si>
    <t>Risk data over 6 months</t>
  </si>
  <si>
    <t>Generate monthly trend report</t>
  </si>
  <si>
    <t>Trends displayed: new, mitigated, escalated per month</t>
  </si>
  <si>
    <t>RISK-TC-168</t>
  </si>
  <si>
    <t>Risk heatmap by Probability × Impact</t>
  </si>
  <si>
    <t>Risks with varying P and I values</t>
  </si>
  <si>
    <t>View risk heatmap</t>
  </si>
  <si>
    <t>5×5 matrix displays risk counts per cell</t>
  </si>
  <si>
    <t>RISK-TC-169</t>
  </si>
  <si>
    <t>Risk aging report</t>
  </si>
  <si>
    <t>Risks of varying ages</t>
  </si>
  <si>
    <t>Generate aging report</t>
  </si>
  <si>
    <t>Risks bucketed: &lt;7d, 7-14d, 15-30d, &gt;30d</t>
  </si>
  <si>
    <t>RISK-TC-170</t>
  </si>
  <si>
    <t>Export risk register to Excel</t>
  </si>
  <si>
    <t>Export</t>
  </si>
  <si>
    <t>Release risk register with 20 risks</t>
  </si>
  <si>
    <t>Export to Excel</t>
  </si>
  <si>
    <t>Excel file contains all risk data</t>
  </si>
  <si>
    <t>RISK-TC-171</t>
  </si>
  <si>
    <t>Export risk register to PDF</t>
  </si>
  <si>
    <t>Export to PDF</t>
  </si>
  <si>
    <t>PDF formatted report generated</t>
  </si>
  <si>
    <t>RISK-TC-172</t>
  </si>
  <si>
    <t>Risk KPI dashboard</t>
  </si>
  <si>
    <t>Organization-wide risk data</t>
  </si>
  <si>
    <t>View KPI dashboard</t>
  </si>
  <si>
    <t>KPIs displayed: avg time to mitigate, % escalated, etc.</t>
  </si>
  <si>
    <t>RISK-TC-173</t>
  </si>
  <si>
    <t>Risk report filtered by application</t>
  </si>
  <si>
    <t>Risks across multiple applications</t>
  </si>
  <si>
    <t>Filter report by App = 'Payment Gateway'</t>
  </si>
  <si>
    <t>Only Payment Gateway risks displayed</t>
  </si>
  <si>
    <t>RISK-TC-174</t>
  </si>
  <si>
    <t>Risk report filtered by date range</t>
  </si>
  <si>
    <t>Risks created over 12 months</t>
  </si>
  <si>
    <t>Filter report: Jan 1 - Mar 31</t>
  </si>
  <si>
    <t>Only Q1 risks displayed</t>
  </si>
  <si>
    <t>RISK-TC-175</t>
  </si>
  <si>
    <t>Empty report handling (no risks match filter)</t>
  </si>
  <si>
    <t>No risks match filter criteria</t>
  </si>
  <si>
    <t>Apply strict filter</t>
  </si>
  <si>
    <t>Report shows 'No risks found' message</t>
  </si>
  <si>
    <t>No risks match the selected criteria</t>
  </si>
  <si>
    <t>═══════════════════════════════════════════════════════════════════════════════════════════════════</t>
  </si>
  <si>
    <t>RISK TEST SUITE SUMMARY</t>
  </si>
  <si>
    <t>Positive</t>
  </si>
  <si>
    <t>Negative</t>
  </si>
  <si>
    <t>Edge</t>
  </si>
  <si>
    <t>Field validation, required fields, creation rules</t>
  </si>
  <si>
    <t>Valid lifecycle transitions from Identified to Closed</t>
  </si>
  <si>
    <t>Invalid transitions, blocked pathways</t>
  </si>
  <si>
    <t>Score matrix, severity boundaries, computed field</t>
  </si>
  <si>
    <t>VR-27 compliance, mitigation plan requirements</t>
  </si>
  <si>
    <t>§3-22 lock at Ready, field editability</t>
  </si>
  <si>
    <t>AV-02 auto-escalation, notifications</t>
  </si>
  <si>
    <t>Risk-release linking, aggregation, blocking</t>
  </si>
  <si>
    <t>CASC-05/12 cascades, cross-entity impact</t>
  </si>
  <si>
    <t>Concurrency, boundaries, special characters, recovery</t>
  </si>
  <si>
    <t>Role-based access, ownership, VP approval</t>
  </si>
  <si>
    <t>Reports, exports, dashboards, KPIs</t>
  </si>
  <si>
    <t>TOTAL</t>
  </si>
  <si>
    <t>CAB-TC-001</t>
  </si>
  <si>
    <t>1. CAB Submission Prerequisites</t>
  </si>
  <si>
    <t>Submit to CAB with all sign-offs complete</t>
  </si>
  <si>
    <t>VR-14, VR-24</t>
  </si>
  <si>
    <t>Release in UAT, Dev/Test/UAT Sign-Offs = Yes, No open blockers</t>
  </si>
  <si>
    <t>Transition to Pending CAB</t>
  </si>
  <si>
    <t>CAB-TC-002</t>
  </si>
  <si>
    <t>Block CAB submission - missing Dev Sign-Off</t>
  </si>
  <si>
    <t>Release in UAT, Dev Sign-Off = No</t>
  </si>
  <si>
    <t>Attempt transition to Pending CAB</t>
  </si>
  <si>
    <t>Dev Sign-Off required before CAB submission</t>
  </si>
  <si>
    <t>CAB-TC-003</t>
  </si>
  <si>
    <t>Block CAB submission - missing Test Sign-Off</t>
  </si>
  <si>
    <t>Release in UAT, Test Sign-Off = No</t>
  </si>
  <si>
    <t>Test Sign-Off required before CAB submission</t>
  </si>
  <si>
    <t>CAB-TC-004</t>
  </si>
  <si>
    <t>Block CAB submission - missing UAT Sign-Off</t>
  </si>
  <si>
    <t>Release in UAT, UAT Sign-Off = No</t>
  </si>
  <si>
    <t>UAT Sign-Off required before CAB submission</t>
  </si>
  <si>
    <t>CAB-TC-005</t>
  </si>
  <si>
    <t>Block CAB submission - open blockers exist</t>
  </si>
  <si>
    <t>Release in UAT, all sign-offs Yes, 1 open blocker</t>
  </si>
  <si>
    <t>Resolve all blockers before CAB submission</t>
  </si>
  <si>
    <t>CAB-TC-006</t>
  </si>
  <si>
    <t>Block CAB submission - missing Rollback Plan</t>
  </si>
  <si>
    <t>Release in UAT, sign-offs complete, Rollback Plan blank</t>
  </si>
  <si>
    <t>Rollback Plan must be documented before CAB</t>
  </si>
  <si>
    <t>CAB-TC-007</t>
  </si>
  <si>
    <t>Block CAB submission - missing Release Notes</t>
  </si>
  <si>
    <t>Release in UAT, sign-offs complete, Release Notes blank</t>
  </si>
  <si>
    <t>Release Notes must be documented before CAB</t>
  </si>
  <si>
    <t>CAB-TC-008</t>
  </si>
  <si>
    <t>Block CAB submission - missing Go-Live Date</t>
  </si>
  <si>
    <t>Release in UAT, all complete except Go-Live Date blank</t>
  </si>
  <si>
    <t>Blocked - Go-Live Date required</t>
  </si>
  <si>
    <t>Go-Live Date must be set before CAB submission</t>
  </si>
  <si>
    <t>CAB-TC-009</t>
  </si>
  <si>
    <t>Security Sign-Off required for security-sensitive</t>
  </si>
  <si>
    <t>Security Flag = Yes, Security Sign-Off = No</t>
  </si>
  <si>
    <t>Blocked - Security Sign-Off required</t>
  </si>
  <si>
    <t>Security Sign-Off required for security-sensitive releases</t>
  </si>
  <si>
    <t>CAB-TC-010</t>
  </si>
  <si>
    <t>Security Sign-Off not required if not security-sensitive</t>
  </si>
  <si>
    <t>Security Flag = No, Security Sign-Off = N/A</t>
  </si>
  <si>
    <t>CAB-TC-011</t>
  </si>
  <si>
    <t>Block CAB - multiple prerequisites missing</t>
  </si>
  <si>
    <t>Missing: Dev Sign-Off, Rollback Plan, 2 open blockers</t>
  </si>
  <si>
    <t>CAB-TC-012</t>
  </si>
  <si>
    <t>Resolved blockers don't block CAB</t>
  </si>
  <si>
    <t>All blockers in Resolved status</t>
  </si>
  <si>
    <t>Transition successful - resolved blockers OK</t>
  </si>
  <si>
    <t>CAB-TC-013</t>
  </si>
  <si>
    <t>Closed blockers don't block CAB</t>
  </si>
  <si>
    <t>All blockers in Closed status</t>
  </si>
  <si>
    <t>Transition successful - closed blockers OK</t>
  </si>
  <si>
    <t>CAB-TC-014</t>
  </si>
  <si>
    <t>CAB submission requires Test Sign-Off before UAT</t>
  </si>
  <si>
    <t>Release in Testing, Test Sign-Off = No</t>
  </si>
  <si>
    <t>Attempt transition to UAT</t>
  </si>
  <si>
    <t>CAB-TC-015</t>
  </si>
  <si>
    <t>Block skip from Testing to Pending CAB</t>
  </si>
  <si>
    <t>Attempt direct transition to Pending CAB</t>
  </si>
  <si>
    <t>Blocked - cannot skip UAT</t>
  </si>
  <si>
    <t>Must complete UAT before CAB submission</t>
  </si>
  <si>
    <t>CAB-TC-016</t>
  </si>
  <si>
    <t>Block skip from Planning to Pending CAB</t>
  </si>
  <si>
    <t>Blocked - cannot skip stages</t>
  </si>
  <si>
    <t>Must traverse: Testing → UAT → Pending CAB</t>
  </si>
  <si>
    <t>CAB-TC-017</t>
  </si>
  <si>
    <t>Readiness warning at low percentage</t>
  </si>
  <si>
    <t>Readiness = 60%, CAB Date in 2 days</t>
  </si>
  <si>
    <t>System daily check runs</t>
  </si>
  <si>
    <t>Warning displayed to RM with gap list</t>
  </si>
  <si>
    <t>Readiness below 75% - review gaps before CAB</t>
  </si>
  <si>
    <t>CAB-TC-018</t>
  </si>
  <si>
    <t>No readiness warning at 75%+</t>
  </si>
  <si>
    <t>Readiness = 80%, CAB Date in 2 days</t>
  </si>
  <si>
    <t>No warning - threshold met</t>
  </si>
  <si>
    <t>CAB-TC-019</t>
  </si>
  <si>
    <t>CAB reminder at T-2 days</t>
  </si>
  <si>
    <t>Release in UAT, CAB Date in 2 days, not yet Pending CAB</t>
  </si>
  <si>
    <t>Daily batch job runs</t>
  </si>
  <si>
    <t>Reminder: CAB in 2 days - submit for approval</t>
  </si>
  <si>
    <t>CAB-TC-020</t>
  </si>
  <si>
    <t>2. CAB Date &amp; Lead Time Validation</t>
  </si>
  <si>
    <t>Small release: CAB 2+ working days before Go-Live</t>
  </si>
  <si>
    <t>Size = Small, Go-Live = Friday</t>
  </si>
  <si>
    <t>Set CAB Date = Tuesday (3 working days)</t>
  </si>
  <si>
    <t>Accepted - meets 2-day minimum</t>
  </si>
  <si>
    <t>CAB-TC-021</t>
  </si>
  <si>
    <t>Small release: CAB exactly 2 working days before</t>
  </si>
  <si>
    <t>Size = Small, Go-Live = Wednesday</t>
  </si>
  <si>
    <t>Set CAB Date = Monday (2 working days)</t>
  </si>
  <si>
    <t>Accepted - boundary met</t>
  </si>
  <si>
    <t>CAB-TC-022</t>
  </si>
  <si>
    <t>Small release: CAB 1 working day before (blocked)</t>
  </si>
  <si>
    <t>Size = Small, Go-Live = Tuesday</t>
  </si>
  <si>
    <t>Set CAB Date = Monday (1 working day)</t>
  </si>
  <si>
    <t>Small releases require 2 working days lead time. Earliest CAB: [date]</t>
  </si>
  <si>
    <t>CAB-TC-023</t>
  </si>
  <si>
    <t>Medium release: CAB 2+ working days before</t>
  </si>
  <si>
    <t>Size = Medium, Go-Live = Thursday</t>
  </si>
  <si>
    <t>Set CAB Date = Monday (3 working days)</t>
  </si>
  <si>
    <t>CAB-TC-024</t>
  </si>
  <si>
    <t>Medium release: CAB exactly 2 working days</t>
  </si>
  <si>
    <t>Size = Medium, Go-Live = Wednesday</t>
  </si>
  <si>
    <t>CAB-TC-025</t>
  </si>
  <si>
    <t>Medium release: CAB 1 working day (blocked)</t>
  </si>
  <si>
    <t>Size = Medium, Go-Live = Tuesday</t>
  </si>
  <si>
    <t>Medium releases require 2 working days lead time</t>
  </si>
  <si>
    <t>CAB-TC-026</t>
  </si>
  <si>
    <t>Large release: CAB 3+ working days before</t>
  </si>
  <si>
    <t>Size = Large, Go-Live = Friday</t>
  </si>
  <si>
    <t>Set CAB Date = Monday (4 working days)</t>
  </si>
  <si>
    <t>Accepted - meets 3-day minimum</t>
  </si>
  <si>
    <t>CAB-TC-027</t>
  </si>
  <si>
    <t>Large release: CAB exactly 3 working days</t>
  </si>
  <si>
    <t>Size = Large, Go-Live = Thursday</t>
  </si>
  <si>
    <t>CAB-TC-028</t>
  </si>
  <si>
    <t>Large release: CAB 2 working days (blocked)</t>
  </si>
  <si>
    <t>Size = Large, Go-Live = Wednesday</t>
  </si>
  <si>
    <t>Large releases require 3 working days lead time</t>
  </si>
  <si>
    <t>CAB-TC-029</t>
  </si>
  <si>
    <t>Weekend days excluded from lead time</t>
  </si>
  <si>
    <t>Size = Small, Go-Live = Monday, CAB = Thursday</t>
  </si>
  <si>
    <t>Set CAB Date (Sat/Sun not counted)</t>
  </si>
  <si>
    <t>Lead time = 2 working days (Thurs, Fri)</t>
  </si>
  <si>
    <t>CAB-TC-030</t>
  </si>
  <si>
    <t>Public holiday excluded from lead time</t>
  </si>
  <si>
    <t>Size = Small, Go-Live = Wed, Monday is holiday</t>
  </si>
  <si>
    <t>Set CAB Date = Thursday before</t>
  </si>
  <si>
    <t>Lead time excludes holiday Monday</t>
  </si>
  <si>
    <t>CAB-TC-031</t>
  </si>
  <si>
    <t>CAB Date must be before Go-Live</t>
  </si>
  <si>
    <t>Go-Live = Monday</t>
  </si>
  <si>
    <t>Set CAB Date = Tuesday (after Go-Live)</t>
  </si>
  <si>
    <t>Blocked - CAB must be before Go-Live</t>
  </si>
  <si>
    <t>CAB must be before Go-Live</t>
  </si>
  <si>
    <t>CAB-TC-032</t>
  </si>
  <si>
    <t>CAB Date same as Go-Live (blocked)</t>
  </si>
  <si>
    <t>Set CAB Date = Monday (same day)</t>
  </si>
  <si>
    <t>CAB must be before Go-Live date</t>
  </si>
  <si>
    <t>CAB-TC-033</t>
  </si>
  <si>
    <t>CAB Date one day before Go-Live (size check)</t>
  </si>
  <si>
    <t>VR-02, VR-03</t>
  </si>
  <si>
    <t>Set CAB Date = Monday</t>
  </si>
  <si>
    <t>Requires 2 working days; earliest CAB: [calculated]</t>
  </si>
  <si>
    <t>CAB-TC-034</t>
  </si>
  <si>
    <t>Go-Live change invalidates CAB Date</t>
  </si>
  <si>
    <t>CAB Date set, meets lead time. Go-Live moved earlier.</t>
  </si>
  <si>
    <t>Change Go-Live to date that breaks lead time</t>
  </si>
  <si>
    <t>Warning - CAB Date no longer valid</t>
  </si>
  <si>
    <t>Go-Live change requires CAB Date adjustment</t>
  </si>
  <si>
    <t>CAB-TC-035</t>
  </si>
  <si>
    <t>Size upgrade requires lead time revalidation</t>
  </si>
  <si>
    <t>Size = Small, CAB 2 days before. Change to Large.</t>
  </si>
  <si>
    <t>Change Size from Small to Large</t>
  </si>
  <si>
    <t>Warning - 3 days now required</t>
  </si>
  <si>
    <t>Size change to Large requires 3 working days lead time</t>
  </si>
  <si>
    <t>CAB-TC-036</t>
  </si>
  <si>
    <t>Earliest valid CAB date displayed</t>
  </si>
  <si>
    <t>Size = Large, Go-Live = next Friday</t>
  </si>
  <si>
    <t>View CAB Date field</t>
  </si>
  <si>
    <t>System shows earliest valid CAB date</t>
  </si>
  <si>
    <t>Earliest CAB: [calculated Monday]</t>
  </si>
  <si>
    <t>CAB-TC-037</t>
  </si>
  <si>
    <t>CAB Date in past (blocked)</t>
  </si>
  <si>
    <t>Current date is July 21</t>
  </si>
  <si>
    <t>Set CAB Date = July 15 (past)</t>
  </si>
  <si>
    <t>Blocked - CAB Date cannot be in past</t>
  </si>
  <si>
    <t>CAB Date must be today or future</t>
  </si>
  <si>
    <t>CAB-TC-038</t>
  </si>
  <si>
    <t>3. CAB Decision &amp; Status Transitions</t>
  </si>
  <si>
    <t>CAB approves release - transition to Approved</t>
  </si>
  <si>
    <t>Release in Pending CAB, CAB votes Approve</t>
  </si>
  <si>
    <t>CAB Lead records approval</t>
  </si>
  <si>
    <t>Status → Approved</t>
  </si>
  <si>
    <t>CAB-TC-039</t>
  </si>
  <si>
    <t>CAB defers release - transition to Deferred</t>
  </si>
  <si>
    <t>Release in Pending CAB, CAB votes Defer</t>
  </si>
  <si>
    <t>CAB Lead records deferral</t>
  </si>
  <si>
    <t>Status → Deferred</t>
  </si>
  <si>
    <t>Release deferred to future CAB meeting</t>
  </si>
  <si>
    <t>CAB-TC-040</t>
  </si>
  <si>
    <t>CAB rejects release - transition to Rejected</t>
  </si>
  <si>
    <t>Release in Pending CAB, CAB votes Reject</t>
  </si>
  <si>
    <t>CAB Lead records rejection</t>
  </si>
  <si>
    <t>Status → Rejected</t>
  </si>
  <si>
    <t>Release rejected - rework required</t>
  </si>
  <si>
    <t>CAB-TC-041</t>
  </si>
  <si>
    <t>Rejected release returns to Planning</t>
  </si>
  <si>
    <t>Release in Rejected status</t>
  </si>
  <si>
    <t>Initiate rework</t>
  </si>
  <si>
    <t>Status → Planning, gate fields unlocked</t>
  </si>
  <si>
    <t>Gate fields unlocked for rework</t>
  </si>
  <si>
    <t>CAB-TC-042</t>
  </si>
  <si>
    <t>Deferred release reactivates to Pending CAB</t>
  </si>
  <si>
    <t>Release in Deferred status</t>
  </si>
  <si>
    <t>Reactivate release</t>
  </si>
  <si>
    <t>Status → Pending CAB</t>
  </si>
  <si>
    <t>Release reactivated for CAB review</t>
  </si>
  <si>
    <t>CAB-TC-043</t>
  </si>
  <si>
    <t>Deferred release can be cancelled</t>
  </si>
  <si>
    <t>Cancel release</t>
  </si>
  <si>
    <t>Status → Cancelled</t>
  </si>
  <si>
    <t>CAB-TC-044</t>
  </si>
  <si>
    <t>Approved release transitions to Ready</t>
  </si>
  <si>
    <t>Release Approved, Ops Sign-Off = Yes</t>
  </si>
  <si>
    <t>Move to Ready</t>
  </si>
  <si>
    <t>Status → Ready</t>
  </si>
  <si>
    <t>CAB-TC-045</t>
  </si>
  <si>
    <t>Approved requires Ops Sign-Off for Ready</t>
  </si>
  <si>
    <t>Release Approved, Ops Sign-Off = No</t>
  </si>
  <si>
    <t>Attempt to move to Ready</t>
  </si>
  <si>
    <t>CAB-TC-046</t>
  </si>
  <si>
    <t>Invalid: Pending CAB → Deploying (skip)</t>
  </si>
  <si>
    <t>Release in Pending CAB</t>
  </si>
  <si>
    <t>Attempt transition to Deploying</t>
  </si>
  <si>
    <t>Must traverse: Approved → Ready → Deploying</t>
  </si>
  <si>
    <t>CAB-TC-047</t>
  </si>
  <si>
    <t>Invalid: Pending CAB → Ready (skip Approved)</t>
  </si>
  <si>
    <t>Attempt transition to Ready</t>
  </si>
  <si>
    <t>Blocked - must be Approved first</t>
  </si>
  <si>
    <t>CAB approval required before Ready</t>
  </si>
  <si>
    <t>CAB-TC-048</t>
  </si>
  <si>
    <t>Invalid: Pending CAB → Testing (revert)</t>
  </si>
  <si>
    <t>Attempt transition to Testing</t>
  </si>
  <si>
    <t>Blocked - not valid from Pending CAB</t>
  </si>
  <si>
    <t>Cannot revert to Testing from Pending CAB</t>
  </si>
  <si>
    <t>CAB-TC-049</t>
  </si>
  <si>
    <t>Pending CAB can be blocked</t>
  </si>
  <si>
    <t>Release in Pending CAB, critical blocker raised</t>
  </si>
  <si>
    <t>Move to Blocked</t>
  </si>
  <si>
    <t>Status → Blocked</t>
  </si>
  <si>
    <t>CAB-TC-050</t>
  </si>
  <si>
    <t>Pending CAB can be cancelled</t>
  </si>
  <si>
    <t>CAB-TC-051</t>
  </si>
  <si>
    <t>Blocked release returns to Pending CAB</t>
  </si>
  <si>
    <t>Release blocked from Pending CAB, blocker resolved</t>
  </si>
  <si>
    <t>Resolve blocker, unblock release</t>
  </si>
  <si>
    <t>Status → Pending CAB (previous status)</t>
  </si>
  <si>
    <t>CAB-TC-052</t>
  </si>
  <si>
    <t>Approved can revert to Pending CAB (scope change)</t>
  </si>
  <si>
    <t>§4-06, VR-21</t>
  </si>
  <si>
    <t>Release Approved, scope field changed</t>
  </si>
  <si>
    <t>System auto-reverts status</t>
  </si>
  <si>
    <t>Status → Pending CAB, CAB notified</t>
  </si>
  <si>
    <t>Scope change - re-approval required</t>
  </si>
  <si>
    <t>CAB-TC-053</t>
  </si>
  <si>
    <t>Priority change triggers re-approval</t>
  </si>
  <si>
    <t>Release Approved, Priority changed from Low to High</t>
  </si>
  <si>
    <t>Change Priority field</t>
  </si>
  <si>
    <t>Status → Pending CAB automatically</t>
  </si>
  <si>
    <t>Priority change requires CAB re-approval</t>
  </si>
  <si>
    <t>CAB-TC-054</t>
  </si>
  <si>
    <t>Size change triggers re-approval</t>
  </si>
  <si>
    <t>Release Approved, Size changed from Small to Large</t>
  </si>
  <si>
    <t>Change Size field</t>
  </si>
  <si>
    <t>Size change requires CAB re-approval</t>
  </si>
  <si>
    <t>CAB-TC-055</t>
  </si>
  <si>
    <t>Scope text change triggers re-approval</t>
  </si>
  <si>
    <t>Release Approved, Scope field significantly modified</t>
  </si>
  <si>
    <t>Edit Scope text field</t>
  </si>
  <si>
    <t>Scope change requires CAB re-approval</t>
  </si>
  <si>
    <t>CAB-TC-056</t>
  </si>
  <si>
    <t>Non-scope field change doesn't trigger revert</t>
  </si>
  <si>
    <t>Release Approved, change Description field</t>
  </si>
  <si>
    <t>Edit Description (non-scope field)</t>
  </si>
  <si>
    <t>Status remains Approved</t>
  </si>
  <si>
    <t>CAB-TC-057</t>
  </si>
  <si>
    <t>4. CAB Roles &amp; Permissions</t>
  </si>
  <si>
    <t>User has CAB Member role, release in Pending CAB</t>
  </si>
  <si>
    <t>Record approval decision</t>
  </si>
  <si>
    <t>Approval recorded successfully</t>
  </si>
  <si>
    <t>CAB-TC-058</t>
  </si>
  <si>
    <t>Record rejection decision</t>
  </si>
  <si>
    <t>Rejection recorded successfully</t>
  </si>
  <si>
    <t>CAB-TC-059</t>
  </si>
  <si>
    <t>Record deferral decision</t>
  </si>
  <si>
    <t>Deferral recorded successfully</t>
  </si>
  <si>
    <t>CAB-TC-060</t>
  </si>
  <si>
    <t>Non-CAB user cannot approve</t>
  </si>
  <si>
    <t>User without CAB Member role</t>
  </si>
  <si>
    <t>Attempt to approve release</t>
  </si>
  <si>
    <t>Only CAB Members may approve releases</t>
  </si>
  <si>
    <t>CAB-TC-061</t>
  </si>
  <si>
    <t>Non-CAB user cannot reject</t>
  </si>
  <si>
    <t>Attempt to reject release</t>
  </si>
  <si>
    <t>Only CAB Members may reject releases</t>
  </si>
  <si>
    <t>CAB-TC-062</t>
  </si>
  <si>
    <t>Non-CAB user cannot defer</t>
  </si>
  <si>
    <t>Attempt to defer release</t>
  </si>
  <si>
    <t>Only CAB Members may defer releases</t>
  </si>
  <si>
    <t>CAB-TC-063</t>
  </si>
  <si>
    <t>Gate owner exclusive sign-off</t>
  </si>
  <si>
    <t>User is designated Dev Sign-Off owner</t>
  </si>
  <si>
    <t>Record Dev Sign-Off</t>
  </si>
  <si>
    <t>Sign-off recorded successfully</t>
  </si>
  <si>
    <t>CAB-TC-064</t>
  </si>
  <si>
    <t>Non-owner cannot record sign-off</t>
  </si>
  <si>
    <t>User is NOT Dev Sign-Off owner</t>
  </si>
  <si>
    <t>Attempt to record Dev Sign-Off</t>
  </si>
  <si>
    <t>Blocked - not gate owner</t>
  </si>
  <si>
    <t>Only the gate owner may record this sign-off</t>
  </si>
  <si>
    <t>CAB-TC-065</t>
  </si>
  <si>
    <t>Delegate can approve on behalf of CAB member</t>
  </si>
  <si>
    <t>User designated as delegate for CAB Member</t>
  </si>
  <si>
    <t>Record approval as delegate</t>
  </si>
  <si>
    <t>Approval recorded with delegate attribution</t>
  </si>
  <si>
    <t>Approved by [Name] on behalf of [CAB Member]</t>
  </si>
  <si>
    <t>CAB-TC-066</t>
  </si>
  <si>
    <t>Delegate approval requires valid delegation period</t>
  </si>
  <si>
    <t>Delegation period expired</t>
  </si>
  <si>
    <t>Attempt approval as delegate</t>
  </si>
  <si>
    <t>Blocked - delegation expired</t>
  </si>
  <si>
    <t>Delegation period has expired</t>
  </si>
  <si>
    <t>CAB-TC-067</t>
  </si>
  <si>
    <t>VP required for freeze window exemption</t>
  </si>
  <si>
    <t>Non-VP attempts exemption for freeze deploy</t>
  </si>
  <si>
    <t>Request freeze exemption approval</t>
  </si>
  <si>
    <t>Blocked - VP required</t>
  </si>
  <si>
    <t>CAB-TC-068</t>
  </si>
  <si>
    <t>User has VP role, release in freeze window</t>
  </si>
  <si>
    <t>Approve freeze exemption</t>
  </si>
  <si>
    <t>Exemption granted, deployment allowed</t>
  </si>
  <si>
    <t>VP exemption approved for freeze deployment</t>
  </si>
  <si>
    <t>CAB-TC-069</t>
  </si>
  <si>
    <t>Release Owner can submit to CAB</t>
  </si>
  <si>
    <t>User is Release Owner</t>
  </si>
  <si>
    <t>Submit release to Pending CAB</t>
  </si>
  <si>
    <t>Submission successful</t>
  </si>
  <si>
    <t>CAB-TC-070</t>
  </si>
  <si>
    <t>Non-owner cannot submit without permission</t>
  </si>
  <si>
    <t>User is not Release Owner, no delegate access</t>
  </si>
  <si>
    <t>Attempt to submit to Pending CAB</t>
  </si>
  <si>
    <t>Only Release Owner or delegate may submit</t>
  </si>
  <si>
    <t>CAB-TC-071</t>
  </si>
  <si>
    <t>CAB Chair can override individual decisions</t>
  </si>
  <si>
    <t>User is CAB Chair, conflicting votes</t>
  </si>
  <si>
    <t>Override to approve</t>
  </si>
  <si>
    <t>Chair override recorded</t>
  </si>
  <si>
    <t>CAB Chair override - approved</t>
  </si>
  <si>
    <t>CAB-TC-072</t>
  </si>
  <si>
    <t>5. Sign-Off Lifecycle &amp; Locking</t>
  </si>
  <si>
    <t>Dev Sign-Off: Pending → Approved</t>
  </si>
  <si>
    <t>Sign-Off Lifecycle</t>
  </si>
  <si>
    <t>Dev Sign-Off in Pending status</t>
  </si>
  <si>
    <t>Gate owner approves</t>
  </si>
  <si>
    <t>Sign-Off → Approved</t>
  </si>
  <si>
    <t>CAB-TC-073</t>
  </si>
  <si>
    <t>Test Sign-Off: Pending → Approved</t>
  </si>
  <si>
    <t>Test Sign-Off in Pending status</t>
  </si>
  <si>
    <t>CAB-TC-074</t>
  </si>
  <si>
    <t>UAT Sign-Off: Pending → Approved</t>
  </si>
  <si>
    <t>UAT Sign-Off in Pending status</t>
  </si>
  <si>
    <t>CAB-TC-075</t>
  </si>
  <si>
    <t>Sign-Off: Pending → Rejected</t>
  </si>
  <si>
    <t>Sign-Off in Pending status</t>
  </si>
  <si>
    <t>Gate owner rejects</t>
  </si>
  <si>
    <t>Sign-Off → Rejected</t>
  </si>
  <si>
    <t>Sign-off rejected - issues found</t>
  </si>
  <si>
    <t>CAB-TC-076</t>
  </si>
  <si>
    <t>Sign-Off: Pending → Approved with Conditions</t>
  </si>
  <si>
    <t>Gate owner approves with conditions</t>
  </si>
  <si>
    <t>Sign-Off → Approved with Conditions</t>
  </si>
  <si>
    <t>Conditions documented for tracking</t>
  </si>
  <si>
    <t>CAB-TC-077</t>
  </si>
  <si>
    <t>Approved sign-off is immutable</t>
  </si>
  <si>
    <t>Sign-Off status = Approved</t>
  </si>
  <si>
    <t>Attempt to change to Rejected</t>
  </si>
  <si>
    <t>Blocked - Approved is final</t>
  </si>
  <si>
    <t>Approved sign-offs cannot be changed</t>
  </si>
  <si>
    <t>CAB-TC-078</t>
  </si>
  <si>
    <t>Rejected sign-off is immutable</t>
  </si>
  <si>
    <t>Sign-Off status = Rejected</t>
  </si>
  <si>
    <t>Attempt to change to Approved</t>
  </si>
  <si>
    <t>Blocked - Rejected is final</t>
  </si>
  <si>
    <t>Rejected sign-offs cannot be changed</t>
  </si>
  <si>
    <t>CAB-TC-079</t>
  </si>
  <si>
    <t>Sign-offs lock after Pending CAB</t>
  </si>
  <si>
    <t>Attempt to edit sign-off field</t>
  </si>
  <si>
    <t>Blocked - sign-offs locked</t>
  </si>
  <si>
    <t>Sign-offs locked after CAB submission</t>
  </si>
  <si>
    <t>CAB-TC-080</t>
  </si>
  <si>
    <t>Sign-offs lock in Approved status</t>
  </si>
  <si>
    <t>Sign-offs locked in Approved status</t>
  </si>
  <si>
    <t>CAB-TC-081</t>
  </si>
  <si>
    <t>Sign-offs unlock on Rejected (rework)</t>
  </si>
  <si>
    <t>Release Rejected, returns to Planning</t>
  </si>
  <si>
    <t>Edit sign-off fields</t>
  </si>
  <si>
    <t>Sign-offs editable after rejection</t>
  </si>
  <si>
    <t>CAB-TC-082</t>
  </si>
  <si>
    <t>Sign-Off waiver requires documented approval</t>
  </si>
  <si>
    <t>Sign-Off needs to be waived</t>
  </si>
  <si>
    <t>Record waiver with approval documentation</t>
  </si>
  <si>
    <t>Waiver approved by [Approver]</t>
  </si>
  <si>
    <t>CAB-TC-083</t>
  </si>
  <si>
    <t>Sign-Off status = Waived</t>
  </si>
  <si>
    <t>Attempt to change status</t>
  </si>
  <si>
    <t>Waived sign-offs cannot be changed</t>
  </si>
  <si>
    <t>CAB-TC-084</t>
  </si>
  <si>
    <t>Security Sign-Off: Pending → Approved</t>
  </si>
  <si>
    <t>Security Sign-Off in Pending, Security Flag = Yes</t>
  </si>
  <si>
    <t>Security gate owner approves</t>
  </si>
  <si>
    <t>CAB-TC-085</t>
  </si>
  <si>
    <t>Ops Sign-Off: Pending → Approved</t>
  </si>
  <si>
    <t>Ops Sign-Off in Pending</t>
  </si>
  <si>
    <t>Ops gate owner approves</t>
  </si>
  <si>
    <t>CAB-TC-086</t>
  </si>
  <si>
    <t>Sign-off timestamp recorded</t>
  </si>
  <si>
    <t>Sign-Off recorded</t>
  </si>
  <si>
    <t>Check audit trail</t>
  </si>
  <si>
    <t>Timestamp, user, and decision recorded</t>
  </si>
  <si>
    <t>CAB-TC-087</t>
  </si>
  <si>
    <t>6. Approval Expiry &amp; Auto-Revert</t>
  </si>
  <si>
    <t>Approval valid within 30 days</t>
  </si>
  <si>
    <t>Release Approved 15 days ago, not deployed</t>
  </si>
  <si>
    <t>Check approval status</t>
  </si>
  <si>
    <t>Approval still valid</t>
  </si>
  <si>
    <t>CAB-TC-088</t>
  </si>
  <si>
    <t>Approval expired - re-approval required</t>
  </si>
  <si>
    <t>CAB-TC-089</t>
  </si>
  <si>
    <t>Approval boundary: Day 29 still valid</t>
  </si>
  <si>
    <t>Release Approved 29 days ago</t>
  </si>
  <si>
    <t>CAB-TC-090</t>
  </si>
  <si>
    <t>Approval boundary: Day 31 expired</t>
  </si>
  <si>
    <t>Release Approved 31 days ago</t>
  </si>
  <si>
    <t>Approval expired</t>
  </si>
  <si>
    <t>CAB-TC-091</t>
  </si>
  <si>
    <t>Deployed releases don't expire</t>
  </si>
  <si>
    <t>Release Approved 45 days ago, status = Deployed</t>
  </si>
  <si>
    <t>No expiry - already deployed</t>
  </si>
  <si>
    <t>CAB-TC-092</t>
  </si>
  <si>
    <t>Expiry notification sent to RM</t>
  </si>
  <si>
    <t>Approval about to expire (day 28)</t>
  </si>
  <si>
    <t>Warning sent to Release Manager</t>
  </si>
  <si>
    <t>Approval expires in 2 days - deploy or re-submit</t>
  </si>
  <si>
    <t>CAB-TC-093</t>
  </si>
  <si>
    <t>Re-approval after expiry resets timer</t>
  </si>
  <si>
    <t>Expired approval, re-submitted and re-approved</t>
  </si>
  <si>
    <t>CAB re-approves</t>
  </si>
  <si>
    <t>New 30-day window starts</t>
  </si>
  <si>
    <t>CAB-TC-094</t>
  </si>
  <si>
    <t>Scope change resets approval timer</t>
  </si>
  <si>
    <t>VR-21, AV-22</t>
  </si>
  <si>
    <t>Release Approved 20 days ago, scope changed</t>
  </si>
  <si>
    <t>Scope change triggers re-approval</t>
  </si>
  <si>
    <t>Timer resets after re-approval</t>
  </si>
  <si>
    <t>CAB-TC-095</t>
  </si>
  <si>
    <t>Multiple expiry warnings (7d, 3d, 1d)</t>
  </si>
  <si>
    <t>Approval approaching expiry</t>
  </si>
  <si>
    <t>Days pass</t>
  </si>
  <si>
    <t>Warnings at T-7, T-3, T-1 days</t>
  </si>
  <si>
    <t>Approval expiring soon - [X] days remaining</t>
  </si>
  <si>
    <t>CAB-TC-096</t>
  </si>
  <si>
    <t>7. Freeze Window &amp; Exemptions</t>
  </si>
  <si>
    <t>Deployment blocked during freeze window</t>
  </si>
  <si>
    <t>Deploy Date falls in company freeze window</t>
  </si>
  <si>
    <t>Set Deploy Date in freeze period</t>
  </si>
  <si>
    <t>Blocked - freeze window active</t>
  </si>
  <si>
    <t>CAB-TC-097</t>
  </si>
  <si>
    <t>Regulatory release allowed in freeze</t>
  </si>
  <si>
    <t>Regulatory Flag = Yes, Deploy in freeze window</t>
  </si>
  <si>
    <t>Allowed - regulatory exemption</t>
  </si>
  <si>
    <t>Regulatory release permitted during freeze</t>
  </si>
  <si>
    <t>CAB-TC-098</t>
  </si>
  <si>
    <t>Regulatory without VP approval blocked</t>
  </si>
  <si>
    <t>Regulatory = Yes, VP Exemption = No, Deploy in freeze</t>
  </si>
  <si>
    <t>Attempt to deploy</t>
  </si>
  <si>
    <t>Blocked - VP exemption required</t>
  </si>
  <si>
    <t>Regulatory freeze deploy requires VP exemption</t>
  </si>
  <si>
    <t>CAB-TC-099</t>
  </si>
  <si>
    <t>Regulatory + VP exemption allowed</t>
  </si>
  <si>
    <t>Regulatory = Yes, VP Exemption approved, freeze window</t>
  </si>
  <si>
    <t>Deploy release</t>
  </si>
  <si>
    <t>Deployment allowed</t>
  </si>
  <si>
    <t>Exemption logged: VP [Name], [Date]</t>
  </si>
  <si>
    <t>CAB-TC-100</t>
  </si>
  <si>
    <t>Non-regulatory blocked even with VP request</t>
  </si>
  <si>
    <t>Regulatory = No, VP requests exemption</t>
  </si>
  <si>
    <t>Attempt freeze deployment</t>
  </si>
  <si>
    <t>Blocked - must be regulatory</t>
  </si>
  <si>
    <t>Only regulatory releases eligible for freeze exemption</t>
  </si>
  <si>
    <t>CAB-TC-101</t>
  </si>
  <si>
    <t>Freeze window dates enforced</t>
  </si>
  <si>
    <t>Freeze: Dec 20 - Jan 5, Deploy: Dec 25</t>
  </si>
  <si>
    <t>Set Deploy Date</t>
  </si>
  <si>
    <t>Blocked - within freeze window</t>
  </si>
  <si>
    <t>Deploy date falls in freeze window (Dec 20 - Jan 5)</t>
  </si>
  <si>
    <t>CAB-TC-102</t>
  </si>
  <si>
    <t>Deploy one day after freeze ends</t>
  </si>
  <si>
    <t>Freeze ends Jan 5, Deploy: Jan 6</t>
  </si>
  <si>
    <t>Allowed - outside freeze</t>
  </si>
  <si>
    <t>CAB-TC-103</t>
  </si>
  <si>
    <t>Deploy one day before freeze starts</t>
  </si>
  <si>
    <t>Freeze starts Dec 20, Deploy: Dec 19</t>
  </si>
  <si>
    <t>CAB-TC-104</t>
  </si>
  <si>
    <t>Multiple freeze windows checked</t>
  </si>
  <si>
    <t>Two freeze windows defined, deploy in second</t>
  </si>
  <si>
    <t>Set Deploy Date in second freeze</t>
  </si>
  <si>
    <t>Blocked - second freeze window active</t>
  </si>
  <si>
    <t>CAB-TC-105</t>
  </si>
  <si>
    <t>Only CCB can modify freeze windows</t>
  </si>
  <si>
    <t>Non-CCB user attempts freeze window edit</t>
  </si>
  <si>
    <t>Edit freeze window dates</t>
  </si>
  <si>
    <t>Blocked - CCB only</t>
  </si>
  <si>
    <t>Only Change Control Board may modify freeze windows</t>
  </si>
  <si>
    <t>CAB-TC-106</t>
  </si>
  <si>
    <t>CCB can create freeze window</t>
  </si>
  <si>
    <t>User has CCB role</t>
  </si>
  <si>
    <t>Create new freeze window</t>
  </si>
  <si>
    <t>Freeze window created</t>
  </si>
  <si>
    <t>CAB-TC-107</t>
  </si>
  <si>
    <t>Exemption approval audit logged</t>
  </si>
  <si>
    <t>AUDIT, VR-05</t>
  </si>
  <si>
    <t>VP grants freeze exemption</t>
  </si>
  <si>
    <t>Check audit log</t>
  </si>
  <si>
    <t>Exemption logged with approver, date, reason</t>
  </si>
  <si>
    <t>CAB-TC-108</t>
  </si>
  <si>
    <t>8. Approver Availability &amp; Delegation</t>
  </si>
  <si>
    <t>Warning when approver on leave at CAB Date</t>
  </si>
  <si>
    <t>Required CAB approver on leave on CAB Date</t>
  </si>
  <si>
    <t>Set CAB Date</t>
  </si>
  <si>
    <t>Warning displayed with delegate suggestion</t>
  </si>
  <si>
    <t>Approver [Name] on leave - consider delegate</t>
  </si>
  <si>
    <t>CAB-TC-109</t>
  </si>
  <si>
    <t>Delegate suggested when approver unavailable</t>
  </si>
  <si>
    <t>Approver on leave, delegate configured</t>
  </si>
  <si>
    <t>View CAB scheduling</t>
  </si>
  <si>
    <t>System suggests delegate</t>
  </si>
  <si>
    <t>Suggested delegate: [Delegate Name]</t>
  </si>
  <si>
    <t>CAB-TC-110</t>
  </si>
  <si>
    <t>Delegate can approve when primary unavailable</t>
  </si>
  <si>
    <t>ROLE-09, VR-11</t>
  </si>
  <si>
    <t>Primary approver on leave, delegate in place</t>
  </si>
  <si>
    <t>Delegate records approval</t>
  </si>
  <si>
    <t>Approval recorded with delegation note</t>
  </si>
  <si>
    <t>Approved by [Delegate] on behalf of [Primary]</t>
  </si>
  <si>
    <t>CAB-TC-111</t>
  </si>
  <si>
    <t>Delegation requires date range</t>
  </si>
  <si>
    <t>Setting up delegation without dates</t>
  </si>
  <si>
    <t>Create delegation without date range</t>
  </si>
  <si>
    <t>Blocked - dates required</t>
  </si>
  <si>
    <t>Delegation period start and end dates required</t>
  </si>
  <si>
    <t>CAB-TC-112</t>
  </si>
  <si>
    <t>Delegation cannot start in past</t>
  </si>
  <si>
    <t>Setting delegation start date in past</t>
  </si>
  <si>
    <t>Set start date = yesterday</t>
  </si>
  <si>
    <t>Blocked - must be future</t>
  </si>
  <si>
    <t>Delegation start date must be today or future</t>
  </si>
  <si>
    <t>CAB-TC-113</t>
  </si>
  <si>
    <t>Delegation end must be after start</t>
  </si>
  <si>
    <t>Set end date before start date</t>
  </si>
  <si>
    <t>Blocked - invalid range</t>
  </si>
  <si>
    <t>Delegation end date must be after start date</t>
  </si>
  <si>
    <t>CAB-TC-114</t>
  </si>
  <si>
    <t>Multiple delegates not allowed</t>
  </si>
  <si>
    <t>Approver already has active delegate</t>
  </si>
  <si>
    <t>Attempt to add second delegate</t>
  </si>
  <si>
    <t>Blocked - one delegate per period</t>
  </si>
  <si>
    <t>Only one delegate allowed per time period</t>
  </si>
  <si>
    <t>CAB-TC-115</t>
  </si>
  <si>
    <t>Delegate must have CAB Member role</t>
  </si>
  <si>
    <t>ROLE-09, ROLE-02</t>
  </si>
  <si>
    <t>Delegating to non-CAB user</t>
  </si>
  <si>
    <t>Set delegate without CAB role</t>
  </si>
  <si>
    <t>Blocked - delegate must be CAB Member</t>
  </si>
  <si>
    <t>CAB-TC-116</t>
  </si>
  <si>
    <t>Delegation audit trail</t>
  </si>
  <si>
    <t>AUDIT, ROLE-09</t>
  </si>
  <si>
    <t>Delegation created/modified</t>
  </si>
  <si>
    <t>Delegation changes logged</t>
  </si>
  <si>
    <t>Delegation created: [Primary] → [Delegate], [Dates]</t>
  </si>
  <si>
    <t>CAB-TC-117</t>
  </si>
  <si>
    <t>Expired delegation cannot be used</t>
  </si>
  <si>
    <t>Delegation period ended</t>
  </si>
  <si>
    <t>Your delegation period has expired</t>
  </si>
  <si>
    <t>CAB-TC-118</t>
  </si>
  <si>
    <t>Future delegation cannot be used early</t>
  </si>
  <si>
    <t>Delegation starts next week</t>
  </si>
  <si>
    <t>Delegate attempts approval today</t>
  </si>
  <si>
    <t>Blocked - delegation not yet active</t>
  </si>
  <si>
    <t>Your delegation period has not started</t>
  </si>
  <si>
    <t>INC-TC-001</t>
  </si>
  <si>
    <t>1. Incident Creation &amp; Field Validation</t>
  </si>
  <si>
    <t>Create incident with all required fields</t>
  </si>
  <si>
    <t>User has permissions to create incidents</t>
  </si>
  <si>
    <t>Create incident with valid Reference (INC-123456), Severity, Status=Open, Owner</t>
  </si>
  <si>
    <t>Incident created successfully</t>
  </si>
  <si>
    <t>Creating new incident</t>
  </si>
  <si>
    <t>INC-TC-003</t>
  </si>
  <si>
    <t>INC-TC-004</t>
  </si>
  <si>
    <t>INC-TC-005</t>
  </si>
  <si>
    <t>INC-TC-006</t>
  </si>
  <si>
    <t>INC-TC-007</t>
  </si>
  <si>
    <t>INC-TC-008</t>
  </si>
  <si>
    <t>INC-TC-009</t>
  </si>
  <si>
    <t>Incident Severity = Critical valid</t>
  </si>
  <si>
    <t>Severity Values</t>
  </si>
  <si>
    <t>Set Severity = Critical</t>
  </si>
  <si>
    <t>Accepted - valid severity level</t>
  </si>
  <si>
    <t>INC-TC-010</t>
  </si>
  <si>
    <t>Incident Severity = High valid</t>
  </si>
  <si>
    <t>Set Severity = High</t>
  </si>
  <si>
    <t>INC-TC-011</t>
  </si>
  <si>
    <t>Incident Severity = Medium valid</t>
  </si>
  <si>
    <t>Set Severity = Medium</t>
  </si>
  <si>
    <t>INC-TC-012</t>
  </si>
  <si>
    <t>Incident Severity = Low valid</t>
  </si>
  <si>
    <t>Set Severity = Low</t>
  </si>
  <si>
    <t>INC-TC-013</t>
  </si>
  <si>
    <t>Incident Severity required field</t>
  </si>
  <si>
    <t>Save without setting Severity</t>
  </si>
  <si>
    <t>Blocked - Severity is required</t>
  </si>
  <si>
    <t>Incident Severity is required</t>
  </si>
  <si>
    <t>INC-TC-014</t>
  </si>
  <si>
    <t>Incident Description required</t>
  </si>
  <si>
    <t>Save without Description</t>
  </si>
  <si>
    <t>Blocked - Description required</t>
  </si>
  <si>
    <t>Incident Description is required</t>
  </si>
  <si>
    <t>INC-TC-015</t>
  </si>
  <si>
    <t>Incident Description minimum length (10 chars)</t>
  </si>
  <si>
    <t>Enter 10-character Description</t>
  </si>
  <si>
    <t>INC-TC-016</t>
  </si>
  <si>
    <t>Incident Description too short (9 chars)</t>
  </si>
  <si>
    <t>Enter 9-character Description</t>
  </si>
  <si>
    <t>Incident Description must be at least 10 characters</t>
  </si>
  <si>
    <t>INC-TC-017</t>
  </si>
  <si>
    <t>Initial Status defaults to Open</t>
  </si>
  <si>
    <t>Create incident without specifying status</t>
  </si>
  <si>
    <t>Status auto-set to Open</t>
  </si>
  <si>
    <t>INC-TC-018</t>
  </si>
  <si>
    <t>Reported Date auto-populated</t>
  </si>
  <si>
    <t>Save incident</t>
  </si>
  <si>
    <t>Reported Date auto-set to current timestamp</t>
  </si>
  <si>
    <t>INC-TC-019</t>
  </si>
  <si>
    <t>Reported By auto-populated</t>
  </si>
  <si>
    <t>User logged in as user@company.com</t>
  </si>
  <si>
    <t>Create and save incident</t>
  </si>
  <si>
    <t>Reported By auto-set to current user</t>
  </si>
  <si>
    <t>INC-TC-020</t>
  </si>
  <si>
    <t>Owner field optional at creation</t>
  </si>
  <si>
    <t>Create incident without assigning Owner</t>
  </si>
  <si>
    <t>Incident created, Owner field empty</t>
  </si>
  <si>
    <t>INC-TC-021</t>
  </si>
  <si>
    <t>2. Incident Status Transitions - Happy Path</t>
  </si>
  <si>
    <t>Transition Open → Investigating</t>
  </si>
  <si>
    <t>Incident in Open status</t>
  </si>
  <si>
    <t>Move incident to Investigating</t>
  </si>
  <si>
    <t>Transition successful, root cause analysis begins</t>
  </si>
  <si>
    <t>INC-TC-022</t>
  </si>
  <si>
    <t>Transition Open → Closed (false positive)</t>
  </si>
  <si>
    <t>Incident in Open status, determined to be false alarm</t>
  </si>
  <si>
    <t>Close incident with reason 'False Positive'</t>
  </si>
  <si>
    <t>Transition successful, incident closed</t>
  </si>
  <si>
    <t>Incident closed - false positive</t>
  </si>
  <si>
    <t>INC-TC-023</t>
  </si>
  <si>
    <t>Transition Investigating → Resolving</t>
  </si>
  <si>
    <t>Incident in Investigating status, root cause identified</t>
  </si>
  <si>
    <t>Move to Resolving</t>
  </si>
  <si>
    <t>Transition successful, fix in progress</t>
  </si>
  <si>
    <t>INC-TC-024</t>
  </si>
  <si>
    <t>Transition Investigating → Escalated</t>
  </si>
  <si>
    <t>Incident in Investigating status, needs management attention</t>
  </si>
  <si>
    <t>Escalate incident</t>
  </si>
  <si>
    <t>Transition to Escalated successful</t>
  </si>
  <si>
    <t>Incident escalated for management attention</t>
  </si>
  <si>
    <t>INC-TC-025</t>
  </si>
  <si>
    <t>Transition Investigating → Closed</t>
  </si>
  <si>
    <t>Incident in Investigating, determined not actionable</t>
  </si>
  <si>
    <t>Close incident</t>
  </si>
  <si>
    <t>INC-TC-026</t>
  </si>
  <si>
    <t>Transition Escalated → Investigating</t>
  </si>
  <si>
    <t>Incident in Escalated status, reassigned for analysis</t>
  </si>
  <si>
    <t>Move back to Investigating</t>
  </si>
  <si>
    <t>Escalation addressed - returned to investigation</t>
  </si>
  <si>
    <t>INC-TC-027</t>
  </si>
  <si>
    <t>Transition Escalated → Resolving</t>
  </si>
  <si>
    <t>Incident in Escalated status, fix path identified</t>
  </si>
  <si>
    <t>INC-TC-028</t>
  </si>
  <si>
    <t>Transition Escalated → Closed</t>
  </si>
  <si>
    <t>Incident in Escalated status, resolved at management level</t>
  </si>
  <si>
    <t>INC-TC-029</t>
  </si>
  <si>
    <t>Transition Resolving → Resolved</t>
  </si>
  <si>
    <t>Incident in Resolving status, fix applied</t>
  </si>
  <si>
    <t>Mark as Resolved</t>
  </si>
  <si>
    <t>Transition successful, pending verification</t>
  </si>
  <si>
    <t>Fix applied - pending verification</t>
  </si>
  <si>
    <t>INC-TC-030</t>
  </si>
  <si>
    <t>Transition Resolving → Escalated</t>
  </si>
  <si>
    <t>Incident in Resolving, fix blocked</t>
  </si>
  <si>
    <t>Resolution blocked - escalated</t>
  </si>
  <si>
    <t>INC-TC-031</t>
  </si>
  <si>
    <t>Transition Resolved → Closed</t>
  </si>
  <si>
    <t>Incident in Resolved status, fix verified</t>
  </si>
  <si>
    <t>Transition to Closed successful (terminal)</t>
  </si>
  <si>
    <t>INC-TC-032</t>
  </si>
  <si>
    <t>Transition Resolved → Reopened</t>
  </si>
  <si>
    <t>Incident in Resolved status, issue recurred</t>
  </si>
  <si>
    <t>Reopen incident</t>
  </si>
  <si>
    <t>Transition to Reopened successful</t>
  </si>
  <si>
    <t>Issue recurred - incident reopened</t>
  </si>
  <si>
    <t>INC-TC-033</t>
  </si>
  <si>
    <t>Transition Reopened → Investigating</t>
  </si>
  <si>
    <t>Incident in Reopened status</t>
  </si>
  <si>
    <t>Move to Investigating</t>
  </si>
  <si>
    <t>INC-TC-034</t>
  </si>
  <si>
    <t>Critical incident auto-escalates without owner</t>
  </si>
  <si>
    <t>Creating Critical severity incident</t>
  </si>
  <si>
    <t>Save incident without assigning Owner</t>
  </si>
  <si>
    <t>Incident created, auto-escalated to default owner</t>
  </si>
  <si>
    <t>Critical incident auto-escalated - owner required</t>
  </si>
  <si>
    <t>INC-TC-035</t>
  </si>
  <si>
    <t>Non-critical incident without owner does not escalate</t>
  </si>
  <si>
    <t>Creating Medium severity incident</t>
  </si>
  <si>
    <t>Incident created, no auto-escalation</t>
  </si>
  <si>
    <t>INC-TC-036</t>
  </si>
  <si>
    <t>Resolved fields become read-only</t>
  </si>
  <si>
    <t>Incident in Resolved status</t>
  </si>
  <si>
    <t>Check field editability</t>
  </si>
  <si>
    <t>Limited editing - most fields read-only</t>
  </si>
  <si>
    <t>INC-TC-037</t>
  </si>
  <si>
    <t>3. Incident Status Transitions - Negative</t>
  </si>
  <si>
    <t>Invalid: Open → Resolved (skip Investigating/Resolving)</t>
  </si>
  <si>
    <t>Attempt to transition directly to Resolved</t>
  </si>
  <si>
    <t>Blocked - must go through investigation</t>
  </si>
  <si>
    <t>Cannot skip investigation phase</t>
  </si>
  <si>
    <t>INC-TC-038</t>
  </si>
  <si>
    <t>Invalid: Open → Resolving (skip Investigating)</t>
  </si>
  <si>
    <t>Attempt to transition to Resolving</t>
  </si>
  <si>
    <t>Blocked - must investigate first</t>
  </si>
  <si>
    <t>Cannot skip to resolving phase</t>
  </si>
  <si>
    <t>INC-TC-039</t>
  </si>
  <si>
    <t>Invalid: Open → Reopened</t>
  </si>
  <si>
    <t>Attempt to transition to Reopened</t>
  </si>
  <si>
    <t>Blocked - Reopened only from Resolved</t>
  </si>
  <si>
    <t>Cannot reopen - incident was never resolved</t>
  </si>
  <si>
    <t>INC-TC-040</t>
  </si>
  <si>
    <t>Invalid: Investigating → Resolved (skip Resolving)</t>
  </si>
  <si>
    <t>Incident in Investigating status</t>
  </si>
  <si>
    <t>Blocked - must go through Resolving</t>
  </si>
  <si>
    <t>Cannot skip resolving phase</t>
  </si>
  <si>
    <t>INC-TC-041</t>
  </si>
  <si>
    <t>Incident in Closed status</t>
  </si>
  <si>
    <t>Attempt to transition to Investigating</t>
  </si>
  <si>
    <t>Closed incidents cannot be reopened</t>
  </si>
  <si>
    <t>INC-TC-042</t>
  </si>
  <si>
    <t>Invalid: Closed → Reopened</t>
  </si>
  <si>
    <t>Attempt to reopen incident</t>
  </si>
  <si>
    <t>Closed incidents cannot be reopened - create new incident</t>
  </si>
  <si>
    <t>INC-TC-043</t>
  </si>
  <si>
    <t>Invalid: Resolved → Open (revert)</t>
  </si>
  <si>
    <t>Attempt to move back to Open</t>
  </si>
  <si>
    <t>Blocked - cannot revert to Open</t>
  </si>
  <si>
    <t>Cannot revert resolved incident to Open</t>
  </si>
  <si>
    <t>INC-TC-044</t>
  </si>
  <si>
    <t>Invalid: Resolving → Open (revert)</t>
  </si>
  <si>
    <t>Incident in Resolving status</t>
  </si>
  <si>
    <t>Blocked - cannot revert</t>
  </si>
  <si>
    <t>Cannot revert to Open - use Escalated if blocked</t>
  </si>
  <si>
    <t>INC-TC-045</t>
  </si>
  <si>
    <t>Invalid: Escalated → Open</t>
  </si>
  <si>
    <t>Incident in Escalated status</t>
  </si>
  <si>
    <t>Attempt to move to Open</t>
  </si>
  <si>
    <t>Blocked - invalid transition</t>
  </si>
  <si>
    <t>Cannot move escalated incident to Open</t>
  </si>
  <si>
    <t>INC-TC-046</t>
  </si>
  <si>
    <t>Invalid: Reopened → Resolved (skip Investigating)</t>
  </si>
  <si>
    <t>Blocked - must investigate again</t>
  </si>
  <si>
    <t>Reopened incident must be investigated</t>
  </si>
  <si>
    <t>INC-TC-047</t>
  </si>
  <si>
    <t>Invalid: Reopened → Closed (skip investigation)</t>
  </si>
  <si>
    <t>Attempt to close directly</t>
  </si>
  <si>
    <t>Blocked - must investigate</t>
  </si>
  <si>
    <t>Reopened incident must be investigated before closing</t>
  </si>
  <si>
    <t>INC-TC-048</t>
  </si>
  <si>
    <t>Close without resolution notes</t>
  </si>
  <si>
    <t>Incident in Resolved status, no resolution notes</t>
  </si>
  <si>
    <t>Attempt to close</t>
  </si>
  <si>
    <t>Blocked - resolution notes required</t>
  </si>
  <si>
    <t>Resolution notes required before closing</t>
  </si>
  <si>
    <t>INC-TC-049</t>
  </si>
  <si>
    <t>Resolve without root cause documented</t>
  </si>
  <si>
    <t>Incident in Resolving, root cause field empty</t>
  </si>
  <si>
    <t>Attempt to mark as Resolved</t>
  </si>
  <si>
    <t>Blocked - root cause required</t>
  </si>
  <si>
    <t>Root cause must be documented before resolving</t>
  </si>
  <si>
    <t>INC-TC-050</t>
  </si>
  <si>
    <t>Escalate without justification</t>
  </si>
  <si>
    <t>Escalate without providing justification</t>
  </si>
  <si>
    <t>Blocked - justification required</t>
  </si>
  <si>
    <t>Escalation justification is required</t>
  </si>
  <si>
    <t>INC-TC-051</t>
  </si>
  <si>
    <t>Transition by unauthorized user</t>
  </si>
  <si>
    <t>User without incident permissions</t>
  </si>
  <si>
    <t>Attempt to transition incident status</t>
  </si>
  <si>
    <t>Blocked - insufficient permissions</t>
  </si>
  <si>
    <t>You do not have permission to modify this incident</t>
  </si>
  <si>
    <t>INC-TC-052</t>
  </si>
  <si>
    <t>Transition archived incident</t>
  </si>
  <si>
    <t>Incident archived (linked release was deleted)</t>
  </si>
  <si>
    <t>Blocked - incident is archived</t>
  </si>
  <si>
    <t>Archived incidents cannot be modified</t>
  </si>
  <si>
    <t>INC-TC-053</t>
  </si>
  <si>
    <t>Critical incident close without PIR</t>
  </si>
  <si>
    <t>VR-34 (analog)</t>
  </si>
  <si>
    <t>Critical severity incident in Resolved status</t>
  </si>
  <si>
    <t>Attempt to close without PIR</t>
  </si>
  <si>
    <t>Critical incidents require Post-Incident Review</t>
  </si>
  <si>
    <t>INC-TC-054</t>
  </si>
  <si>
    <t>Reopen more than 30 days after Resolved</t>
  </si>
  <si>
    <t>Incident in Resolved status for 35 days</t>
  </si>
  <si>
    <t>Attempt to reopen</t>
  </si>
  <si>
    <t>Blocked - reopen window expired</t>
  </si>
  <si>
    <t>Cannot reopen incident after 30 days - create new incident</t>
  </si>
  <si>
    <t>INC-TC-055</t>
  </si>
  <si>
    <t>4. Incident Severity &amp; Priority</t>
  </si>
  <si>
    <t>Severity values: Critical, High, Medium, Low</t>
  </si>
  <si>
    <t>Verify severity dropdown options</t>
  </si>
  <si>
    <t>Four valid options: Critical, High, Medium, Low</t>
  </si>
  <si>
    <t>INC-TC-056</t>
  </si>
  <si>
    <t>Critical severity triggers immediate escalation if no owner</t>
  </si>
  <si>
    <t>Creating incident with Severity = Critical, no owner</t>
  </si>
  <si>
    <t>Auto-escalated to default owner</t>
  </si>
  <si>
    <t>Critical incident auto-escalated</t>
  </si>
  <si>
    <t>INC-TC-057</t>
  </si>
  <si>
    <t>High severity does not auto-escalate</t>
  </si>
  <si>
    <t>Creating incident with Severity = High, no owner</t>
  </si>
  <si>
    <t>Incident saved, no auto-escalation</t>
  </si>
  <si>
    <t>INC-TC-058</t>
  </si>
  <si>
    <t>Severity can be raised by owner</t>
  </si>
  <si>
    <t>Incident exists, user is the owner</t>
  </si>
  <si>
    <t>Raise severity from Medium to High</t>
  </si>
  <si>
    <t>Severity updated successfully</t>
  </si>
  <si>
    <t>INC-TC-059</t>
  </si>
  <si>
    <t>Severity can be raised by owner's manager</t>
  </si>
  <si>
    <t>Incident exists, user is owner's manager</t>
  </si>
  <si>
    <t>Raise severity from Low to Critical</t>
  </si>
  <si>
    <t>INC-TC-060</t>
  </si>
  <si>
    <t>Severity raise blocked for non-owner/manager</t>
  </si>
  <si>
    <t>Incident exists, user is not owner or manager</t>
  </si>
  <si>
    <t>Attempt to raise severity from Medium to High</t>
  </si>
  <si>
    <t>Only owner or manager can raise severity</t>
  </si>
  <si>
    <t>INC-TC-061</t>
  </si>
  <si>
    <t>Severity can be lowered by anyone with edit access</t>
  </si>
  <si>
    <t>Incident exists, user has edit permissions</t>
  </si>
  <si>
    <t>Lower severity from High to Medium</t>
  </si>
  <si>
    <t>Severity lowered successfully</t>
  </si>
  <si>
    <t>INC-TC-062</t>
  </si>
  <si>
    <t>Severity change logged in audit trail</t>
  </si>
  <si>
    <t>Incident with Severity = Medium</t>
  </si>
  <si>
    <t>Change severity to Critical</t>
  </si>
  <si>
    <t>Change logged with user, timestamp, old/new values</t>
  </si>
  <si>
    <t>INC-TC-063</t>
  </si>
  <si>
    <t>Critical severity cannot be lowered without justification</t>
  </si>
  <si>
    <t>Incident with Severity = Critical</t>
  </si>
  <si>
    <t>Attempt to lower to Medium without justification</t>
  </si>
  <si>
    <t>Justification required to lower Critical severity</t>
  </si>
  <si>
    <t>INC-TC-064</t>
  </si>
  <si>
    <t>Critical severity lowered with justification</t>
  </si>
  <si>
    <t>Lower to High with documented justification</t>
  </si>
  <si>
    <t>Severity lowered, justification recorded</t>
  </si>
  <si>
    <t>INC-TC-065</t>
  </si>
  <si>
    <t>Severity readonly in Closed status</t>
  </si>
  <si>
    <t>Attempt to change severity</t>
  </si>
  <si>
    <t>Blocked - field is read-only</t>
  </si>
  <si>
    <t>Closed incident fields cannot be modified</t>
  </si>
  <si>
    <t>INC-TC-066</t>
  </si>
  <si>
    <t>Severity readonly in Resolved status</t>
  </si>
  <si>
    <t>Blocked - limited editing in Resolved</t>
  </si>
  <si>
    <t>Severity cannot be changed after resolution</t>
  </si>
  <si>
    <t>INC-TC-067</t>
  </si>
  <si>
    <t>Priority auto-calculated from Severity + Impact</t>
  </si>
  <si>
    <t>Creating incident</t>
  </si>
  <si>
    <t>Set Severity = Critical, Impact = High</t>
  </si>
  <si>
    <t>Priority auto-calculated as P1</t>
  </si>
  <si>
    <t>INC-TC-068</t>
  </si>
  <si>
    <t>Priority is read-only (computed field)</t>
  </si>
  <si>
    <t>Incident exists with computed Priority</t>
  </si>
  <si>
    <t>Attempt to manually edit Priority</t>
  </si>
  <si>
    <t>Blocked - Priority is computed</t>
  </si>
  <si>
    <t>Priority is calculated automatically</t>
  </si>
  <si>
    <t>INC-TC-069</t>
  </si>
  <si>
    <t>Severity history viewable</t>
  </si>
  <si>
    <t>Incident with multiple severity changes</t>
  </si>
  <si>
    <t>View severity history</t>
  </si>
  <si>
    <t>All changes displayed with timestamps</t>
  </si>
  <si>
    <t>INC-TC-070</t>
  </si>
  <si>
    <t>Invalid severity value rejected</t>
  </si>
  <si>
    <t>Attempt to set Severity = 'Urgent' (invalid)</t>
  </si>
  <si>
    <t>Blocked - invalid value</t>
  </si>
  <si>
    <t>Invalid severity value</t>
  </si>
  <si>
    <t>INC-TC-071</t>
  </si>
  <si>
    <t>5. Incident-Release Integration</t>
  </si>
  <si>
    <t>Link incident to release successfully</t>
  </si>
  <si>
    <t>Release exists in Deployed status, incident created</t>
  </si>
  <si>
    <t>Incident linked successfully</t>
  </si>
  <si>
    <t>INC-TC-072</t>
  </si>
  <si>
    <t>AV-06, CASC-03</t>
  </si>
  <si>
    <t>Save incident link</t>
  </si>
  <si>
    <t>Release auto-set to Blocked status</t>
  </si>
  <si>
    <t>Release blocked by Critical incident</t>
  </si>
  <si>
    <t>INC-TC-073</t>
  </si>
  <si>
    <t>Critical incident does not block Deploying release</t>
  </si>
  <si>
    <t>Release in Deploying status, Critical incident linked</t>
  </si>
  <si>
    <t>Release remains in Deploying (cannot interrupt)</t>
  </si>
  <si>
    <t>INC-TC-074</t>
  </si>
  <si>
    <t>Critical incident does not block Deployed release</t>
  </si>
  <si>
    <t>Release in Deployed status, Critical incident linked</t>
  </si>
  <si>
    <t>Release remains in Deployed</t>
  </si>
  <si>
    <t>INC-TC-075</t>
  </si>
  <si>
    <t>High incident does not auto-block release</t>
  </si>
  <si>
    <t>Release status unchanged</t>
  </si>
  <si>
    <t>INC-TC-076</t>
  </si>
  <si>
    <t>Critical incident resolution unblocks release</t>
  </si>
  <si>
    <t>Resolve the Critical incident</t>
  </si>
  <si>
    <t>Release unblocked (returns to previous status)</t>
  </si>
  <si>
    <t>Release unblocked - incident resolved</t>
  </si>
  <si>
    <t>INC-TC-077</t>
  </si>
  <si>
    <t>Open incidents block release closure (VR-33)</t>
  </si>
  <si>
    <t>Release in Deployed status with Open incident linked</t>
  </si>
  <si>
    <t>Attempt to move release to Closed</t>
  </si>
  <si>
    <t>Cannot close release with open incidents</t>
  </si>
  <si>
    <t>INC-TC-078</t>
  </si>
  <si>
    <t>Resolved incidents do not block closure</t>
  </si>
  <si>
    <t>Release in Deployed with all incidents Resolved/Closed</t>
  </si>
  <si>
    <t>Move release to Closed</t>
  </si>
  <si>
    <t>Transition allowed</t>
  </si>
  <si>
    <t>INC-TC-079</t>
  </si>
  <si>
    <t>VR-35: Blockers blocked after Deploying, suggest Incident</t>
  </si>
  <si>
    <t>Release in Deploying status</t>
  </si>
  <si>
    <t>Blocked with suggestion to create Incident instead</t>
  </si>
  <si>
    <t>Use Incidents for issues found during deployment</t>
  </si>
  <si>
    <t>INC-TC-080</t>
  </si>
  <si>
    <t>Incident can be created during Deploying</t>
  </si>
  <si>
    <t>Create new incident linked to release</t>
  </si>
  <si>
    <t>INC-TC-081</t>
  </si>
  <si>
    <t>Incident can be created after Deployed</t>
  </si>
  <si>
    <t>Release in Deployed status</t>
  </si>
  <si>
    <t>INC-TC-082</t>
  </si>
  <si>
    <t>Multiple incidents can link to same release</t>
  </si>
  <si>
    <t>Release exists with one incident linked</t>
  </si>
  <si>
    <t>Link second incident to release</t>
  </si>
  <si>
    <t>Second incident linked successfully</t>
  </si>
  <si>
    <t>INC-TC-083</t>
  </si>
  <si>
    <t>Incident can link to multiple releases</t>
  </si>
  <si>
    <t>Incident exists, two releases exist</t>
  </si>
  <si>
    <t>Link incident to both releases</t>
  </si>
  <si>
    <t>Incident linked to both releases</t>
  </si>
  <si>
    <t>INC-TC-084</t>
  </si>
  <si>
    <t>Delink incident from release</t>
  </si>
  <si>
    <t>Remove link between incident and release</t>
  </si>
  <si>
    <t>Link removed successfully</t>
  </si>
  <si>
    <t>INC-TC-085</t>
  </si>
  <si>
    <t>Delinking Critical incident unblocks release</t>
  </si>
  <si>
    <t>Delink the Critical incident</t>
  </si>
  <si>
    <t>Release unblocked</t>
  </si>
  <si>
    <t>INC-TC-086</t>
  </si>
  <si>
    <t>Release deletion archives linked incidents</t>
  </si>
  <si>
    <t>Release with 3 linked incidents</t>
  </si>
  <si>
    <t>Delete the release</t>
  </si>
  <si>
    <t>All linked incidents archived (not orphaned)</t>
  </si>
  <si>
    <t>Linked incidents archived</t>
  </si>
  <si>
    <t>INC-TC-087</t>
  </si>
  <si>
    <t>Incident link requires release reference</t>
  </si>
  <si>
    <t>Creating incident-release link</t>
  </si>
  <si>
    <t>Attempt to link without selecting release</t>
  </si>
  <si>
    <t>Blocked - release required</t>
  </si>
  <si>
    <t>Select a release to link</t>
  </si>
  <si>
    <t>INC-TC-088</t>
  </si>
  <si>
    <t>Cannot link to Cancelled release</t>
  </si>
  <si>
    <t>Release in Cancelled status</t>
  </si>
  <si>
    <t>Attempt to link new incident</t>
  </si>
  <si>
    <t>Blocked - release is cancelled</t>
  </si>
  <si>
    <t>Cannot link incidents to cancelled releases</t>
  </si>
  <si>
    <t>INC-TC-089</t>
  </si>
  <si>
    <t>Notification sent when incident linked to release</t>
  </si>
  <si>
    <t>Release with assigned RM</t>
  </si>
  <si>
    <t>Link Critical incident to release</t>
  </si>
  <si>
    <t>RM notified of incident linkage</t>
  </si>
  <si>
    <t>New Critical incident linked to your release</t>
  </si>
  <si>
    <t>INC-TC-090</t>
  </si>
  <si>
    <t>Auto-link incident if created from release context</t>
  </si>
  <si>
    <t>User viewing release details page</t>
  </si>
  <si>
    <t>Click 'Create Incident' from release page</t>
  </si>
  <si>
    <t>Incident created and auto-linked to release</t>
  </si>
  <si>
    <t>INC-TC-091</t>
  </si>
  <si>
    <t>6. Incident Resolution &amp; Closure</t>
  </si>
  <si>
    <t>Resolution notes required before Resolved</t>
  </si>
  <si>
    <t>Add resolution notes, mark as Resolved</t>
  </si>
  <si>
    <t>INC-TC-092</t>
  </si>
  <si>
    <t>Root cause required before Resolved</t>
  </si>
  <si>
    <t>Document root cause, mark as Resolved</t>
  </si>
  <si>
    <t>INC-TC-093</t>
  </si>
  <si>
    <t>Resolution Date auto-populated</t>
  </si>
  <si>
    <t>Incident transitioning to Resolved</t>
  </si>
  <si>
    <t>Complete transition</t>
  </si>
  <si>
    <t>Resolution Date auto-set to current timestamp</t>
  </si>
  <si>
    <t>INC-TC-094</t>
  </si>
  <si>
    <t>Resolved By auto-populated</t>
  </si>
  <si>
    <t>User resolving incident</t>
  </si>
  <si>
    <t>Mark incident as Resolved</t>
  </si>
  <si>
    <t>Resolved By set to current user</t>
  </si>
  <si>
    <t>INC-TC-095</t>
  </si>
  <si>
    <t>Closed Date auto-populated</t>
  </si>
  <si>
    <t>Incident transitioning to Closed</t>
  </si>
  <si>
    <t>Close the incident</t>
  </si>
  <si>
    <t>Closed Date auto-set to current timestamp</t>
  </si>
  <si>
    <t>INC-TC-096</t>
  </si>
  <si>
    <t>Closed By auto-populated</t>
  </si>
  <si>
    <t>User closing incident</t>
  </si>
  <si>
    <t>Closed By set to current user</t>
  </si>
  <si>
    <t>INC-TC-097</t>
  </si>
  <si>
    <t>Time to Resolution calculated</t>
  </si>
  <si>
    <t>Incident resolved</t>
  </si>
  <si>
    <t>View Time to Resolution field</t>
  </si>
  <si>
    <t>Correctly calculated from Reported Date to Resolution Date</t>
  </si>
  <si>
    <t>INC-TC-098</t>
  </si>
  <si>
    <t>Closure notification sent to stakeholders</t>
  </si>
  <si>
    <t>Incident with stakeholders subscribed</t>
  </si>
  <si>
    <t>Notification sent to all stakeholders</t>
  </si>
  <si>
    <t>INC-TC-099</t>
  </si>
  <si>
    <t>Verification steps documented before Closed</t>
  </si>
  <si>
    <t>Document verification steps, close incident</t>
  </si>
  <si>
    <t>Transition to Closed successful</t>
  </si>
  <si>
    <t>INC-TC-100</t>
  </si>
  <si>
    <t>Incident closure updates linked release metrics</t>
  </si>
  <si>
    <t>Release with linked incident</t>
  </si>
  <si>
    <t>Release incident count/metrics updated</t>
  </si>
  <si>
    <t>INC-TC-101</t>
  </si>
  <si>
    <t>Cannot close with unresolved workaround only</t>
  </si>
  <si>
    <t>Incident with workaround but no permanent fix</t>
  </si>
  <si>
    <t>Attempt to close incident</t>
  </si>
  <si>
    <t>Blocked - permanent resolution required</t>
  </si>
  <si>
    <t>Workaround is not sufficient for closure</t>
  </si>
  <si>
    <t>INC-TC-102</t>
  </si>
  <si>
    <t>Workaround documented but permanent fix pending</t>
  </si>
  <si>
    <t>Document workaround, mark for permanent fix</t>
  </si>
  <si>
    <t>Incident stays in Resolving with workaround flag</t>
  </si>
  <si>
    <t>INC-TC-103</t>
  </si>
  <si>
    <t>Closure requires all linked actions complete</t>
  </si>
  <si>
    <t>Incident with open action items</t>
  </si>
  <si>
    <t>Blocked - open actions exist</t>
  </si>
  <si>
    <t>Complete all action items before closing</t>
  </si>
  <si>
    <t>INC-TC-104</t>
  </si>
  <si>
    <t>Resolution category required (Bug, Config, User Error, etc.)</t>
  </si>
  <si>
    <t>Incident in Resolving, no category selected</t>
  </si>
  <si>
    <t>Blocked - category required</t>
  </si>
  <si>
    <t>Select resolution category</t>
  </si>
  <si>
    <t>INC-TC-105</t>
  </si>
  <si>
    <t>Duplicate resolution links to original incident</t>
  </si>
  <si>
    <t>Incident identified as duplicate</t>
  </si>
  <si>
    <t>Mark as duplicate, link to original</t>
  </si>
  <si>
    <t>Closed as duplicate with link to original</t>
  </si>
  <si>
    <t>Closed as duplicate of INC-XXXXXX</t>
  </si>
  <si>
    <t>INC-TC-106</t>
  </si>
  <si>
    <t>Cannot mark as duplicate without original reference</t>
  </si>
  <si>
    <t>Incident to be marked as duplicate</t>
  </si>
  <si>
    <t>Attempt to close as duplicate without linking</t>
  </si>
  <si>
    <t>Blocked - original incident required</t>
  </si>
  <si>
    <t>Link to original incident required</t>
  </si>
  <si>
    <t>INC-TC-107</t>
  </si>
  <si>
    <t>7. Post-Incident Review (PIR)</t>
  </si>
  <si>
    <t>PIR required for Critical incidents</t>
  </si>
  <si>
    <t>Critical incident in Resolved status, no PIR</t>
  </si>
  <si>
    <t>Post-Incident Review required for Critical incidents</t>
  </si>
  <si>
    <t>INC-TC-108</t>
  </si>
  <si>
    <t>PIR required for High incidents with outage &gt; 4 hours</t>
  </si>
  <si>
    <t>High incident with 5-hour outage, no PIR</t>
  </si>
  <si>
    <t>PIR required for incidents with outage &gt; 4 hours</t>
  </si>
  <si>
    <t>INC-TC-109</t>
  </si>
  <si>
    <t>PIR not required for Medium incidents</t>
  </si>
  <si>
    <t>Medium incident in Resolved status</t>
  </si>
  <si>
    <t>Close incident without PIR</t>
  </si>
  <si>
    <t>Allowed - PIR optional for Medium</t>
  </si>
  <si>
    <t>INC-TC-110</t>
  </si>
  <si>
    <t>PIR not required for Low incidents</t>
  </si>
  <si>
    <t>Low incident in Resolved status</t>
  </si>
  <si>
    <t>Allowed - PIR optional for Low</t>
  </si>
  <si>
    <t>INC-TC-111</t>
  </si>
  <si>
    <t>Create PIR from incident</t>
  </si>
  <si>
    <t>Critical incident in Resolved status</t>
  </si>
  <si>
    <t>Click 'Create PIR' button</t>
  </si>
  <si>
    <t>PIR created and linked to incident</t>
  </si>
  <si>
    <t>INC-TC-112</t>
  </si>
  <si>
    <t>PIR auto-links to incident</t>
  </si>
  <si>
    <t>Creating PIR from incident context</t>
  </si>
  <si>
    <t>Complete PIR creation</t>
  </si>
  <si>
    <t>PIR automatically linked to source incident</t>
  </si>
  <si>
    <t>INC-TC-113</t>
  </si>
  <si>
    <t>PIR requires root cause analysis</t>
  </si>
  <si>
    <t>PIR without root cause section</t>
  </si>
  <si>
    <t>Attempt to complete PIR</t>
  </si>
  <si>
    <t>Root cause analysis is required</t>
  </si>
  <si>
    <t>INC-TC-114</t>
  </si>
  <si>
    <t>PIR requires corrective actions</t>
  </si>
  <si>
    <t>PIR without corrective actions</t>
  </si>
  <si>
    <t>At least one corrective action required</t>
  </si>
  <si>
    <t>INC-TC-115</t>
  </si>
  <si>
    <t>PIR requires lessons learned</t>
  </si>
  <si>
    <t>PIR without lessons learned section</t>
  </si>
  <si>
    <t>Document lessons learned</t>
  </si>
  <si>
    <t>INC-TC-116</t>
  </si>
  <si>
    <t>PIR completion marks incident PIR-complete</t>
  </si>
  <si>
    <t>Critical incident with linked PIR</t>
  </si>
  <si>
    <t>Complete the PIR</t>
  </si>
  <si>
    <t>Incident PIR status = Complete</t>
  </si>
  <si>
    <t>INC-TC-117</t>
  </si>
  <si>
    <t>PIR must be completed within 5 business days</t>
  </si>
  <si>
    <t>Critical incident, 7 days since resolution</t>
  </si>
  <si>
    <t>Check PIR status</t>
  </si>
  <si>
    <t>Warning/escalation - PIR overdue</t>
  </si>
  <si>
    <t>PIR overdue - complete within 5 business days</t>
  </si>
  <si>
    <t>INC-TC-118</t>
  </si>
  <si>
    <t>PIR approval required for Critical incidents</t>
  </si>
  <si>
    <t>PIR for Critical incident, not approved</t>
  </si>
  <si>
    <t>Attempt to close PIR</t>
  </si>
  <si>
    <t>Manager approval required for Critical incident PIR</t>
  </si>
  <si>
    <t>INC-TC-119</t>
  </si>
  <si>
    <t>PIR with approved corrective actions</t>
  </si>
  <si>
    <t>PIR with all corrective actions approved</t>
  </si>
  <si>
    <t>Close PIR</t>
  </si>
  <si>
    <t>PIR closed successfully</t>
  </si>
  <si>
    <t>INC-TC-120</t>
  </si>
  <si>
    <t>PIR timeline includes all status changes</t>
  </si>
  <si>
    <t>Viewing PIR for complex incident</t>
  </si>
  <si>
    <t>Check timeline section</t>
  </si>
  <si>
    <t>All status transitions displayed with timestamps</t>
  </si>
  <si>
    <t>INC-TC-121</t>
  </si>
  <si>
    <t>PIR can link multiple related incidents</t>
  </si>
  <si>
    <t>PIR for related incident cluster</t>
  </si>
  <si>
    <t>Link additional incidents to PIR</t>
  </si>
  <si>
    <t>Multiple incidents linked to single PIR</t>
  </si>
  <si>
    <t>INC-TC-122</t>
  </si>
  <si>
    <t>PIR visibility based on permissions</t>
  </si>
  <si>
    <t>PIR exists for sensitive incident</t>
  </si>
  <si>
    <t>User without PIR access tries to view</t>
  </si>
  <si>
    <t>Access denied - insufficient permissions</t>
  </si>
  <si>
    <t>You do not have access to this PIR</t>
  </si>
  <si>
    <t>INC-TC-123</t>
  </si>
  <si>
    <t>8. Incident Notifications &amp; Escalations</t>
  </si>
  <si>
    <t>Critical incident notifies on-call team</t>
  </si>
  <si>
    <t>Critical incident created</t>
  </si>
  <si>
    <t>On-call team notified immediately</t>
  </si>
  <si>
    <t>CRITICAL: New incident INC-XXXXXX</t>
  </si>
  <si>
    <t>INC-TC-124</t>
  </si>
  <si>
    <t>Critical without owner auto-escalates</t>
  </si>
  <si>
    <t>Critical incident, no owner assigned</t>
  </si>
  <si>
    <t>Auto-escalated to default owner, manager notified</t>
  </si>
  <si>
    <t>Critical incident auto-assigned - action required</t>
  </si>
  <si>
    <t>INC-TC-125</t>
  </si>
  <si>
    <t>Owner assignment sends notification</t>
  </si>
  <si>
    <t>Incident without owner</t>
  </si>
  <si>
    <t>Assign owner</t>
  </si>
  <si>
    <t>Owner receives assignment notification</t>
  </si>
  <si>
    <t>You have been assigned incident INC-XXXXXX</t>
  </si>
  <si>
    <t>INC-TC-126</t>
  </si>
  <si>
    <t>Severity raise triggers escalation</t>
  </si>
  <si>
    <t>Incident raised from Medium to Critical</t>
  </si>
  <si>
    <t>Save severity change</t>
  </si>
  <si>
    <t>Escalation triggered, management notified</t>
  </si>
  <si>
    <t>Incident severity raised to Critical</t>
  </si>
  <si>
    <t>INC-TC-127</t>
  </si>
  <si>
    <t>Linked release RM notified on Critical</t>
  </si>
  <si>
    <t>Critical incident linked to release</t>
  </si>
  <si>
    <t>Link incident</t>
  </si>
  <si>
    <t>Release Manager notified of Critical incident</t>
  </si>
  <si>
    <t>Critical incident linked to your release</t>
  </si>
  <si>
    <t>INC-TC-128</t>
  </si>
  <si>
    <t>Status change notifications to stakeholders</t>
  </si>
  <si>
    <t>Incident with watchers/stakeholders</t>
  </si>
  <si>
    <t>Change status to Resolved</t>
  </si>
  <si>
    <t>All watchers notified of status change</t>
  </si>
  <si>
    <t>INC-TC-129</t>
  </si>
  <si>
    <t>Escalation path follows organization hierarchy</t>
  </si>
  <si>
    <t>Critical incident unacknowledged for 30 minutes</t>
  </si>
  <si>
    <t>Escalation timer triggers</t>
  </si>
  <si>
    <t>Escalates to next level in hierarchy</t>
  </si>
  <si>
    <t>Incident escalated to Level 2</t>
  </si>
  <si>
    <t>INC-TC-130</t>
  </si>
  <si>
    <t>Multi-level escalation for prolonged incidents</t>
  </si>
  <si>
    <t>Critical incident unresolved for 4 hours</t>
  </si>
  <si>
    <t>Check escalation status</t>
  </si>
  <si>
    <t>Escalated through multiple management levels</t>
  </si>
  <si>
    <t>Incident escalated to VP level</t>
  </si>
  <si>
    <t>INC-TC-131</t>
  </si>
  <si>
    <t>Resolution notification to all stakeholders</t>
  </si>
  <si>
    <t>Critical incident with stakeholders</t>
  </si>
  <si>
    <t>All stakeholders notified of resolution</t>
  </si>
  <si>
    <t>Incident INC-XXXXXX has been resolved</t>
  </si>
  <si>
    <t>INC-TC-132</t>
  </si>
  <si>
    <t>Reopen triggers re-escalation</t>
  </si>
  <si>
    <t>Re-escalation triggered, management notified</t>
  </si>
  <si>
    <t>Incident reopened - issue recurred</t>
  </si>
  <si>
    <t>INC-TC-133</t>
  </si>
  <si>
    <t>SLA breach warning at 80% threshold</t>
  </si>
  <si>
    <t>SLA</t>
  </si>
  <si>
    <t>Critical incident, 80% of SLA time elapsed</t>
  </si>
  <si>
    <t>SLA monitor job runs</t>
  </si>
  <si>
    <t>SLA breach imminent - 80% threshold reached</t>
  </si>
  <si>
    <t>INC-TC-134</t>
  </si>
  <si>
    <t>SLA breach notification</t>
  </si>
  <si>
    <t>Critical incident, SLA time exceeded</t>
  </si>
  <si>
    <t>SLA breach notification to management</t>
  </si>
  <si>
    <t>SLA BREACH: Incident INC-XXXXXX</t>
  </si>
  <si>
    <t>INC-TC-135</t>
  </si>
  <si>
    <t>Daily digest for High severity incidents</t>
  </si>
  <si>
    <t>Multiple High severity incidents open</t>
  </si>
  <si>
    <t>Daily job runs</t>
  </si>
  <si>
    <t>Daily digest email sent to management</t>
  </si>
  <si>
    <t>Daily Incident Summary: X High severity open</t>
  </si>
  <si>
    <t>INC-TC-136</t>
  </si>
  <si>
    <t>Comment notification to owner</t>
  </si>
  <si>
    <t>Incident with owner assigned</t>
  </si>
  <si>
    <t>Add comment to incident</t>
  </si>
  <si>
    <t>Owner notified of new comment</t>
  </si>
  <si>
    <t>New comment on INC-XXXXXX</t>
  </si>
  <si>
    <t>INC-TC-137</t>
  </si>
  <si>
    <t>Notification preferences respected</t>
  </si>
  <si>
    <t>User has disabled email notifications</t>
  </si>
  <si>
    <t>Trigger notification event</t>
  </si>
  <si>
    <t>No email sent, in-app notification only</t>
  </si>
  <si>
    <t>INC-TC-138</t>
  </si>
  <si>
    <t>Bulk incident notification aggregation</t>
  </si>
  <si>
    <t>10 incidents created in rapid succession</t>
  </si>
  <si>
    <t>Notification system processes</t>
  </si>
  <si>
    <t>Notifications aggregated to prevent spam</t>
  </si>
  <si>
    <t>10 new incidents created - view summary</t>
  </si>
  <si>
    <t>INC-TC-139</t>
  </si>
  <si>
    <t>9. Incident Permissions &amp; Roles</t>
  </si>
  <si>
    <t>Incident Manager can create incidents</t>
  </si>
  <si>
    <t>User has Incident Manager role</t>
  </si>
  <si>
    <t>Create new incident</t>
  </si>
  <si>
    <t>INC-TC-140</t>
  </si>
  <si>
    <t>Regular user can create incidents</t>
  </si>
  <si>
    <t>User has basic incident reporting permissions</t>
  </si>
  <si>
    <t>INC-TC-141</t>
  </si>
  <si>
    <t>View-only user cannot create incidents</t>
  </si>
  <si>
    <t>User has view-only permissions</t>
  </si>
  <si>
    <t>Attempt to create incident</t>
  </si>
  <si>
    <t>You do not have permission to create incidents</t>
  </si>
  <si>
    <t>INC-TC-142</t>
  </si>
  <si>
    <t>Owner can edit own incident</t>
  </si>
  <si>
    <t>User is incident owner</t>
  </si>
  <si>
    <t>Edit incident description</t>
  </si>
  <si>
    <t>Edit successful</t>
  </si>
  <si>
    <t>INC-TC-143</t>
  </si>
  <si>
    <t>Non-owner cannot edit incident</t>
  </si>
  <si>
    <t>User is not incident owner and not admin</t>
  </si>
  <si>
    <t>Attempt to edit incident</t>
  </si>
  <si>
    <t>Blocked - only owner/admin can edit</t>
  </si>
  <si>
    <t>Only incident owner can edit this incident</t>
  </si>
  <si>
    <t>INC-TC-144</t>
  </si>
  <si>
    <t>Incident Manager can edit any incident</t>
  </si>
  <si>
    <t>Edit incident owned by another user</t>
  </si>
  <si>
    <t>INC-TC-145</t>
  </si>
  <si>
    <t>Severity raise blocked for non-owner (ROLE-07)</t>
  </si>
  <si>
    <t>User is not owner or manager</t>
  </si>
  <si>
    <t>Attempt to raise severity</t>
  </si>
  <si>
    <t>INC-TC-146</t>
  </si>
  <si>
    <t>Manager can raise severity for team member's incident</t>
  </si>
  <si>
    <t>User is manager of incident owner</t>
  </si>
  <si>
    <t>Raise severity from High to Critical</t>
  </si>
  <si>
    <t>INC-TC-147</t>
  </si>
  <si>
    <t>Admin can reassign incident owner</t>
  </si>
  <si>
    <t>User has admin role</t>
  </si>
  <si>
    <t>Reassign incident to different owner</t>
  </si>
  <si>
    <t>Owner reassigned successfully</t>
  </si>
  <si>
    <t>INC-TC-148</t>
  </si>
  <si>
    <t>Non-admin cannot reassign owner</t>
  </si>
  <si>
    <t>User is regular team member</t>
  </si>
  <si>
    <t>Attempt to reassign incident owner</t>
  </si>
  <si>
    <t>Blocked - admin only</t>
  </si>
  <si>
    <t>Only administrators can reassign incident owner</t>
  </si>
  <si>
    <t>INC-TC-149</t>
  </si>
  <si>
    <t>Delete incident requires admin role</t>
  </si>
  <si>
    <t>User is incident owner but not admin</t>
  </si>
  <si>
    <t>Attempt to delete incident</t>
  </si>
  <si>
    <t>Only administrators can delete incidents</t>
  </si>
  <si>
    <t>INC-TC-150</t>
  </si>
  <si>
    <t>Admin can delete incident</t>
  </si>
  <si>
    <t>Delete incident</t>
  </si>
  <si>
    <t>Incident deleted successfully</t>
  </si>
  <si>
    <t>INC-TC-151</t>
  </si>
  <si>
    <t>Archived incident read-only for all</t>
  </si>
  <si>
    <t>Incident archived (linked release deleted)</t>
  </si>
  <si>
    <t>Admin attempts to edit</t>
  </si>
  <si>
    <t>Blocked - archived incidents are read-only</t>
  </si>
  <si>
    <t>INC-TC-152</t>
  </si>
  <si>
    <t>PIR creation requires incident ownership</t>
  </si>
  <si>
    <t>User is not incident owner</t>
  </si>
  <si>
    <t>Attempt to create PIR</t>
  </si>
  <si>
    <t>Only incident owner can initiate PIR</t>
  </si>
  <si>
    <t>INC-TC-153</t>
  </si>
  <si>
    <t>Escalation changes visible to all with view access</t>
  </si>
  <si>
    <t>User has view access to incident</t>
  </si>
  <si>
    <t>View escalation history</t>
  </si>
  <si>
    <t>Escalation history visible</t>
  </si>
  <si>
    <t>INC-TC-154</t>
  </si>
  <si>
    <t>Sensitive incident restricted visibility</t>
  </si>
  <si>
    <t>Incident marked as sensitive/confidential</t>
  </si>
  <si>
    <t>User without elevated access tries to view</t>
  </si>
  <si>
    <t>This incident is restricted</t>
  </si>
  <si>
    <t>INC-TC-155</t>
  </si>
  <si>
    <t>10. Incident Edge Cases</t>
  </si>
  <si>
    <t>Concurrent incident status transitions</t>
  </si>
  <si>
    <t>Two users viewing same incident</t>
  </si>
  <si>
    <t>Both click transition buttons simultaneously</t>
  </si>
  <si>
    <t>One succeeds, second gets stale-data warning</t>
  </si>
  <si>
    <t>INC-TC-156</t>
  </si>
  <si>
    <t>Concurrent severity changes</t>
  </si>
  <si>
    <t>Two users editing same incident</t>
  </si>
  <si>
    <t>Both change severity simultaneously</t>
  </si>
  <si>
    <t>Deterministic outcome, one wins</t>
  </si>
  <si>
    <t>Incident was modified - reload to see changes</t>
  </si>
  <si>
    <t>INC-TC-157</t>
  </si>
  <si>
    <t>Incident created at exact SLA boundary</t>
  </si>
  <si>
    <t>Critical SLA = 4 hours</t>
  </si>
  <si>
    <t>Resolve at exactly 4:00:00</t>
  </si>
  <si>
    <t>Within SLA (at boundary)</t>
  </si>
  <si>
    <t>INC-TC-158</t>
  </si>
  <si>
    <t>Incident resolved 1 second past SLA</t>
  </si>
  <si>
    <t>Resolve at 4:00:01</t>
  </si>
  <si>
    <t>SLA breached</t>
  </si>
  <si>
    <t>SLA breach by 1 second</t>
  </si>
  <si>
    <t>INC-TC-159</t>
  </si>
  <si>
    <t>Incident spanning timezone change (DST)</t>
  </si>
  <si>
    <t>Incident reported during DST transition</t>
  </si>
  <si>
    <t>Check duration calculations</t>
  </si>
  <si>
    <t>Duration calculated correctly across DST</t>
  </si>
  <si>
    <t>INC-TC-160</t>
  </si>
  <si>
    <t>Incident spanning year boundary</t>
  </si>
  <si>
    <t>Incident reported Dec 31, resolved Jan 2</t>
  </si>
  <si>
    <t>Check date calculations</t>
  </si>
  <si>
    <t>Dates calculated correctly across year boundary</t>
  </si>
  <si>
    <t>INC-TC-161</t>
  </si>
  <si>
    <t>Very long incident (30+ days)</t>
  </si>
  <si>
    <t>Incident open for 35 days</t>
  </si>
  <si>
    <t>Check system handling</t>
  </si>
  <si>
    <t>Multiple escalations triggered, metrics tracked correctly</t>
  </si>
  <si>
    <t>INC-TC-162</t>
  </si>
  <si>
    <t>Incident with 100+ related items</t>
  </si>
  <si>
    <t>Incident linked to 100 releases and 50 action items</t>
  </si>
  <si>
    <t>Load incident details page</t>
  </si>
  <si>
    <t>Page loads in &lt; 3 seconds, items paginated</t>
  </si>
  <si>
    <t>INC-TC-163</t>
  </si>
  <si>
    <t>SQL injection in incident description</t>
  </si>
  <si>
    <t>Incident description field</t>
  </si>
  <si>
    <t>Enter: "'; DROP TABLE incidents;--"</t>
  </si>
  <si>
    <t>Input sanitised, no SQL execution</t>
  </si>
  <si>
    <t>XSS injection in incident fields</t>
  </si>
  <si>
    <t>Script tags escaped, no execution</t>
  </si>
  <si>
    <t>INC-TC-165</t>
  </si>
  <si>
    <t>Session timeout during incident edit</t>
  </si>
  <si>
    <t>User editing incident for 2+ hours</t>
  </si>
  <si>
    <t>Session expires, user clicks Save</t>
  </si>
  <si>
    <t>Session expired — log in to continue</t>
  </si>
  <si>
    <t>INC-TC-166</t>
  </si>
  <si>
    <t>Permission revoked while viewing incident</t>
  </si>
  <si>
    <t>User has access, admin revokes access</t>
  </si>
  <si>
    <t>User tries to save changes</t>
  </si>
  <si>
    <t>Access denied on save</t>
  </si>
  <si>
    <t>Your access to this incident has been revoked</t>
  </si>
  <si>
    <t>INC-TC-167</t>
  </si>
  <si>
    <t>Orphan prevention on release deletion</t>
  </si>
  <si>
    <t>Release with 5 linked incidents deleted</t>
  </si>
  <si>
    <t>Admin deletes release</t>
  </si>
  <si>
    <t>All 5 incidents archived, no orphan records</t>
  </si>
  <si>
    <t>Linked incidents archived on release deletion</t>
  </si>
  <si>
    <t>INC-TC-168</t>
  </si>
  <si>
    <t>Incident with maximum description length</t>
  </si>
  <si>
    <t>BV-String</t>
  </si>
  <si>
    <t>Enter 10,000 character description (max)</t>
  </si>
  <si>
    <t>INC-TC-169</t>
  </si>
  <si>
    <t>Incident description exceeds maximum length</t>
  </si>
  <si>
    <t>Enter 10,001 character description</t>
  </si>
  <si>
    <t>Description exceeds maximum length</t>
  </si>
  <si>
    <t>INC-TC-170</t>
  </si>
  <si>
    <t>INC-TC-171</t>
  </si>
  <si>
    <t>Rapid status transitions (state machine stress)</t>
  </si>
  <si>
    <t>Rapidly transition through all states</t>
  </si>
  <si>
    <t>All transitions logged correctly, no state corruption</t>
  </si>
  <si>
    <t>INC-TC-172</t>
  </si>
  <si>
    <t>Network failure during incident save</t>
  </si>
  <si>
    <t>User saving incident, network drops</t>
  </si>
  <si>
    <t>Previous save failed — please save again</t>
  </si>
  <si>
    <t>INC-TC-173</t>
  </si>
  <si>
    <t>Database timeout during incident read</t>
  </si>
  <si>
    <t>User loading incident, database times out</t>
  </si>
  <si>
    <t>INC-TC-174</t>
  </si>
  <si>
    <t>Bulk incident creation (10+ at once)</t>
  </si>
  <si>
    <t>Major outage, multiple incidents needed</t>
  </si>
  <si>
    <t>Create 15 incidents in rapid succession</t>
  </si>
  <si>
    <t>All created successfully, no duplicates</t>
  </si>
  <si>
    <t>Incident search with special characters</t>
  </si>
  <si>
    <t>Search</t>
  </si>
  <si>
    <t>Searching incidents</t>
  </si>
  <si>
    <t>Search for "test &amp; prod" (ampersand)</t>
  </si>
  <si>
    <t>Search handles special characters correctly</t>
  </si>
  <si>
    <t>Circular incident linking prevention</t>
  </si>
  <si>
    <t>Inc1 linked to Inc2, Inc2 linked to Inc3</t>
  </si>
  <si>
    <t>Try to link Inc3 to Inc1</t>
  </si>
  <si>
    <t>Blocked - circular chain detected</t>
  </si>
  <si>
    <t>Circular incident chain not allowed</t>
  </si>
  <si>
    <t>Incident attachment size limit</t>
  </si>
  <si>
    <t>BV-Size</t>
  </si>
  <si>
    <t>Attaching file to incident</t>
  </si>
  <si>
    <t>Upload 51MB file (limit = 50MB)</t>
  </si>
  <si>
    <t>Blocked - file too large</t>
  </si>
  <si>
    <t>Attachment exceeds maximum size (50MB)</t>
  </si>
  <si>
    <t>Unicode characters in incident fields</t>
  </si>
  <si>
    <t>I18N</t>
  </si>
  <si>
    <t>Enter description with Unicode: 日本語テスト</t>
  </si>
  <si>
    <t>Accepted, displayed correctly</t>
  </si>
  <si>
    <t>API rate limiting for incident operations</t>
  </si>
  <si>
    <t>API client making rapid requests</t>
  </si>
  <si>
    <t>Send 100 requests in 10 seconds</t>
  </si>
  <si>
    <t>Rate limited after threshold</t>
  </si>
  <si>
    <t>Rate limit exceeded - retry after X seconds</t>
  </si>
  <si>
    <t>Incident export with 1000+ records</t>
  </si>
  <si>
    <t>User requests incident export</t>
  </si>
  <si>
    <t>Export all 1500 incidents</t>
  </si>
  <si>
    <t>Export completes within reasonable time, file valid</t>
  </si>
  <si>
    <t>INCIDENT TEST SUITE SUMMARY</t>
  </si>
  <si>
    <t>Total Test Cases:</t>
  </si>
  <si>
    <t>By Type:</t>
  </si>
  <si>
    <t>Positive (P)</t>
  </si>
  <si>
    <t>Negative (N)</t>
  </si>
  <si>
    <t>Edge Case (E)</t>
  </si>
  <si>
    <t>By Priority:</t>
  </si>
  <si>
    <t>P1 (Critical)</t>
  </si>
  <si>
    <t>P2 (High)</t>
  </si>
  <si>
    <t>By Section:</t>
  </si>
  <si>
    <t>Rules Covered:</t>
  </si>
  <si>
    <t>✓</t>
  </si>
  <si>
    <t>VR-13 (Critical Incident Auto-Escalation)</t>
  </si>
  <si>
    <t>VR-33 (Open Incidents Block Closure)</t>
  </si>
  <si>
    <t>VR-34 (PIR Required Before Closure)</t>
  </si>
  <si>
    <t>VR-35 (Blocker Lock → Use Incidents)</t>
  </si>
  <si>
    <t>AV-06 (Incident Cascade to Release)</t>
  </si>
  <si>
    <t>CASC-03 (Incident → Release Cascade)</t>
  </si>
  <si>
    <t>CASC-05 (Orphan Prevention)</t>
  </si>
  <si>
    <t>ROLE-07 (Incident Severity Override)</t>
  </si>
  <si>
    <t>ALT-TC-001</t>
  </si>
  <si>
    <t>1. Alert Creation &amp; Lifecycle</t>
  </si>
  <si>
    <t>Alert created with Pending status</t>
  </si>
  <si>
    <t>System trigger condition met</t>
  </si>
  <si>
    <t>Alert generated by system</t>
  </si>
  <si>
    <t>Alert created with Status = Pending</t>
  </si>
  <si>
    <t>ALT-TC-002</t>
  </si>
  <si>
    <t>Alert types: Reminder, Warning, Escalation, Notification</t>
  </si>
  <si>
    <t>Various alert triggers</t>
  </si>
  <si>
    <t>Verify alert type classification</t>
  </si>
  <si>
    <t>Four alert types available and correctly classified</t>
  </si>
  <si>
    <t>ALT-TC-003</t>
  </si>
  <si>
    <t>Alert auto-generated on trigger condition</t>
  </si>
  <si>
    <t>AV Rules</t>
  </si>
  <si>
    <t>Alert trigger condition met (e.g., stale blocker)</t>
  </si>
  <si>
    <t>System background job runs</t>
  </si>
  <si>
    <t>Alert automatically created and linked to entity</t>
  </si>
  <si>
    <t>ALT-TC-004</t>
  </si>
  <si>
    <t>Transition Pending → Acknowledged</t>
  </si>
  <si>
    <t>Alert in Pending status</t>
  </si>
  <si>
    <t>User acknowledges alert</t>
  </si>
  <si>
    <t>Status changes to Acknowledged, stops repeat alerts</t>
  </si>
  <si>
    <t>ALT-TC-005</t>
  </si>
  <si>
    <t>Transition Pending → Dismissed</t>
  </si>
  <si>
    <t>User dismisses alert with reason</t>
  </si>
  <si>
    <t>Status changes to Dismissed (terminal)</t>
  </si>
  <si>
    <t>ALT-TC-006</t>
  </si>
  <si>
    <t>Transition Pending → Expired (auto)</t>
  </si>
  <si>
    <t>Alert in Pending status, TTL exceeded</t>
  </si>
  <si>
    <t>System expiry job runs</t>
  </si>
  <si>
    <t>Status auto-changes to Expired (terminal)</t>
  </si>
  <si>
    <t>Alert expired - no action taken</t>
  </si>
  <si>
    <t>ALT-TC-007</t>
  </si>
  <si>
    <t>Transition Acknowledged → Actioned</t>
  </si>
  <si>
    <t>Alert in Acknowledged status</t>
  </si>
  <si>
    <t>User takes action and completes</t>
  </si>
  <si>
    <t>Status changes to Actioned (terminal), audit trail captured</t>
  </si>
  <si>
    <t>ALT-TC-008</t>
  </si>
  <si>
    <t>Transition Acknowledged → Dismissed</t>
  </si>
  <si>
    <t>User decides no action needed</t>
  </si>
  <si>
    <t>Status changes to Dismissed (terminal), reason required</t>
  </si>
  <si>
    <t>ALT-TC-009</t>
  </si>
  <si>
    <t>Dismiss requires reason</t>
  </si>
  <si>
    <t>Alert in Pending or Acknowledged status</t>
  </si>
  <si>
    <t>Dismiss without providing reason</t>
  </si>
  <si>
    <t>Blocked - reason required</t>
  </si>
  <si>
    <t>Please provide a reason for dismissal</t>
  </si>
  <si>
    <t>ALT-TC-010</t>
  </si>
  <si>
    <t>Dismiss with reason accepted</t>
  </si>
  <si>
    <t>Dismiss with valid reason</t>
  </si>
  <si>
    <t>Alert dismissed, reason logged</t>
  </si>
  <si>
    <t>ALT-TC-011</t>
  </si>
  <si>
    <t>Actioned status is read-only</t>
  </si>
  <si>
    <t>Alert in Actioned status</t>
  </si>
  <si>
    <t>Attempt to edit alert</t>
  </si>
  <si>
    <t>Blocked - Actioned is read-only</t>
  </si>
  <si>
    <t>Completed alerts cannot be modified</t>
  </si>
  <si>
    <t>ALT-TC-012</t>
  </si>
  <si>
    <t>Dismissed status is read-only</t>
  </si>
  <si>
    <t>Alert in Dismissed status</t>
  </si>
  <si>
    <t>Attempt to reopen alert</t>
  </si>
  <si>
    <t>Blocked - Dismissed is terminal</t>
  </si>
  <si>
    <t>Dismissed alerts cannot be reopened</t>
  </si>
  <si>
    <t>ALT-TC-013</t>
  </si>
  <si>
    <t>Expired status is read-only</t>
  </si>
  <si>
    <t>Alert in Expired status</t>
  </si>
  <si>
    <t>Attempt to modify alert</t>
  </si>
  <si>
    <t>Blocked - Expired is terminal</t>
  </si>
  <si>
    <t>Expired alerts cannot be modified</t>
  </si>
  <si>
    <t>ALT-TC-014</t>
  </si>
  <si>
    <t>Alert links to source entity</t>
  </si>
  <si>
    <t>Alert Design</t>
  </si>
  <si>
    <t>Alert generated for release blocker</t>
  </si>
  <si>
    <t>View alert details</t>
  </si>
  <si>
    <t>Alert shows linked Release and Blocker references</t>
  </si>
  <si>
    <t>ALT-TC-015</t>
  </si>
  <si>
    <t>Alert timestamp auto-recorded</t>
  </si>
  <si>
    <t>System generates alert</t>
  </si>
  <si>
    <t>Check alert metadata</t>
  </si>
  <si>
    <t>Created timestamp auto-populated</t>
  </si>
  <si>
    <t>ALT-TC-016</t>
  </si>
  <si>
    <t>Alert recipient auto-assigned</t>
  </si>
  <si>
    <t>System generates alert for release issue</t>
  </si>
  <si>
    <t>Check recipient</t>
  </si>
  <si>
    <t>Alert assigned to Release Owner by default</t>
  </si>
  <si>
    <t>ALT-TC-017</t>
  </si>
  <si>
    <t>Invalid: Pending → Actioned (skip Acknowledged)</t>
  </si>
  <si>
    <t>Attempt to transition directly to Actioned</t>
  </si>
  <si>
    <t>Blocked - must acknowledge first</t>
  </si>
  <si>
    <t>Acknowledge alert before marking actioned</t>
  </si>
  <si>
    <t>ALT-TC-018</t>
  </si>
  <si>
    <t>Invalid: Expired → any status</t>
  </si>
  <si>
    <t>Attempt to transition to Acknowledged</t>
  </si>
  <si>
    <t>Expired alerts cannot be reactivated</t>
  </si>
  <si>
    <t>ALT-TC-019</t>
  </si>
  <si>
    <t>Alert TTL configurable by type</t>
  </si>
  <si>
    <t>System admin configures alert TTL</t>
  </si>
  <si>
    <t>Set TTL = 7 days for Reminders</t>
  </si>
  <si>
    <t>TTL applied to new Reminder alerts</t>
  </si>
  <si>
    <t>ALT-TC-020</t>
  </si>
  <si>
    <t>Alert priority inherited from source entity</t>
  </si>
  <si>
    <t>Critical severity incident triggers alert</t>
  </si>
  <si>
    <t>Check alert priority</t>
  </si>
  <si>
    <t>Alert marked as Critical priority</t>
  </si>
  <si>
    <t>ALT-TC-021</t>
  </si>
  <si>
    <t>2. Auto-Validation Alerts (AV-01 to AV-10)</t>
  </si>
  <si>
    <t>AV-01: Open blocker auto-blocks release</t>
  </si>
  <si>
    <t>Release in Testing status, linked blocker Status ≠ Resolved</t>
  </si>
  <si>
    <t>Release auto-set to Blocked, RM notified</t>
  </si>
  <si>
    <t>Release blocked due to open blocker</t>
  </si>
  <si>
    <t>ALT-TC-022</t>
  </si>
  <si>
    <t>AV-01: All blockers resolved - no block</t>
  </si>
  <si>
    <t>Release in Testing, all blockers Resolved/Closed</t>
  </si>
  <si>
    <t>ALT-TC-023</t>
  </si>
  <si>
    <t>AV-01: UAT status also scanned</t>
  </si>
  <si>
    <t>Release in UAT status, open blocker exists</t>
  </si>
  <si>
    <t>Release auto-set to Blocked</t>
  </si>
  <si>
    <t>ALT-TC-024</t>
  </si>
  <si>
    <t>AV-01: Non-Testing/UAT releases ignored</t>
  </si>
  <si>
    <t>Release in Planning status, open blocker exists</t>
  </si>
  <si>
    <t>Release status unchanged (not in scope)</t>
  </si>
  <si>
    <t>ALT-TC-025</t>
  </si>
  <si>
    <t>AV-02: High risk unmitigated 3+ days escalates</t>
  </si>
  <si>
    <t>High severity risk unmitigated for 4 days</t>
  </si>
  <si>
    <t>Escalation alert sent to Release Owner and manager</t>
  </si>
  <si>
    <t>ALT-TC-026</t>
  </si>
  <si>
    <t>AV-02: High risk at exactly 3 days escalates</t>
  </si>
  <si>
    <t>High severity risk unmitigated for exactly 72 hours</t>
  </si>
  <si>
    <t>Escalation alert triggered (at boundary)</t>
  </si>
  <si>
    <t>ALT-TC-027</t>
  </si>
  <si>
    <t>AV-02: High risk at 2 days - no escalation</t>
  </si>
  <si>
    <t>High severity risk unmitigated for 2 days</t>
  </si>
  <si>
    <t>No escalation (below threshold)</t>
  </si>
  <si>
    <t>ALT-TC-028</t>
  </si>
  <si>
    <t>AV-02: Medium risk - no escalation regardless of time</t>
  </si>
  <si>
    <t>Medium severity risk unmitigated for 10 days</t>
  </si>
  <si>
    <t>No escalation (Medium severity excluded)</t>
  </si>
  <si>
    <t>ALT-TC-029</t>
  </si>
  <si>
    <t>AV-03: Stale blocker alert after 5 working days</t>
  </si>
  <si>
    <t>Blocker in 'In Progress' for 6 working days</t>
  </si>
  <si>
    <t>Reminder alert sent to blocker owner</t>
  </si>
  <si>
    <t>Blocker stale - no progress in 5+ working days</t>
  </si>
  <si>
    <t>ALT-TC-030</t>
  </si>
  <si>
    <t>AV-03: Blocker at exactly 5 working days</t>
  </si>
  <si>
    <t>Blocker in 'In Progress' for exactly 5 working days</t>
  </si>
  <si>
    <t>No alert (threshold not exceeded)</t>
  </si>
  <si>
    <t>ALT-TC-031</t>
  </si>
  <si>
    <t>AV-03: Weekend days excluded from count</t>
  </si>
  <si>
    <t>Blocker opened Friday, checked Monday (3 calendar days)</t>
  </si>
  <si>
    <t>Counted as 1 working day, no alert</t>
  </si>
  <si>
    <t>ALT-TC-032</t>
  </si>
  <si>
    <t>AV-04: Dependency auto-set to Met on deploy</t>
  </si>
  <si>
    <t>Release A depends on Release B, B transitions to Deployed</t>
  </si>
  <si>
    <t>B deployment complete</t>
  </si>
  <si>
    <t>A's dependency on B auto-set to 'Met'</t>
  </si>
  <si>
    <t>Dependency met - Release B deployed</t>
  </si>
  <si>
    <t>ALT-TC-033</t>
  </si>
  <si>
    <t>AV-04: Dependency Met when dependency Closed</t>
  </si>
  <si>
    <t>Release A depends on Release B, B transitions to Closed</t>
  </si>
  <si>
    <t>B status changes</t>
  </si>
  <si>
    <t>A's dependency status auto-updated to 'Met'</t>
  </si>
  <si>
    <t>ALT-TC-034</t>
  </si>
  <si>
    <t>AV-05: Conflict auto-detected on same app</t>
  </si>
  <si>
    <t>Release A sets Deploy Date overlapping with Release B (same app)</t>
  </si>
  <si>
    <t>Conflict record auto-created</t>
  </si>
  <si>
    <t>Conflict detected with Release B</t>
  </si>
  <si>
    <t>ALT-TC-035</t>
  </si>
  <si>
    <t>AV-05: Conflict auto-detected on same environment</t>
  </si>
  <si>
    <t>Release A and B both deploy to PROD-1 in same window</t>
  </si>
  <si>
    <t>Environment conflict with Release B</t>
  </si>
  <si>
    <t>ALT-TC-036</t>
  </si>
  <si>
    <t>AV-05: No conflict for non-overlapping dates</t>
  </si>
  <si>
    <t>Release A deploys Jan 15, Release B deploys Jan 20</t>
  </si>
  <si>
    <t>Deploy Dates saved</t>
  </si>
  <si>
    <t>No conflict record created</t>
  </si>
  <si>
    <t>ALT-TC-037</t>
  </si>
  <si>
    <t>AV-06: Critical incident blocks release</t>
  </si>
  <si>
    <t>Incident status saved</t>
  </si>
  <si>
    <t>ALT-TC-038</t>
  </si>
  <si>
    <t>AV-06: Critical incident does not block Deploying</t>
  </si>
  <si>
    <t>Release in Deploying, Critical incident linked</t>
  </si>
  <si>
    <t>Release status unchanged (cannot interrupt deployment)</t>
  </si>
  <si>
    <t>ALT-TC-039</t>
  </si>
  <si>
    <t>AV-07: Environment double-booking blocked</t>
  </si>
  <si>
    <t>Environment slot already booked</t>
  </si>
  <si>
    <t>Second release tries same slot</t>
  </si>
  <si>
    <t>Booking blocked, conflict shown</t>
  </si>
  <si>
    <t>Environment slot already booked by Release X</t>
  </si>
  <si>
    <t>ALT-TC-040</t>
  </si>
  <si>
    <t>AV-08: Expired environment booking auto-released</t>
  </si>
  <si>
    <t>Environment booking End Time passed, release not Deploying</t>
  </si>
  <si>
    <t>Environment booking expired - slot released</t>
  </si>
  <si>
    <t>ALT-TC-041</t>
  </si>
  <si>
    <t>AV-08: Active deployment retains environment</t>
  </si>
  <si>
    <t>Environment booking End Time passed, release is Deploying</t>
  </si>
  <si>
    <t>Slot retained (deployment in progress)</t>
  </si>
  <si>
    <t>ALT-TC-042</t>
  </si>
  <si>
    <t>AV-09: Maintenance window alert 24h before</t>
  </si>
  <si>
    <t>Maintenance window in 23 hours, release overlaps</t>
  </si>
  <si>
    <t>T-minus check runs</t>
  </si>
  <si>
    <t>Warning notification sent to release owners</t>
  </si>
  <si>
    <t>Maintenance window in 24 hours</t>
  </si>
  <si>
    <t>ALT-TC-043</t>
  </si>
  <si>
    <t>AV-10: CAB reminder T-2 days</t>
  </si>
  <si>
    <t>CAB Date in 2 days, release not yet Pending CAB</t>
  </si>
  <si>
    <t>CAB submission deadline in 2 days</t>
  </si>
  <si>
    <t>ALT-TC-044</t>
  </si>
  <si>
    <t>3. Auto-Validation Alerts (AV-11 to AV-25)</t>
  </si>
  <si>
    <t>AV-11: Go-Live reminder T-1 day</t>
  </si>
  <si>
    <t>Release Go-Live date tomorrow</t>
  </si>
  <si>
    <t>Daily reminder job runs</t>
  </si>
  <si>
    <t>Go-Live reminder sent to stakeholders</t>
  </si>
  <si>
    <t>Go-Live scheduled for tomorrow</t>
  </si>
  <si>
    <t>ALT-TC-045</t>
  </si>
  <si>
    <t>AV-11: No reminder for Cancelled releases</t>
  </si>
  <si>
    <t>Go-Live date tomorrow but release Cancelled</t>
  </si>
  <si>
    <t>No reminder sent (Cancelled excluded)</t>
  </si>
  <si>
    <t>ALT-TC-046</t>
  </si>
  <si>
    <t>AV-13: Config drift detected</t>
  </si>
  <si>
    <t>Daily scan compares PROD config to baseline</t>
  </si>
  <si>
    <t>Drift detection job runs</t>
  </si>
  <si>
    <t>Drift record created, alert sent</t>
  </si>
  <si>
    <t>Configuration drift detected in [component]</t>
  </si>
  <si>
    <t>ALT-TC-047</t>
  </si>
  <si>
    <t>AV-13: No drift - baseline matches</t>
  </si>
  <si>
    <t>Daily scan, config matches baseline</t>
  </si>
  <si>
    <t>No drift record created</t>
  </si>
  <si>
    <t>ALT-TC-048</t>
  </si>
  <si>
    <t>AV-14: Unauthorized change alert</t>
  </si>
  <si>
    <t>Config change detected outside deploy window</t>
  </si>
  <si>
    <t>Security alert raised to Change Manager</t>
  </si>
  <si>
    <t>Unauthorized change detected outside deploy window</t>
  </si>
  <si>
    <t>ALT-TC-049</t>
  </si>
  <si>
    <t>AV-14: Change within deploy window - no alert</t>
  </si>
  <si>
    <t>Config change during active deploy window</t>
  </si>
  <si>
    <t>No security alert (authorized timeframe)</t>
  </si>
  <si>
    <t>ALT-TC-050</t>
  </si>
  <si>
    <t>AV-15: Weekly compliance snapshot generated</t>
  </si>
  <si>
    <t>Sunday midnight (snapshot time)</t>
  </si>
  <si>
    <t>Compliance snapshot created, summary sent</t>
  </si>
  <si>
    <t>Weekly compliance snapshot generated</t>
  </si>
  <si>
    <t>ALT-TC-051</t>
  </si>
  <si>
    <t>AV-17: External sync bidirectional updates</t>
  </si>
  <si>
    <t>Release updated in ReleaseDesk</t>
  </si>
  <si>
    <t>15-minute sync job runs</t>
  </si>
  <si>
    <t>Change pushed to Jira/ServiceNow</t>
  </si>
  <si>
    <t>Sync complete: [fields] updated in external system</t>
  </si>
  <si>
    <t>ALT-TC-052</t>
  </si>
  <si>
    <t>AV-17: Inbound sync updates ReleaseDesk</t>
  </si>
  <si>
    <t>External system updated a linked entity</t>
  </si>
  <si>
    <t>Change pulled into ReleaseDesk</t>
  </si>
  <si>
    <t>Sync complete: [fields] updated from external system</t>
  </si>
  <si>
    <t>ALT-TC-053</t>
  </si>
  <si>
    <t>AV-17: Sync conflict resolved by latest timestamp</t>
  </si>
  <si>
    <t>Both systems updated same field in same window</t>
  </si>
  <si>
    <t>Sync job runs</t>
  </si>
  <si>
    <t>Latest timestamp wins, other update logged</t>
  </si>
  <si>
    <t>Conflict resolved - latest update applied</t>
  </si>
  <si>
    <t>ALT-TC-054</t>
  </si>
  <si>
    <t>AV-19: Release health RED on open blocker</t>
  </si>
  <si>
    <t>Release with Status != Blocked, has open blocker</t>
  </si>
  <si>
    <t>Health calc runs</t>
  </si>
  <si>
    <t>Release_Health set to RED</t>
  </si>
  <si>
    <t>ALT-TC-055</t>
  </si>
  <si>
    <t>AV-19: Release health YELLOW on unmitigated risk</t>
  </si>
  <si>
    <t>Release with no blockers, High risk unmitigated</t>
  </si>
  <si>
    <t>Release_Health set to YELLOW</t>
  </si>
  <si>
    <t>ALT-TC-056</t>
  </si>
  <si>
    <t>AV-19: Release health GREEN when clear</t>
  </si>
  <si>
    <t>Release with no blockers, no unmitigated high risks</t>
  </si>
  <si>
    <t>Release_Health set to GREEN</t>
  </si>
  <si>
    <t>ALT-TC-057</t>
  </si>
  <si>
    <t>AV-20: Readiness percentage recalculated</t>
  </si>
  <si>
    <t>Checklist item completed</t>
  </si>
  <si>
    <t>On-commit trigger fires</t>
  </si>
  <si>
    <t>Readiness_Pct recalculated</t>
  </si>
  <si>
    <t>ALT-TC-058</t>
  </si>
  <si>
    <t>AV-20: Readiness = 100% when all complete</t>
  </si>
  <si>
    <t>All mandatory checklist items marked done</t>
  </si>
  <si>
    <t>Readiness_Pct = 100</t>
  </si>
  <si>
    <t>ALT-TC-059</t>
  </si>
  <si>
    <t>AV-21: Stale release alert after 14 days</t>
  </si>
  <si>
    <t>Release with no activity for 15 days</t>
  </si>
  <si>
    <t>Daily stale check runs</t>
  </si>
  <si>
    <t>Alert sent to Release Owner</t>
  </si>
  <si>
    <t>Release inactive for 14+ days</t>
  </si>
  <si>
    <t>ALT-TC-060</t>
  </si>
  <si>
    <t>AV-21: Activity resets stale timer</t>
  </si>
  <si>
    <t>Release with activity 5 days ago (previously stale)</t>
  </si>
  <si>
    <t>No alert (timer reset)</t>
  </si>
  <si>
    <t>ALT-TC-061</t>
  </si>
  <si>
    <t>AV-21: Deployed/Closed releases excluded</t>
  </si>
  <si>
    <t>Deployed release with no activity for 30 days</t>
  </si>
  <si>
    <t>No alert (terminal status excluded)</t>
  </si>
  <si>
    <t>ALT-TC-062</t>
  </si>
  <si>
    <t>AV-22: Approval expires after 30 days</t>
  </si>
  <si>
    <t>Approval timestamp 31 days ago</t>
  </si>
  <si>
    <t>Daily expiry job runs</t>
  </si>
  <si>
    <t>Approval auto-revoked, resubmission required</t>
  </si>
  <si>
    <t>Approval expired - resubmission required</t>
  </si>
  <si>
    <t>ALT-TC-063</t>
  </si>
  <si>
    <t>AV-22: Approval at exactly 30 days valid</t>
  </si>
  <si>
    <t>Approval timestamp exactly 30 days ago</t>
  </si>
  <si>
    <t>Approval still valid (at boundary)</t>
  </si>
  <si>
    <t>ALT-TC-064</t>
  </si>
  <si>
    <t>AV-23: Blocker resolution unblocks release</t>
  </si>
  <si>
    <t>Release Blocked due to blocker, blocker resolved</t>
  </si>
  <si>
    <t>Release auto-transitions to previous status, RM notified</t>
  </si>
  <si>
    <t>Blocker resolved - release unblocked</t>
  </si>
  <si>
    <t>ALT-TC-065</t>
  </si>
  <si>
    <t>AV-23: Multiple blockers - release stays blocked</t>
  </si>
  <si>
    <t>Release Blocked with 2 blockers, one resolved</t>
  </si>
  <si>
    <t>Release remains Blocked (other blocker open)</t>
  </si>
  <si>
    <t>ALT-TC-066</t>
  </si>
  <si>
    <t>AV-25: Notification throttling triggered</t>
  </si>
  <si>
    <t>System generates 15 alerts for same user in 30 seconds</t>
  </si>
  <si>
    <t>Notification dispatch runs</t>
  </si>
  <si>
    <t>Alerts batched into single digest notification</t>
  </si>
  <si>
    <t>Multiple alerts batched - see summary</t>
  </si>
  <si>
    <t>ALT-TC-067</t>
  </si>
  <si>
    <t>AV-25: Under threshold - individual alerts sent</t>
  </si>
  <si>
    <t>System generates 5 alerts in 30 seconds</t>
  </si>
  <si>
    <t>Individual notifications sent (below threshold)</t>
  </si>
  <si>
    <t>ALT-TC-068</t>
  </si>
  <si>
    <t>4. Config Drift Detection &amp; Lifecycle</t>
  </si>
  <si>
    <t>Drift created with Detected status</t>
  </si>
  <si>
    <t>Config drift scanner finds discrepancy</t>
  </si>
  <si>
    <t>Drift record auto-generated</t>
  </si>
  <si>
    <t>Drift created with Status = Detected</t>
  </si>
  <si>
    <t>ALT-TC-069</t>
  </si>
  <si>
    <t>Transition Detected → Investigating</t>
  </si>
  <si>
    <t>Drift in Detected status</t>
  </si>
  <si>
    <t>Admin assigns drift for investigation</t>
  </si>
  <si>
    <t>Status changes to Investigating, owner assigned</t>
  </si>
  <si>
    <t>ALT-TC-070</t>
  </si>
  <si>
    <t>Transition Investigating → Approved</t>
  </si>
  <si>
    <t>Drift in Investigating status, change authorized</t>
  </si>
  <si>
    <t>Admin approves drift</t>
  </si>
  <si>
    <t>Status changes to Approved, baseline updated</t>
  </si>
  <si>
    <t>Drift approved - baseline updated</t>
  </si>
  <si>
    <t>ALT-TC-071</t>
  </si>
  <si>
    <t>Transition Investigating → Reverted</t>
  </si>
  <si>
    <t>Drift in Investigating status, change unauthorized</t>
  </si>
  <si>
    <t>Admin triggers revert</t>
  </si>
  <si>
    <t>Status changes to Reverted, config rollback initiated</t>
  </si>
  <si>
    <t>Drift reverted to baseline</t>
  </si>
  <si>
    <t>ALT-TC-072</t>
  </si>
  <si>
    <t>Drift requires higher approval</t>
  </si>
  <si>
    <t>Admin escalates drift</t>
  </si>
  <si>
    <t>Status changes to Escalated, manager notified</t>
  </si>
  <si>
    <t>Drift escalated for approval</t>
  </si>
  <si>
    <t>ALT-TC-073</t>
  </si>
  <si>
    <t>Manager requests more investigation</t>
  </si>
  <si>
    <t>Manager returns drift for review</t>
  </si>
  <si>
    <t>Status returns to Investigating</t>
  </si>
  <si>
    <t>ALT-TC-074</t>
  </si>
  <si>
    <t>Transition Escalated → Approved</t>
  </si>
  <si>
    <t>Manager approves escalated drift</t>
  </si>
  <si>
    <t>Manager clicks Approve</t>
  </si>
  <si>
    <t>ALT-TC-075</t>
  </si>
  <si>
    <t>Transition Escalated → Reverted</t>
  </si>
  <si>
    <t>Manager rejects escalated drift</t>
  </si>
  <si>
    <t>Manager clicks Revert</t>
  </si>
  <si>
    <t>Status changes to Reverted, rollback initiated</t>
  </si>
  <si>
    <t>ALT-TC-076</t>
  </si>
  <si>
    <t>Invalid: Detected → Approved (skip investigating)</t>
  </si>
  <si>
    <t>Attempt to directly approve</t>
  </si>
  <si>
    <t>Cannot approve drift without investigation</t>
  </si>
  <si>
    <t>ALT-TC-077</t>
  </si>
  <si>
    <t>Invalid: Approved → any status</t>
  </si>
  <si>
    <t>Drift in Approved status (terminal)</t>
  </si>
  <si>
    <t>Blocked - Approved is terminal</t>
  </si>
  <si>
    <t>Approved drifts cannot be modified</t>
  </si>
  <si>
    <t>ALT-TC-078</t>
  </si>
  <si>
    <t>Invalid: Reverted → any status</t>
  </si>
  <si>
    <t>Drift in Reverted status (terminal)</t>
  </si>
  <si>
    <t>Blocked - Reverted is terminal</t>
  </si>
  <si>
    <t>Reverted drifts cannot be reopened</t>
  </si>
  <si>
    <t>ALT-TC-079</t>
  </si>
  <si>
    <t>Drift linked to component</t>
  </si>
  <si>
    <t>Drift Design</t>
  </si>
  <si>
    <t>Drift detected in Config-Component-123</t>
  </si>
  <si>
    <t>View drift details</t>
  </si>
  <si>
    <t>Component reference visible and clickable</t>
  </si>
  <si>
    <t>ALT-TC-080</t>
  </si>
  <si>
    <t>Drift shows before/after config</t>
  </si>
  <si>
    <t>Drift record exists</t>
  </si>
  <si>
    <t>View drift comparison</t>
  </si>
  <si>
    <t>Baseline (before) and current (after) configs displayed</t>
  </si>
  <si>
    <t>ALT-TC-081</t>
  </si>
  <si>
    <t>Drift auto-revert triggers config sync</t>
  </si>
  <si>
    <t>Drift marked for revert</t>
  </si>
  <si>
    <t>Revert action executed</t>
  </si>
  <si>
    <t>Config management system receives rollback command</t>
  </si>
  <si>
    <t>Configuration rollback initiated</t>
  </si>
  <si>
    <t>ALT-TC-082</t>
  </si>
  <si>
    <t>Multiple drifts same component aggregated</t>
  </si>
  <si>
    <t>Daily scan detects 3 changes to same component</t>
  </si>
  <si>
    <t>Drift detection runs</t>
  </si>
  <si>
    <t>Single drift record with aggregated changes</t>
  </si>
  <si>
    <t>ALT-TC-083</t>
  </si>
  <si>
    <t>Drift detection respects exclusion list</t>
  </si>
  <si>
    <t>Component on drift exclusion list</t>
  </si>
  <si>
    <t>No drift record created for excluded component</t>
  </si>
  <si>
    <t>ALT-TC-084</t>
  </si>
  <si>
    <t>Critical drift auto-escalates</t>
  </si>
  <si>
    <t>Drift in production security configuration</t>
  </si>
  <si>
    <t>Drift detected</t>
  </si>
  <si>
    <t>Drift auto-escalated, security team notified</t>
  </si>
  <si>
    <t>Critical drift auto-escalated</t>
  </si>
  <si>
    <t>ALT-TC-085</t>
  </si>
  <si>
    <t>Drift approval requires reason</t>
  </si>
  <si>
    <t>Drift in Investigating status</t>
  </si>
  <si>
    <t>Approve without reason</t>
  </si>
  <si>
    <t>Blocked - approval reason required</t>
  </si>
  <si>
    <t>Please provide approval justification</t>
  </si>
  <si>
    <t>ALT-TC-086</t>
  </si>
  <si>
    <t>Drift approval with valid reason</t>
  </si>
  <si>
    <t>Approve with justification</t>
  </si>
  <si>
    <t>Drift approved, reason logged for audit</t>
  </si>
  <si>
    <t>ALT-TC-087</t>
  </si>
  <si>
    <t>Drift audit trail captures all actions</t>
  </si>
  <si>
    <t>Drift transitions through multiple states</t>
  </si>
  <si>
    <t>View drift history</t>
  </si>
  <si>
    <t>All status changes, actors, timestamps visible</t>
  </si>
  <si>
    <t>ALT-TC-088</t>
  </si>
  <si>
    <t>Drift escalation timeout auto-action</t>
  </si>
  <si>
    <t>Escalated drift with no response for 48 hours</t>
  </si>
  <si>
    <t>Escalation timeout job runs</t>
  </si>
  <si>
    <t>Auto-escalate to security team</t>
  </si>
  <si>
    <t>Drift escalation timed out - security team notified</t>
  </si>
  <si>
    <t>ALT-TC-089</t>
  </si>
  <si>
    <t>Revert failure handling</t>
  </si>
  <si>
    <t>Revert command fails at config system</t>
  </si>
  <si>
    <t>Rollback response received</t>
  </si>
  <si>
    <t>Drift remains Investigating, error logged, admin notified</t>
  </si>
  <si>
    <t>Revert failed - manual intervention required</t>
  </si>
  <si>
    <t>ALT-TC-090</t>
  </si>
  <si>
    <t>5. External System Sync (SYNC Rules)</t>
  </si>
  <si>
    <t>SYNC-01: Full-duplex sync every 15 minutes</t>
  </si>
  <si>
    <t>External system (Jira) has linked entities</t>
  </si>
  <si>
    <t>15-minute sync timer fires</t>
  </si>
  <si>
    <t>Bidirectional sync executed successfully</t>
  </si>
  <si>
    <t>Sync completed: [n] entities synced</t>
  </si>
  <si>
    <t>ALT-TC-091</t>
  </si>
  <si>
    <t>SYNC-02: Echo prevention on outbound sync</t>
  </si>
  <si>
    <t>Change made in ReleaseDesk, synced to Jira</t>
  </si>
  <si>
    <t>Jira sends webhook back for same change</t>
  </si>
  <si>
    <t>Echo detected, duplicate update skipped</t>
  </si>
  <si>
    <t>ALT-TC-092</t>
  </si>
  <si>
    <t>SYNC-02: Echo detection by change ID</t>
  </si>
  <si>
    <t>Outbound sync includes change ID</t>
  </si>
  <si>
    <t>Inbound webhook with same change ID</t>
  </si>
  <si>
    <t>Change ID matched, no re-application</t>
  </si>
  <si>
    <t>ALT-TC-093</t>
  </si>
  <si>
    <t>SYNC-03: Conflict resolution - latest timestamp wins</t>
  </si>
  <si>
    <t>Same field updated in both systems within sync window</t>
  </si>
  <si>
    <t>Sync reconciliation runs</t>
  </si>
  <si>
    <t>Most recent timestamp's value applied to both</t>
  </si>
  <si>
    <t>Conflict resolved: [field] updated to [value]</t>
  </si>
  <si>
    <t>ALT-TC-094</t>
  </si>
  <si>
    <t>SYNC-03: Timestamp tie uses internal value</t>
  </si>
  <si>
    <t>Same field updated at exact same timestamp</t>
  </si>
  <si>
    <t>Internal (ReleaseDesk) value takes precedence</t>
  </si>
  <si>
    <t>ALT-TC-095</t>
  </si>
  <si>
    <t>SYNC-04: Retry on sync failure (5 min)</t>
  </si>
  <si>
    <t>Initial sync attempt fails (timeout)</t>
  </si>
  <si>
    <t>System schedules retry</t>
  </si>
  <si>
    <t>Retry attempted after 5 minutes</t>
  </si>
  <si>
    <t>Sync retry scheduled in 5 minutes</t>
  </si>
  <si>
    <t>ALT-TC-096</t>
  </si>
  <si>
    <t>SYNC-04: Exponential backoff 5-15-30-60</t>
  </si>
  <si>
    <t>First three retries fail</t>
  </si>
  <si>
    <t>Fourth retry scheduled</t>
  </si>
  <si>
    <t>Retry intervals follow 5, 15, 30, 60 minute pattern</t>
  </si>
  <si>
    <t>ALT-TC-097</t>
  </si>
  <si>
    <t>SYNC-04: Max retries exhausted alert</t>
  </si>
  <si>
    <t>All retry attempts failed (after 60 min)</t>
  </si>
  <si>
    <t>Final retry fails</t>
  </si>
  <si>
    <t>Alert sent to system admin, sync marked failed</t>
  </si>
  <si>
    <t>Sync failed after maximum retries - manual intervention required</t>
  </si>
  <si>
    <t>ALT-TC-098</t>
  </si>
  <si>
    <t>SYNC-05: Checkpoint recovery after crash</t>
  </si>
  <si>
    <t>Sync job crashes mid-execution</t>
  </si>
  <si>
    <t>System restarts, sync resumes</t>
  </si>
  <si>
    <t>Sync continues from last checkpoint, no duplicates</t>
  </si>
  <si>
    <t>Sync resumed from checkpoint</t>
  </si>
  <si>
    <t>ALT-TC-099</t>
  </si>
  <si>
    <t>SYNC-05: No duplicates on checkpoint recovery</t>
  </si>
  <si>
    <t>Crash after processing 50 of 100 entities</t>
  </si>
  <si>
    <t>Sync resumes</t>
  </si>
  <si>
    <t>Only remaining 50 entities processed</t>
  </si>
  <si>
    <t>ALT-TC-100</t>
  </si>
  <si>
    <t>External API returns 429 Too Many Requests</t>
  </si>
  <si>
    <t>Sync job processes response</t>
  </si>
  <si>
    <t>Sync pauses, respects retry-after header</t>
  </si>
  <si>
    <t>Rate limit hit - backing off</t>
  </si>
  <si>
    <t>ALT-TC-101</t>
  </si>
  <si>
    <t>Large number of entities to sync</t>
  </si>
  <si>
    <t>Entities batched to avoid rate limits</t>
  </si>
  <si>
    <t>ALT-TC-102</t>
  </si>
  <si>
    <t>External system sends unmapped field</t>
  </si>
  <si>
    <t>Sync processes payload</t>
  </si>
  <si>
    <t>Unknown field logged, not persisted</t>
  </si>
  <si>
    <t>Unknown field [name] ignored</t>
  </si>
  <si>
    <t>ALT-TC-103</t>
  </si>
  <si>
    <t>External payload missing required Release Name</t>
  </si>
  <si>
    <t>Entity sync blocked, error logged</t>
  </si>
  <si>
    <t>Required field missing: Release Name</t>
  </si>
  <si>
    <t>ALT-TC-104</t>
  </si>
  <si>
    <t>Outbound change triggers webhook</t>
  </si>
  <si>
    <t>External system responds 200 OK</t>
  </si>
  <si>
    <t>Webhook marked delivered</t>
  </si>
  <si>
    <t>ALT-TC-105</t>
  </si>
  <si>
    <t>Webhook returns 500 error</t>
  </si>
  <si>
    <t>Webhook retried with backoff</t>
  </si>
  <si>
    <t>Webhook delivery failed - retrying</t>
  </si>
  <si>
    <t>ALT-TC-106</t>
  </si>
  <si>
    <t>ALT-TC-107</t>
  </si>
  <si>
    <t>ALT-TC-108</t>
  </si>
  <si>
    <t>ALT-TC-109</t>
  </si>
  <si>
    <t>ALT-TC-110</t>
  </si>
  <si>
    <t>Sync creates new entity when not found</t>
  </si>
  <si>
    <t>External system has entity not in ReleaseDesk</t>
  </si>
  <si>
    <t>New entity created with synced data</t>
  </si>
  <si>
    <t>New entity created from external system</t>
  </si>
  <si>
    <t>ALT-TC-111</t>
  </si>
  <si>
    <t>Sync deletes tombstoned entities</t>
  </si>
  <si>
    <t>External entity marked as deleted</t>
  </si>
  <si>
    <t>Local entity soft-deleted (tombstoned)</t>
  </si>
  <si>
    <t>Entity deleted via external sync</t>
  </si>
  <si>
    <t>ALT-TC-112</t>
  </si>
  <si>
    <t>6. Notification &amp; Escalation Rules</t>
  </si>
  <si>
    <t>NOTIF-01: Status transition notification</t>
  </si>
  <si>
    <t>Release transitions from Testing to UAT</t>
  </si>
  <si>
    <t>Status update committed</t>
  </si>
  <si>
    <t>Release [name] status changed to UAT</t>
  </si>
  <si>
    <t>ALT-TC-113</t>
  </si>
  <si>
    <t>NOTIF-01: Notification includes release link</t>
  </si>
  <si>
    <t>Status transition triggers notification</t>
  </si>
  <si>
    <t>View notification</t>
  </si>
  <si>
    <t>Notification contains clickable link to release</t>
  </si>
  <si>
    <t>ALT-TC-114</t>
  </si>
  <si>
    <t>Release submitted for CAB approval</t>
  </si>
  <si>
    <t>Submission committed</t>
  </si>
  <si>
    <t>Notification sent to CAB members</t>
  </si>
  <si>
    <t>Approval required: Release [name]</t>
  </si>
  <si>
    <t>ALT-TC-115</t>
  </si>
  <si>
    <t>Approval committed</t>
  </si>
  <si>
    <t>Notification sent to Release Owner</t>
  </si>
  <si>
    <t>Release [name] approved</t>
  </si>
  <si>
    <t>ALT-TC-116</t>
  </si>
  <si>
    <t>Rejection committed</t>
  </si>
  <si>
    <t>Notification sent with rejection reason</t>
  </si>
  <si>
    <t>Release [name] rejected: [reason]</t>
  </si>
  <si>
    <t>ALT-TC-117</t>
  </si>
  <si>
    <t>Blocker linked to release</t>
  </si>
  <si>
    <t>Blocker saved</t>
  </si>
  <si>
    <t>Release Owner notified of new blocker</t>
  </si>
  <si>
    <t>New blocker added to release [name]</t>
  </si>
  <si>
    <t>ALT-TC-118</t>
  </si>
  <si>
    <t>ALT-TC-119</t>
  </si>
  <si>
    <t>Escalation group and manager notified</t>
  </si>
  <si>
    <t>Critical incident escalated: [id]</t>
  </si>
  <si>
    <t>ALT-TC-120</t>
  </si>
  <si>
    <t>ALT-TC-121</t>
  </si>
  <si>
    <t>Release transitions to Deploying</t>
  </si>
  <si>
    <t>Status change committed</t>
  </si>
  <si>
    <t>Deployment started: Release [name]</t>
  </si>
  <si>
    <t>ALT-TC-122</t>
  </si>
  <si>
    <t>Release transitions to Deployed</t>
  </si>
  <si>
    <t>Deployment complete: Release [name]</t>
  </si>
  <si>
    <t>ALT-TC-123</t>
  </si>
  <si>
    <t>Escalation path: RM → Line Manager → Director</t>
  </si>
  <si>
    <t>Escalation</t>
  </si>
  <si>
    <t>Issue unresolved after first escalation</t>
  </si>
  <si>
    <t>Second escalation triggered</t>
  </si>
  <si>
    <t>Escalation follows defined hierarchy</t>
  </si>
  <si>
    <t>ALT-TC-124</t>
  </si>
  <si>
    <t>Escalation timeout configurable</t>
  </si>
  <si>
    <t>Admin sets escalation timeout to 4 hours</t>
  </si>
  <si>
    <t>Unacknowledged alert after 4 hours</t>
  </si>
  <si>
    <t>Auto-escalation triggered at configured time</t>
  </si>
  <si>
    <t>ALT-TC-125</t>
  </si>
  <si>
    <t>Notification channel preference respected</t>
  </si>
  <si>
    <t>User prefers Slack over email</t>
  </si>
  <si>
    <t>Notification sent to Slack, not email</t>
  </si>
  <si>
    <t>ALT-TC-126</t>
  </si>
  <si>
    <t>Notification suppression during quiet hours</t>
  </si>
  <si>
    <t>Non-critical alert at 2:00 AM, quiet hours enabled</t>
  </si>
  <si>
    <t>Alert generated</t>
  </si>
  <si>
    <t>Notification queued until quiet hours end</t>
  </si>
  <si>
    <t>ALT-TC-127</t>
  </si>
  <si>
    <t>Critical notifications bypass quiet hours</t>
  </si>
  <si>
    <t>Critical alert at 2:00 AM, quiet hours enabled</t>
  </si>
  <si>
    <t>Notification sent immediately (critical override)</t>
  </si>
  <si>
    <t>ALT-TC-128</t>
  </si>
  <si>
    <t>Notification delivery retry on failure</t>
  </si>
  <si>
    <t>Email server temporarily unavailable</t>
  </si>
  <si>
    <t>Notification fails</t>
  </si>
  <si>
    <t>Retry scheduled with backoff</t>
  </si>
  <si>
    <t>Notification delivery failed - retrying</t>
  </si>
  <si>
    <t>ALT-TC-129</t>
  </si>
  <si>
    <t>Notification includes action buttons</t>
  </si>
  <si>
    <t>Approval request notification sent</t>
  </si>
  <si>
    <t>Approve/Reject buttons included in notification</t>
  </si>
  <si>
    <t>ALT-TC-130</t>
  </si>
  <si>
    <t>Duplicate notification suppression</t>
  </si>
  <si>
    <t>Same event triggers multiple notifications</t>
  </si>
  <si>
    <t>Deduplication check runs</t>
  </si>
  <si>
    <t>Only one notification sent (duplicates suppressed)</t>
  </si>
  <si>
    <t>ALT-TC-131</t>
  </si>
  <si>
    <t>Notification history audit trail</t>
  </si>
  <si>
    <t>User receives multiple notifications</t>
  </si>
  <si>
    <t>View notification history</t>
  </si>
  <si>
    <t>All sent notifications visible with timestamps</t>
  </si>
  <si>
    <t>ALT-TC-132</t>
  </si>
  <si>
    <t>Unsubscribe from non-critical notifications</t>
  </si>
  <si>
    <t>User opts out of reminder notifications</t>
  </si>
  <si>
    <t>CAB reminder generated</t>
  </si>
  <si>
    <t>User not notified (preference respected)</t>
  </si>
  <si>
    <t>ALT-TC-133</t>
  </si>
  <si>
    <t>Cannot unsubscribe from critical notifications</t>
  </si>
  <si>
    <t>User tries to opt out of incident escalations</t>
  </si>
  <si>
    <t>Attempt to unsubscribe</t>
  </si>
  <si>
    <t>Blocked - critical notifications mandatory</t>
  </si>
  <si>
    <t>ALT-TC-134</t>
  </si>
  <si>
    <t>7. Alert Permissions &amp; Visibility</t>
  </si>
  <si>
    <t>Release Owner can view own release alerts</t>
  </si>
  <si>
    <t>ROLE Permissions</t>
  </si>
  <si>
    <t>User is Release Owner for Release A</t>
  </si>
  <si>
    <t>View alerts</t>
  </si>
  <si>
    <t>Alerts for Release A visible</t>
  </si>
  <si>
    <t>ALT-TC-135</t>
  </si>
  <si>
    <t>Release Owner cannot view other release alerts</t>
  </si>
  <si>
    <t>User is Release Owner for Release A only</t>
  </si>
  <si>
    <t>Attempt to view Release B alerts</t>
  </si>
  <si>
    <t>Access denied to Release B alerts</t>
  </si>
  <si>
    <t>You do not have access to this release</t>
  </si>
  <si>
    <t>ALT-TC-136</t>
  </si>
  <si>
    <t>ALT-TC-137</t>
  </si>
  <si>
    <t>System Admin sees all alerts</t>
  </si>
  <si>
    <t>User has System Admin role</t>
  </si>
  <si>
    <t>View alerts dashboard</t>
  </si>
  <si>
    <t>All alerts across all entities visible</t>
  </si>
  <si>
    <t>ALT-TC-138</t>
  </si>
  <si>
    <t>Viewer role can see but not action alerts</t>
  </si>
  <si>
    <t>User has Viewer role on release</t>
  </si>
  <si>
    <t>Attempt to acknowledge alert</t>
  </si>
  <si>
    <t>Blocked - read-only access</t>
  </si>
  <si>
    <t>You do not have permission to action alerts</t>
  </si>
  <si>
    <t>ALT-TC-139</t>
  </si>
  <si>
    <t>Only alert owner can dismiss alert</t>
  </si>
  <si>
    <t>Alert assigned to User A</t>
  </si>
  <si>
    <t>User B tries to dismiss</t>
  </si>
  <si>
    <t>Blocked - only owner can dismiss</t>
  </si>
  <si>
    <t>Only the alert owner can dismiss this alert</t>
  </si>
  <si>
    <t>ALT-TC-140</t>
  </si>
  <si>
    <t>Manager can action subordinate's alerts</t>
  </si>
  <si>
    <t>Alert assigned to direct report</t>
  </si>
  <si>
    <t>Manager actions alert</t>
  </si>
  <si>
    <t>Action permitted (management override)</t>
  </si>
  <si>
    <t>ALT-TC-141</t>
  </si>
  <si>
    <t>Escalated alerts visible to escalation chain</t>
  </si>
  <si>
    <t>Alert escalated to Director</t>
  </si>
  <si>
    <t>Director views alerts</t>
  </si>
  <si>
    <t>Escalated alert visible in Director's queue</t>
  </si>
  <si>
    <t>ALT-TC-142</t>
  </si>
  <si>
    <t>Confidential release alerts restricted</t>
  </si>
  <si>
    <t>Release marked Confidential</t>
  </si>
  <si>
    <t>Non-authorized user views alerts</t>
  </si>
  <si>
    <t>Alert content hidden (metadata only)</t>
  </si>
  <si>
    <t>Access restricted - confidential release</t>
  </si>
  <si>
    <t>ALT-TC-143</t>
  </si>
  <si>
    <t>Drift alerts visible to security team</t>
  </si>
  <si>
    <t>Config drift detected</t>
  </si>
  <si>
    <t>Security team member views alerts</t>
  </si>
  <si>
    <t>Drift alert visible and actionable</t>
  </si>
  <si>
    <t>ALT-TC-144</t>
  </si>
  <si>
    <t>Non-security user cannot see drift details</t>
  </si>
  <si>
    <t>Config drift alert exists</t>
  </si>
  <si>
    <t>Standard user views alert</t>
  </si>
  <si>
    <t>Basic alert visible, config diff hidden</t>
  </si>
  <si>
    <t>Detailed configuration diff requires security access</t>
  </si>
  <si>
    <t>ALT-TC-145</t>
  </si>
  <si>
    <t>Alert filter by assigned user</t>
  </si>
  <si>
    <t>Alert UI</t>
  </si>
  <si>
    <t>User has 5 alerts assigned, 10 total visible</t>
  </si>
  <si>
    <t>Filter by 'My Alerts'</t>
  </si>
  <si>
    <t>Only 5 assigned alerts shown</t>
  </si>
  <si>
    <t>ALT-TC-146</t>
  </si>
  <si>
    <t>Alert filter by status</t>
  </si>
  <si>
    <t>Mix of Pending, Acknowledged, Actioned alerts</t>
  </si>
  <si>
    <t>Filter by Pending only</t>
  </si>
  <si>
    <t>Only Pending alerts displayed</t>
  </si>
  <si>
    <t>ALT-TC-147</t>
  </si>
  <si>
    <t>Alert filter by type</t>
  </si>
  <si>
    <t>Mix of Reminder, Warning, Escalation alerts</t>
  </si>
  <si>
    <t>Filter by Escalation type</t>
  </si>
  <si>
    <t>Only Escalation alerts displayed</t>
  </si>
  <si>
    <t>ALT-TC-148</t>
  </si>
  <si>
    <t>Alert sort by priority</t>
  </si>
  <si>
    <t>Alerts with P1, P2, P3 priorities</t>
  </si>
  <si>
    <t>Sort by priority descending</t>
  </si>
  <si>
    <t>P1 alerts displayed first</t>
  </si>
  <si>
    <t>ALT-TC-149</t>
  </si>
  <si>
    <t>Alert dashboard shows count badges</t>
  </si>
  <si>
    <t>User has 3 Pending alerts</t>
  </si>
  <si>
    <t>View dashboard header</t>
  </si>
  <si>
    <t>Badge shows '3' next to Alerts icon</t>
  </si>
  <si>
    <t>ALT-TC-150</t>
  </si>
  <si>
    <t>Alert count badge updates real-time</t>
  </si>
  <si>
    <t>New alert generated while dashboard open</t>
  </si>
  <si>
    <t>Observe badge</t>
  </si>
  <si>
    <t>Count increments without page refresh (websocket)</t>
  </si>
  <si>
    <t>ALT-TC-151</t>
  </si>
  <si>
    <t>Permission revocation hides alerts</t>
  </si>
  <si>
    <t>User's release access revoked mid-session</t>
  </si>
  <si>
    <t>View alerts page after revocation</t>
  </si>
  <si>
    <t>Previously visible alerts now hidden</t>
  </si>
  <si>
    <t>ALT-TC-152</t>
  </si>
  <si>
    <t>8. Scheduled Jobs &amp; Batch Processing</t>
  </si>
  <si>
    <t>Nightly blocker scan job runs at scheduled time</t>
  </si>
  <si>
    <t>System configured for 2:00 AM nightly scan</t>
  </si>
  <si>
    <t>2:00 AM arrives</t>
  </si>
  <si>
    <t>Blocker scan job executes, logs generated</t>
  </si>
  <si>
    <t>ALT-TC-153</t>
  </si>
  <si>
    <t>Nightly scan processes all active releases</t>
  </si>
  <si>
    <t>100 releases in Testing/UAT status</t>
  </si>
  <si>
    <t>Nightly scan runs</t>
  </si>
  <si>
    <t>All 100 releases scanned for open blockers</t>
  </si>
  <si>
    <t>ALT-TC-154</t>
  </si>
  <si>
    <t>Daily drift detection runs at configured time</t>
  </si>
  <si>
    <t>Drift scan configured for 6:00 AM</t>
  </si>
  <si>
    <t>6:00 AM arrives</t>
  </si>
  <si>
    <t>Drift detection scans all production environments</t>
  </si>
  <si>
    <t>ALT-TC-155</t>
  </si>
  <si>
    <t>Weekly compliance snapshot on Sunday</t>
  </si>
  <si>
    <t>Sunday 00:00 (midnight)</t>
  </si>
  <si>
    <t>Scheduled time arrives</t>
  </si>
  <si>
    <t>Compliance snapshot generated and stored</t>
  </si>
  <si>
    <t>ALT-TC-156</t>
  </si>
  <si>
    <t>15-minute sync job respects interval</t>
  </si>
  <si>
    <t>Last sync at 10:00 AM</t>
  </si>
  <si>
    <t>10:15 AM arrives</t>
  </si>
  <si>
    <t>Sync job triggers at exactly 15-minute interval</t>
  </si>
  <si>
    <t>ALT-TC-157</t>
  </si>
  <si>
    <t>Hourly environment release job</t>
  </si>
  <si>
    <t>Environment bookings past end time</t>
  </si>
  <si>
    <t>Expired bookings released, slots available</t>
  </si>
  <si>
    <t>ALT-TC-158</t>
  </si>
  <si>
    <t>Job failure triggers admin alert</t>
  </si>
  <si>
    <t>Batch Jobs</t>
  </si>
  <si>
    <t>Nightly scan job fails (database timeout)</t>
  </si>
  <si>
    <t>Job terminates with error</t>
  </si>
  <si>
    <t>Alert sent to system admins</t>
  </si>
  <si>
    <t>Job failed: Blocker scan - database timeout</t>
  </si>
  <si>
    <t>ALT-TC-159</t>
  </si>
  <si>
    <t>Job auto-retry on transient failure</t>
  </si>
  <si>
    <t>Job fails with transient error (connection reset)</t>
  </si>
  <si>
    <t>Retry logic activates</t>
  </si>
  <si>
    <t>Job retried after brief delay</t>
  </si>
  <si>
    <t>Job retrying after transient error</t>
  </si>
  <si>
    <t>ALT-TC-160</t>
  </si>
  <si>
    <t>Job max retries exhausted</t>
  </si>
  <si>
    <t>All 3 retry attempts fail</t>
  </si>
  <si>
    <t>Fourth attempt skipped</t>
  </si>
  <si>
    <t>Job marked failed, manual intervention alert sent</t>
  </si>
  <si>
    <t>Job failed after maximum retries</t>
  </si>
  <si>
    <t>ALT-TC-161</t>
  </si>
  <si>
    <t>Job execution overlaps prevented</t>
  </si>
  <si>
    <t>Previous job run still executing when next scheduled</t>
  </si>
  <si>
    <t>New run skipped (lock prevents overlap)</t>
  </si>
  <si>
    <t>Job skipped - previous run still executing</t>
  </si>
  <si>
    <t>ALT-TC-162</t>
  </si>
  <si>
    <t>Job progress tracking</t>
  </si>
  <si>
    <t>Long-running job processing 1000 entities</t>
  </si>
  <si>
    <t>Check job status mid-run</t>
  </si>
  <si>
    <t>Progress visible (e.g., 'Processed 500 of 1000')</t>
  </si>
  <si>
    <t>ALT-TC-163</t>
  </si>
  <si>
    <t>Job can be manually triggered</t>
  </si>
  <si>
    <t>Admin wants immediate drift scan</t>
  </si>
  <si>
    <t>Admin triggers manual run</t>
  </si>
  <si>
    <t>Job executes immediately regardless of schedule</t>
  </si>
  <si>
    <t>Manual job execution started</t>
  </si>
  <si>
    <t>ALT-TC-164</t>
  </si>
  <si>
    <t>Job scheduling respects timezone</t>
  </si>
  <si>
    <t>Job scheduled for 2:00 AM EST, server in UTC</t>
  </si>
  <si>
    <t>2:00 AM EST arrives</t>
  </si>
  <si>
    <t>Job runs at correct local time (7:00 AM UTC)</t>
  </si>
  <si>
    <t>ALT-TC-165</t>
  </si>
  <si>
    <t>DST transition handled correctly</t>
  </si>
  <si>
    <t>Clocks spring forward (DST begins)</t>
  </si>
  <si>
    <t>Scheduled 2:00 AM job time</t>
  </si>
  <si>
    <t>Job runs at 3:00 AM (adjusted for DST)</t>
  </si>
  <si>
    <t>ALT-TC-166</t>
  </si>
  <si>
    <t>Job audit log captures full details</t>
  </si>
  <si>
    <t>Job completes execution</t>
  </si>
  <si>
    <t>View job audit log</t>
  </si>
  <si>
    <t>Start time, end time, entities processed, errors logged</t>
  </si>
  <si>
    <t>ALT-TC-167</t>
  </si>
  <si>
    <t>Job can be disabled without deletion</t>
  </si>
  <si>
    <t>Admin disables weekly compliance job</t>
  </si>
  <si>
    <t>Sunday 00:00 arrives</t>
  </si>
  <si>
    <t>Job skipped (disabled status honored)</t>
  </si>
  <si>
    <t>ALT-TC-168</t>
  </si>
  <si>
    <t>Job partial failure handling</t>
  </si>
  <si>
    <t>Job processes 100 entities, 5 fail</t>
  </si>
  <si>
    <t>Job completes with errors</t>
  </si>
  <si>
    <t>95 successes committed, 5 failures logged, alert sent</t>
  </si>
  <si>
    <t>Job completed with 5 errors</t>
  </si>
  <si>
    <t>ALT-TC-169</t>
  </si>
  <si>
    <t>Job rollback on critical failure</t>
  </si>
  <si>
    <t>Job encounters critical error mid-batch</t>
  </si>
  <si>
    <t>Error detected</t>
  </si>
  <si>
    <t>All changes in current batch rolled back</t>
  </si>
  <si>
    <t>Critical error - batch rolled back</t>
  </si>
  <si>
    <t>ALT-TC-170</t>
  </si>
  <si>
    <t>Job performance metrics captured</t>
  </si>
  <si>
    <t>Job execution completes</t>
  </si>
  <si>
    <t>View job metrics</t>
  </si>
  <si>
    <t>Duration, throughput, memory usage logged</t>
  </si>
  <si>
    <t>ALT-TC-171</t>
  </si>
  <si>
    <t>Job SLA breach alert</t>
  </si>
  <si>
    <t>Job runs longer than configured SLA (30 min)</t>
  </si>
  <si>
    <t>SLA threshold exceeded</t>
  </si>
  <si>
    <t>Alert sent to operations team</t>
  </si>
  <si>
    <t>Job SLA breached: [job name] running [time]</t>
  </si>
  <si>
    <t>ALT-TC-172</t>
  </si>
  <si>
    <t>9. Alert Edge Cases &amp; Error Handling</t>
  </si>
  <si>
    <t>Alert for deleted source entity</t>
  </si>
  <si>
    <t>Release deleted while alert still Pending</t>
  </si>
  <si>
    <t>Alert shows 'Source deleted' status, action disabled</t>
  </si>
  <si>
    <t>Source entity has been deleted</t>
  </si>
  <si>
    <t>ALT-TC-173</t>
  </si>
  <si>
    <t>Concurrent alert acknowledgment</t>
  </si>
  <si>
    <t>Two users acknowledge same alert simultaneously</t>
  </si>
  <si>
    <t>Both click Acknowledge</t>
  </si>
  <si>
    <t>Alert already acknowledged by another user</t>
  </si>
  <si>
    <t>ALT-TC-174</t>
  </si>
  <si>
    <t>Concurrent alert dismissal</t>
  </si>
  <si>
    <t>Two users dismiss same alert simultaneously</t>
  </si>
  <si>
    <t>Both click Dismiss</t>
  </si>
  <si>
    <t>Alert already dismissed</t>
  </si>
  <si>
    <t>ALT-TC-175</t>
  </si>
  <si>
    <t>Alert TTL exactly at expiry boundary</t>
  </si>
  <si>
    <t>Alert TTL = 7 days, exactly 168 hours elapsed</t>
  </si>
  <si>
    <t>Expiry job runs at exact boundary</t>
  </si>
  <si>
    <t>Alert expires (at boundary)</t>
  </si>
  <si>
    <t>ALT-TC-176</t>
  </si>
  <si>
    <t>Alert generated during system maintenance</t>
  </si>
  <si>
    <t>Trigger condition met during planned maintenance</t>
  </si>
  <si>
    <t>Maintenance mode active</t>
  </si>
  <si>
    <t>Alert queued, generated post-maintenance</t>
  </si>
  <si>
    <t>ALT-TC-177</t>
  </si>
  <si>
    <t>Notification delivery partial failure</t>
  </si>
  <si>
    <t>Multi-channel notification (email + Slack)</t>
  </si>
  <si>
    <t>Email succeeds, Slack fails</t>
  </si>
  <si>
    <t>Partial success logged, Slack retry scheduled</t>
  </si>
  <si>
    <t>Notification partially delivered</t>
  </si>
  <si>
    <t>ALT-TC-178</t>
  </si>
  <si>
    <t>Alert cascade creates multiple alerts</t>
  </si>
  <si>
    <t>Critical incident creates release alert + risk escalation</t>
  </si>
  <si>
    <t>Incident saved</t>
  </si>
  <si>
    <t>Both alerts created, linked to same source</t>
  </si>
  <si>
    <t>ALT-TC-179</t>
  </si>
  <si>
    <t>Circular dependency in alert triggers</t>
  </si>
  <si>
    <t>Alert A triggers condition for Alert B, B triggers A</t>
  </si>
  <si>
    <t>System processes alerts</t>
  </si>
  <si>
    <t>Circular loop detected and prevented</t>
  </si>
  <si>
    <t>Alert loop detected - breaking chain</t>
  </si>
  <si>
    <t>ALT-TC-180</t>
  </si>
  <si>
    <t>Very long alert message truncation</t>
  </si>
  <si>
    <t>Error message exceeds 1000 characters</t>
  </si>
  <si>
    <t>Message truncated with '...' and link to full details</t>
  </si>
  <si>
    <t>ALT-TC-181</t>
  </si>
  <si>
    <t>Alert with special characters in message</t>
  </si>
  <si>
    <t>Source entity name contains &lt;script&gt; tags</t>
  </si>
  <si>
    <t>Special characters escaped, no XSS vulnerability</t>
  </si>
  <si>
    <t>ALT-TC-182</t>
  </si>
  <si>
    <t>Alert recipient user deactivated</t>
  </si>
  <si>
    <t>Error Handling</t>
  </si>
  <si>
    <t>User assigned to alert becomes inactive</t>
  </si>
  <si>
    <t>System attempts notification</t>
  </si>
  <si>
    <t>Alert reassigned to manager, logged</t>
  </si>
  <si>
    <t>Alert reassigned - original user inactive</t>
  </si>
  <si>
    <t>ALT-TC-183</t>
  </si>
  <si>
    <t>Alert recipient has no manager (escalation)</t>
  </si>
  <si>
    <t>User without manager assignment, escalation triggered</t>
  </si>
  <si>
    <t>Escalation runs</t>
  </si>
  <si>
    <t>Escalates to system admin instead</t>
  </si>
  <si>
    <t>No manager found - escalating to admin</t>
  </si>
  <si>
    <t>ALT-TC-184</t>
  </si>
  <si>
    <t>Bulk alert generation performance</t>
  </si>
  <si>
    <t>Nightly scan finds 500 releases with issues</t>
  </si>
  <si>
    <t>Job generates 500 alerts</t>
  </si>
  <si>
    <t>All alerts created within SLA (&lt;5 min)</t>
  </si>
  <si>
    <t>ALT-TC-185</t>
  </si>
  <si>
    <t>Alert dashboard with 1000+ alerts</t>
  </si>
  <si>
    <t>User has access to 1000+ historical alerts</t>
  </si>
  <si>
    <t>Load alert dashboard</t>
  </si>
  <si>
    <t>Page loads with pagination (&lt;3 sec)</t>
  </si>
  <si>
    <t>ALT-TC-186</t>
  </si>
  <si>
    <t>Sync conflict during alert update</t>
  </si>
  <si>
    <t>Alert updated locally while external sync runs</t>
  </si>
  <si>
    <t>Sync processes alert</t>
  </si>
  <si>
    <t>Latest timestamp wins, other logged</t>
  </si>
  <si>
    <t>ALT-TC-187</t>
  </si>
  <si>
    <t>Alert action after session timeout</t>
  </si>
  <si>
    <t>User session expires while viewing alert</t>
  </si>
  <si>
    <t>User clicks Acknowledge</t>
  </si>
  <si>
    <t>Redirected to login, action preserved</t>
  </si>
  <si>
    <t>Session expired - log in to continue</t>
  </si>
  <si>
    <t>ALT-TC-188</t>
  </si>
  <si>
    <t>Orphan alert cleanup</t>
  </si>
  <si>
    <t>Alert exists for entity that was hard-deleted</t>
  </si>
  <si>
    <t>Orphan cleanup job runs</t>
  </si>
  <si>
    <t>Orphan alerts archived with flag</t>
  </si>
  <si>
    <t>ALT-TC-189</t>
  </si>
  <si>
    <t>Alert with null/empty required fields</t>
  </si>
  <si>
    <t>Trigger attempts to create alert with empty message</t>
  </si>
  <si>
    <t>Alert generation runs</t>
  </si>
  <si>
    <t>Validation fails, default message used</t>
  </si>
  <si>
    <t>ALT-TC-190</t>
  </si>
  <si>
    <t>Timezone boundary at alert creation</t>
  </si>
  <si>
    <t>Alert trigger at 23:59:59 UTC, user in EST</t>
  </si>
  <si>
    <t>Alert created</t>
  </si>
  <si>
    <t>Timestamp stored in UTC, displayed in user timezone</t>
  </si>
  <si>
    <t>ALT-TC-191</t>
  </si>
  <si>
    <t>Leap second handling in timestamps</t>
  </si>
  <si>
    <t>Alert created during leap second event</t>
  </si>
  <si>
    <t>Timestamp recorded</t>
  </si>
  <si>
    <t>Timestamp valid, no data corruption</t>
  </si>
  <si>
    <t>ALT-TC-192</t>
  </si>
  <si>
    <t>Database transaction failure during alert save</t>
  </si>
  <si>
    <t>Alert creation fails due to DB deadlock</t>
  </si>
  <si>
    <t>Transaction rolls back</t>
  </si>
  <si>
    <t>Retry mechanism triggers, alert eventually created</t>
  </si>
  <si>
    <t>ALT-TC-193</t>
  </si>
  <si>
    <t>Alert deduplication within time window</t>
  </si>
  <si>
    <t>Same trigger fires twice within 1 minute</t>
  </si>
  <si>
    <t>Dedup check runs</t>
  </si>
  <si>
    <t>Only one alert created (duplicate suppressed)</t>
  </si>
  <si>
    <t>ALT-TC-194</t>
  </si>
  <si>
    <t>Alert for future-dated event</t>
  </si>
  <si>
    <t>Reminder set for release Go-Live next month</t>
  </si>
  <si>
    <t>Reminder job runs today</t>
  </si>
  <si>
    <t>Alert not generated (future date not yet applicable)</t>
  </si>
  <si>
    <t>ALT-TC-195</t>
  </si>
  <si>
    <t>10. Integration &amp; Cross-Entity Alerts</t>
  </si>
  <si>
    <t>Blocker creates alert on linked release</t>
  </si>
  <si>
    <t>CASC/AV-01</t>
  </si>
  <si>
    <t>Blocker linked to Release A</t>
  </si>
  <si>
    <t>Blocker status changes to Open</t>
  </si>
  <si>
    <t>Alert created for Release A owner</t>
  </si>
  <si>
    <t>Open blocker affects release</t>
  </si>
  <si>
    <t>ALT-TC-196</t>
  </si>
  <si>
    <t>Risk escalation creates release alert</t>
  </si>
  <si>
    <t>High risk linked to Release A</t>
  </si>
  <si>
    <t>Risk unmitigated 3+ days</t>
  </si>
  <si>
    <t>Escalation alert on release and risk records</t>
  </si>
  <si>
    <t>ALT-TC-197</t>
  </si>
  <si>
    <t>Incident cascade blocks release</t>
  </si>
  <si>
    <t>Critical incident linked to Release A</t>
  </si>
  <si>
    <t>Incident status becomes Critical</t>
  </si>
  <si>
    <t>Release auto-blocked, alert sent</t>
  </si>
  <si>
    <t>Release blocked by critical incident</t>
  </si>
  <si>
    <t>ALT-TC-198</t>
  </si>
  <si>
    <t>Dependency completion creates alert</t>
  </si>
  <si>
    <t>Release A depends on Release B</t>
  </si>
  <si>
    <t>Release B deployed</t>
  </si>
  <si>
    <t>Alert sent: dependency met</t>
  </si>
  <si>
    <t>Dependency on Release B now met</t>
  </si>
  <si>
    <t>ALT-TC-199</t>
  </si>
  <si>
    <t>Environment conflict creates mutual alerts</t>
  </si>
  <si>
    <t>Releases A and B schedule same environment slot</t>
  </si>
  <si>
    <t>Alerts sent to both release owners</t>
  </si>
  <si>
    <t>Environment conflict with [other release]</t>
  </si>
  <si>
    <t>ALT-TC-200</t>
  </si>
  <si>
    <t>Drift links to affected releases</t>
  </si>
  <si>
    <t>AV-13/14</t>
  </si>
  <si>
    <t>Drift detected in component used by 3 releases</t>
  </si>
  <si>
    <t>Drift record created</t>
  </si>
  <si>
    <t>All 3 release owners alerted</t>
  </si>
  <si>
    <t>Config drift affects your release</t>
  </si>
  <si>
    <t>ALT-TC-201</t>
  </si>
  <si>
    <t>Approval alert links to CAB meeting</t>
  </si>
  <si>
    <t>Release submitted for CAB</t>
  </si>
  <si>
    <t>Submission complete</t>
  </si>
  <si>
    <t>Alert includes link to CAB calendar event</t>
  </si>
  <si>
    <t>ALT-TC-202</t>
  </si>
  <si>
    <t>External system creates alert via API</t>
  </si>
  <si>
    <t>SYNC/API</t>
  </si>
  <si>
    <t>ServiceNow sends incident webhook</t>
  </si>
  <si>
    <t>Webhook processed</t>
  </si>
  <si>
    <t>Alert created from external data</t>
  </si>
  <si>
    <t>New incident from ServiceNow</t>
  </si>
  <si>
    <t>ALT-TC-203</t>
  </si>
  <si>
    <t>Alert references multiple entities</t>
  </si>
  <si>
    <t>Conflict involves 2 releases and 1 environment</t>
  </si>
  <si>
    <t>Conflict alert created</t>
  </si>
  <si>
    <t>Alert shows all related entities as clickable links</t>
  </si>
  <si>
    <t>ALT-TC-204</t>
  </si>
  <si>
    <t>Cross-application alert routing</t>
  </si>
  <si>
    <t>Alert Routing</t>
  </si>
  <si>
    <t>Release spans 3 applications with different owners</t>
  </si>
  <si>
    <t>Alert triggered</t>
  </si>
  <si>
    <t>All application owners receive notification</t>
  </si>
  <si>
    <t>ALT-TC-205</t>
  </si>
  <si>
    <t>Compliance alert links to audit report</t>
  </si>
  <si>
    <t>Compliance issues found</t>
  </si>
  <si>
    <t>Alert links to generated compliance report</t>
  </si>
  <si>
    <t>Compliance issues detected - see report</t>
  </si>
  <si>
    <t>ALT-TC-206</t>
  </si>
  <si>
    <t>Sign-off incomplete alert</t>
  </si>
  <si>
    <t>Release ready for deployment, sign-offs missing</t>
  </si>
  <si>
    <t>Pre-deploy check runs</t>
  </si>
  <si>
    <t>Alert sent to pending signers</t>
  </si>
  <si>
    <t>Your sign-off required for deployment</t>
  </si>
  <si>
    <t>ALT-TC-207</t>
  </si>
  <si>
    <t>Rollback triggers alert chain</t>
  </si>
  <si>
    <t>Release rolled back after deployment issue</t>
  </si>
  <si>
    <t>Rollback executed</t>
  </si>
  <si>
    <t>Alerts to stakeholders, incident auto-created</t>
  </si>
  <si>
    <t>Release rolled back - incident created</t>
  </si>
  <si>
    <t>ALT-TC-208</t>
  </si>
  <si>
    <t>Checklist incomplete before gate</t>
  </si>
  <si>
    <t>Release at gate, mandatory checklist items incomplete</t>
  </si>
  <si>
    <t>Gate check runs</t>
  </si>
  <si>
    <t>Alert sent with incomplete items listed</t>
  </si>
  <si>
    <t>Checklist incomplete: [items]</t>
  </si>
  <si>
    <t>ALT-TC-209</t>
  </si>
  <si>
    <t>Attachment required alert</t>
  </si>
  <si>
    <t>Release type requires Test Report, not attached</t>
  </si>
  <si>
    <t>Pre-CAB check runs</t>
  </si>
  <si>
    <t>Alert sent requesting missing attachment</t>
  </si>
  <si>
    <t>Required attachment missing: Test Report</t>
  </si>
  <si>
    <t>ALT-TC-210</t>
  </si>
  <si>
    <t>Audit trail cross-references alerts</t>
  </si>
  <si>
    <t>Multiple alerts generated for single event</t>
  </si>
  <si>
    <t>View audit trail</t>
  </si>
  <si>
    <t>All related alerts visible in audit timeline</t>
  </si>
  <si>
    <t>ALT-TC-211</t>
  </si>
  <si>
    <t>Dashboard aggregates cross-entity alerts</t>
  </si>
  <si>
    <t>User owns release + risk + blocker with alerts</t>
  </si>
  <si>
    <t>View unified dashboard</t>
  </si>
  <si>
    <t>All alerts from all owned entities in single view</t>
  </si>
  <si>
    <t>ALT-TC-212</t>
  </si>
  <si>
    <t>Cascade alert respects suppression rules</t>
  </si>
  <si>
    <t>Parent entity alert suppressed, child triggers cascade</t>
  </si>
  <si>
    <t>Cascade evaluated</t>
  </si>
  <si>
    <t>Child cascade also suppressed (inheritance)</t>
  </si>
  <si>
    <t>ALT-TC-213</t>
  </si>
  <si>
    <t>Bulk action on related alerts</t>
  </si>
  <si>
    <t>5 alerts linked to same root cause</t>
  </si>
  <si>
    <t>User selects all and dismisses</t>
  </si>
  <si>
    <t>All 5 alerts dismissed with single reason</t>
  </si>
  <si>
    <t>ALT-TC-214</t>
  </si>
  <si>
    <t>Alert correlation display</t>
  </si>
  <si>
    <t>Multiple alerts from same incident</t>
  </si>
  <si>
    <t>Related alerts shown in 'Related Alerts' section</t>
  </si>
  <si>
    <t>═══════════════════════════════════════════════════════════════════</t>
  </si>
  <si>
    <t>ALERTS TEST SUITE SUMMARY</t>
  </si>
  <si>
    <t>Test Case Counts by Type:</t>
  </si>
  <si>
    <t>Percentage</t>
  </si>
  <si>
    <t>Test Case Counts by Priority:</t>
  </si>
  <si>
    <t>P3 (Medium)</t>
  </si>
  <si>
    <t>Test Case Counts by Section:</t>
  </si>
  <si>
    <t>Rule Coverage Summary:</t>
  </si>
  <si>
    <t>Rule Category</t>
  </si>
  <si>
    <t>Rules Covered</t>
  </si>
  <si>
    <t>Auto-Validation (AV-xx)</t>
  </si>
  <si>
    <t>AV-01 to AV-25</t>
  </si>
  <si>
    <t>Sync Rules (SYNC-xx)</t>
  </si>
  <si>
    <t>Notification Rules (NOTIF-xx)</t>
  </si>
  <si>
    <t>Alert &amp; Drift Lifecycles</t>
  </si>
  <si>
    <t>Role Permissions</t>
  </si>
  <si>
    <t>Expected Message/Notes</t>
  </si>
  <si>
    <t>SIGN-TC-001</t>
  </si>
  <si>
    <t>1. Sign-Off Creation &amp; Field Validation</t>
  </si>
  <si>
    <t>Create Dev Sign-Off with all required fields</t>
  </si>
  <si>
    <t>User is assigned as Dev gate owner for a release in Testing status</t>
  </si>
  <si>
    <t>Create Dev Sign-Off record with: Type=Dev, Status=Pending, Release Link</t>
  </si>
  <si>
    <t>Sign-Off created successfully with auto-generated ID</t>
  </si>
  <si>
    <t>SIGN-TC-002</t>
  </si>
  <si>
    <t>Sign-Off ID auto-generated and read-only</t>
  </si>
  <si>
    <t>User creates new sign-off</t>
  </si>
  <si>
    <t>1. Create sign-off with required fields
2. Observe ID field
3. Attempt to edit ID</t>
  </si>
  <si>
    <t>ID auto-generated in system format. Field is read-only.</t>
  </si>
  <si>
    <t>System auto-generates unique sign-off reference</t>
  </si>
  <si>
    <t>SIGN-TC-003</t>
  </si>
  <si>
    <t>Create Test Sign-Off with valid fields</t>
  </si>
  <si>
    <t>User is assigned as Test gate owner for a release in Testing status</t>
  </si>
  <si>
    <t>Create Test Sign-Off record with: Type=Test, Status=Pending</t>
  </si>
  <si>
    <t>Sign-Off created successfully</t>
  </si>
  <si>
    <t>SIGN-TC-004</t>
  </si>
  <si>
    <t>Create UAT Sign-Off with valid fields</t>
  </si>
  <si>
    <t>User is assigned as UAT gate owner for a release in UAT status</t>
  </si>
  <si>
    <t>Create UAT Sign-Off record with: Type=UAT, Status=Pending</t>
  </si>
  <si>
    <t>SIGN-TC-005</t>
  </si>
  <si>
    <t>Create Security Sign-Off with valid fields</t>
  </si>
  <si>
    <t>User is assigned as Security gate owner; release has Security Flag = Yes</t>
  </si>
  <si>
    <t>Create Security Sign-Off record with: Type=Security, Status=Pending</t>
  </si>
  <si>
    <t>SIGN-TC-006</t>
  </si>
  <si>
    <t>Create Business Sign-Off with valid fields</t>
  </si>
  <si>
    <t>User is assigned as Business gate owner for a release</t>
  </si>
  <si>
    <t>Create Business Sign-Off record with: Type=Business, Status=Pending</t>
  </si>
  <si>
    <t>SIGN-TC-007</t>
  </si>
  <si>
    <t>Create Ops Sign-Off with valid fields</t>
  </si>
  <si>
    <t>User is assigned as Ops gate owner for a release in Approved status</t>
  </si>
  <si>
    <t>Create Ops Sign-Off record with: Type=Ops, Status=Pending</t>
  </si>
  <si>
    <t>SIGN-TC-008</t>
  </si>
  <si>
    <t>Sign-Off Type is required field</t>
  </si>
  <si>
    <t>Creating new sign-off</t>
  </si>
  <si>
    <t>Save sign-off without selecting Type</t>
  </si>
  <si>
    <t>Blocked - Type is required</t>
  </si>
  <si>
    <t>Sign-Off Type is required</t>
  </si>
  <si>
    <t>SIGN-TC-009</t>
  </si>
  <si>
    <t>Sign-Off must link to a Release</t>
  </si>
  <si>
    <t>Save sign-off without Release Link</t>
  </si>
  <si>
    <t>Blocked - Release Link required</t>
  </si>
  <si>
    <t>Sign-Off must be linked to a Release</t>
  </si>
  <si>
    <t>SIGN-TC-010</t>
  </si>
  <si>
    <t>Sign-Off Status defaults to Pending</t>
  </si>
  <si>
    <t>Create sign-off with Type and Release Link only</t>
  </si>
  <si>
    <t>Status automatically set to Pending</t>
  </si>
  <si>
    <t>SIGN-TC-011</t>
  </si>
  <si>
    <t>Signatory auto-populated from current user</t>
  </si>
  <si>
    <t>User creates sign-off they are gate owner for</t>
  </si>
  <si>
    <t>Create sign-off</t>
  </si>
  <si>
    <t>Signatory field auto-populated with current user</t>
  </si>
  <si>
    <t>SIGN-TC-012</t>
  </si>
  <si>
    <t>Created Date auto-populated</t>
  </si>
  <si>
    <t>Save sign-off</t>
  </si>
  <si>
    <t>Created Date auto-populated with current timestamp</t>
  </si>
  <si>
    <t>SIGN-TC-013</t>
  </si>
  <si>
    <t>Invalid Sign-Off Type rejected</t>
  </si>
  <si>
    <t>Attempt to set Type to invalid value 'CustomType'</t>
  </si>
  <si>
    <t>SIGN-TC-014</t>
  </si>
  <si>
    <t>Duplicate Sign-Off Type for same Release blocked</t>
  </si>
  <si>
    <t>Release already has Dev Sign-Off (any status)</t>
  </si>
  <si>
    <t>Create another Dev Sign-Off for same release</t>
  </si>
  <si>
    <t>Blocked - Duplicate sign-off type</t>
  </si>
  <si>
    <t>A Dev Sign-Off already exists for this release</t>
  </si>
  <si>
    <t>SIGN-TC-015</t>
  </si>
  <si>
    <t>Sign-Off Comments field accepts text</t>
  </si>
  <si>
    <t>Enter comments: 'Development complete. All unit tests passing.'</t>
  </si>
  <si>
    <t>Comments saved successfully</t>
  </si>
  <si>
    <t>SIGN-TC-016</t>
  </si>
  <si>
    <t>Sign-Off Conditions field editable for conditional approval</t>
  </si>
  <si>
    <t>Creating sign-off with conditional approval</t>
  </si>
  <si>
    <t>Enter conditions: 'Approved pending security scan completion'</t>
  </si>
  <si>
    <t>Conditions saved successfully</t>
  </si>
  <si>
    <t>SIGN-TC-017</t>
  </si>
  <si>
    <t>2. Sign-Off Status Transitions - Happy Path</t>
  </si>
  <si>
    <t>Transition Pending → Approved</t>
  </si>
  <si>
    <t>Sign-off exists in Pending status; user is gate owner</t>
  </si>
  <si>
    <t>Click Approve and confirm</t>
  </si>
  <si>
    <t>Status changes to Approved. Sign-off is IMMUTABLE.</t>
  </si>
  <si>
    <t>SIGN-TC-018</t>
  </si>
  <si>
    <t>Transition Pending → Rejected</t>
  </si>
  <si>
    <t>Click Reject with reason</t>
  </si>
  <si>
    <t>Status changes to Rejected. Sign-off is IMMUTABLE.</t>
  </si>
  <si>
    <t>SIGN-TC-019</t>
  </si>
  <si>
    <t>Transition Pending → Approved with Conditions</t>
  </si>
  <si>
    <t>Click Approve with Conditions, enter conditions</t>
  </si>
  <si>
    <t>Status changes to Approved with Conditions. Conditions recorded.</t>
  </si>
  <si>
    <t>SIGN-TC-020</t>
  </si>
  <si>
    <t>Transition Pending → Withdrawn</t>
  </si>
  <si>
    <t>Click Withdraw sign-off request</t>
  </si>
  <si>
    <t>Status changes to Withdrawn. Sign-off is IMMUTABLE.</t>
  </si>
  <si>
    <t>SIGN-TC-021</t>
  </si>
  <si>
    <t>Dev Sign-Off approval recorded with timestamp</t>
  </si>
  <si>
    <t>Approve sign-off</t>
  </si>
  <si>
    <t>Decision timestamp recorded. Audit trail created.</t>
  </si>
  <si>
    <t>SIGN-TC-022</t>
  </si>
  <si>
    <t>Test Sign-Off approval recorded with timestamp</t>
  </si>
  <si>
    <t>SIGN-TC-023</t>
  </si>
  <si>
    <t>UAT Sign-Off approval recorded with timestamp</t>
  </si>
  <si>
    <t>SIGN-TC-024</t>
  </si>
  <si>
    <t>Security Sign-Off approval recorded</t>
  </si>
  <si>
    <t>VR-37, AUDIT-03</t>
  </si>
  <si>
    <t>Security Sign-Off in Pending status for security-sensitive release</t>
  </si>
  <si>
    <t>Decision recorded. Security gate cleared.</t>
  </si>
  <si>
    <t>SIGN-TC-025</t>
  </si>
  <si>
    <t>Business Sign-Off approval recorded</t>
  </si>
  <si>
    <t>Business Sign-Off in Pending status</t>
  </si>
  <si>
    <t>Decision recorded. Business gate cleared.</t>
  </si>
  <si>
    <t>SIGN-TC-026</t>
  </si>
  <si>
    <t>Ops Sign-Off approval enables Ready transition</t>
  </si>
  <si>
    <t>Ops Sign-Off in Pending status; release is Approved</t>
  </si>
  <si>
    <t>Approve Ops Sign-Off</t>
  </si>
  <si>
    <t>Ops gate cleared. Release can transition to Ready.</t>
  </si>
  <si>
    <t>SIGN-TC-027</t>
  </si>
  <si>
    <t>Multiple sign-offs can be approved independently</t>
  </si>
  <si>
    <t>Release has Dev, Test, UAT sign-offs all Pending</t>
  </si>
  <si>
    <t>Approve Dev sign-off only</t>
  </si>
  <si>
    <t>Dev sign-off Approved. Test and UAT remain Pending.</t>
  </si>
  <si>
    <t>SIGN-TC-028</t>
  </si>
  <si>
    <t>Approved with Conditions shows conditions in release view</t>
  </si>
  <si>
    <t>Sign-off approved with conditions</t>
  </si>
  <si>
    <t>View release details</t>
  </si>
  <si>
    <t>Conditions displayed prominently. Tracking required.</t>
  </si>
  <si>
    <t>Condition: [condition text]</t>
  </si>
  <si>
    <t>SIGN-TC-029</t>
  </si>
  <si>
    <t>3. Sign-Off Status Transitions - Negative</t>
  </si>
  <si>
    <t>Cannot transition from Approved to any status</t>
  </si>
  <si>
    <t>Sign-off exists in Approved status (IMMUTABLE)</t>
  </si>
  <si>
    <t>Attempt to change status to Pending</t>
  </si>
  <si>
    <t>Blocked - Approved sign-offs are immutable</t>
  </si>
  <si>
    <t>Sign-off has been finalized and cannot be changed</t>
  </si>
  <si>
    <t>SIGN-TC-030</t>
  </si>
  <si>
    <t>Cannot transition from Rejected to any status</t>
  </si>
  <si>
    <t>Sign-off exists in Rejected status (IMMUTABLE)</t>
  </si>
  <si>
    <t>Blocked - Rejected sign-offs are immutable</t>
  </si>
  <si>
    <t>SIGN-TC-031</t>
  </si>
  <si>
    <t>Cannot transition from Expired to any status</t>
  </si>
  <si>
    <t>Sign-off exists in Expired status (IMMUTABLE)</t>
  </si>
  <si>
    <t>Blocked - Expired sign-offs are immutable</t>
  </si>
  <si>
    <t>SIGN-TC-032</t>
  </si>
  <si>
    <t>Cannot transition from Withdrawn to any status</t>
  </si>
  <si>
    <t>Sign-off exists in Withdrawn status (IMMUTABLE)</t>
  </si>
  <si>
    <t>Blocked - Withdrawn sign-offs are immutable</t>
  </si>
  <si>
    <t>SIGN-TC-033</t>
  </si>
  <si>
    <t>Cannot approve without being gate owner</t>
  </si>
  <si>
    <t>User is NOT the designated gate owner for this sign-off type</t>
  </si>
  <si>
    <t>Attempt to approve sign-off</t>
  </si>
  <si>
    <t>Blocked - Only gate owner can approve</t>
  </si>
  <si>
    <t>You are not authorized to approve this sign-off</t>
  </si>
  <si>
    <t>SIGN-TC-034</t>
  </si>
  <si>
    <t>Cannot reject without being gate owner</t>
  </si>
  <si>
    <t>Attempt to reject sign-off</t>
  </si>
  <si>
    <t>Blocked - Only gate owner can reject</t>
  </si>
  <si>
    <t>You are not authorized to reject this sign-off</t>
  </si>
  <si>
    <t>SIGN-TC-035</t>
  </si>
  <si>
    <t>Rejection requires reason/comments</t>
  </si>
  <si>
    <t>Sign-off in Pending status; user is gate owner</t>
  </si>
  <si>
    <t>Click Reject without entering reason</t>
  </si>
  <si>
    <t>Blocked - Reason required for rejection</t>
  </si>
  <si>
    <t>Please provide a reason for rejection</t>
  </si>
  <si>
    <t>SIGN-TC-036</t>
  </si>
  <si>
    <t>Cannot change approved sign-off back to No</t>
  </si>
  <si>
    <t>Sign-off is Approved</t>
  </si>
  <si>
    <t>Attempt to revert sign-off to Pending or No</t>
  </si>
  <si>
    <t>Blocked - Cannot revoke completed sign-off</t>
  </si>
  <si>
    <t>Completed sign-offs cannot be revoked without returning release to rework</t>
  </si>
  <si>
    <t>SIGN-TC-037</t>
  </si>
  <si>
    <t>Invalid status transition blocked</t>
  </si>
  <si>
    <t>Sign-off in Pending status</t>
  </si>
  <si>
    <t>Attempt to set status to 'Expired' manually</t>
  </si>
  <si>
    <t>Blocked - Invalid manual transition</t>
  </si>
  <si>
    <t>Expired status can only be set by system auto-expiry</t>
  </si>
  <si>
    <t>SIGN-TC-038</t>
  </si>
  <si>
    <t>Cannot approve sign-off for cancelled release</t>
  </si>
  <si>
    <t>Release is in Cancelled status</t>
  </si>
  <si>
    <t>Attempt to approve associated sign-off</t>
  </si>
  <si>
    <t>Blocked - Release is cancelled</t>
  </si>
  <si>
    <t>Cannot modify sign-offs for a cancelled release</t>
  </si>
  <si>
    <t>SIGN-TC-039</t>
  </si>
  <si>
    <t>Cannot approve Ops Sign-Off before release is Approved</t>
  </si>
  <si>
    <t>Release is in Testing status (not yet Approved)</t>
  </si>
  <si>
    <t>Attempt to approve Ops Sign-Off</t>
  </si>
  <si>
    <t>Ops Sign-Off can only be granted after CAB approval</t>
  </si>
  <si>
    <t>SIGN-TC-040</t>
  </si>
  <si>
    <t>Cannot create sign-off for closed release</t>
  </si>
  <si>
    <t>Release is in Closed status</t>
  </si>
  <si>
    <t>Attempt to create new sign-off</t>
  </si>
  <si>
    <t>Blocked - Release is closed</t>
  </si>
  <si>
    <t>Cannot add sign-offs to a closed release</t>
  </si>
  <si>
    <t>SIGN-TC-041</t>
  </si>
  <si>
    <t>4. Gate Requirements &amp; Release Transitions</t>
  </si>
  <si>
    <t>All required sign-offs allow Pending CAB transition</t>
  </si>
  <si>
    <t>Dev=Approved, Test=Approved, UAT=Approved; no open blockers</t>
  </si>
  <si>
    <t>Transition release to Pending CAB</t>
  </si>
  <si>
    <t>Transition succeeds. Release enters CAB queue.</t>
  </si>
  <si>
    <t>SIGN-TC-042</t>
  </si>
  <si>
    <t>Missing Dev Sign-Off blocks Pending CAB</t>
  </si>
  <si>
    <t>Dev Sign-Off = Pending or missing; Test and UAT = Approved</t>
  </si>
  <si>
    <t>Attempt to transition release to Pending CAB</t>
  </si>
  <si>
    <t>Dev Sign-Off must be Approved before CAB submission</t>
  </si>
  <si>
    <t>SIGN-TC-043</t>
  </si>
  <si>
    <t>Missing Test Sign-Off blocks Pending CAB</t>
  </si>
  <si>
    <t>Test Sign-Off = Pending or missing; Dev and UAT = Approved</t>
  </si>
  <si>
    <t>Test Sign-Off must be Approved before CAB submission</t>
  </si>
  <si>
    <t>SIGN-TC-044</t>
  </si>
  <si>
    <t>Missing UAT Sign-Off blocks Pending CAB</t>
  </si>
  <si>
    <t>UAT Sign-Off = Pending or missing; Dev and Test = Approved</t>
  </si>
  <si>
    <t>UAT Sign-Off must be Approved before CAB submission</t>
  </si>
  <si>
    <t>SIGN-TC-045</t>
  </si>
  <si>
    <t>Missing Security Sign-Off blocks Pending CAB (security release)</t>
  </si>
  <si>
    <t>Release has Security Flag = Yes; Security Sign-Off = Pending</t>
  </si>
  <si>
    <t>SIGN-TC-046</t>
  </si>
  <si>
    <t>Security Sign-Off not required for non-security release</t>
  </si>
  <si>
    <t>Release has Security Flag = No; no Security Sign-Off exists</t>
  </si>
  <si>
    <t>Transition release to Pending CAB (with Dev, Test, UAT approved)</t>
  </si>
  <si>
    <t>Transition succeeds - Security sign-off not required</t>
  </si>
  <si>
    <t>SIGN-TC-047</t>
  </si>
  <si>
    <t>Missing Ops Sign-Off blocks Ready transition</t>
  </si>
  <si>
    <t>Release is Approved status; Ops Sign-Off = Pending</t>
  </si>
  <si>
    <t>Attempt to transition release to Ready</t>
  </si>
  <si>
    <t>Ops Sign-Off must be Approved before Ready status</t>
  </si>
  <si>
    <t>SIGN-TC-048</t>
  </si>
  <si>
    <t>Approved Ops Sign-Off enables Ready transition</t>
  </si>
  <si>
    <t>Release is Approved; Ops Sign-Off = Approved</t>
  </si>
  <si>
    <t>Transition release to Ready</t>
  </si>
  <si>
    <t>Transition succeeds. Release ready for deployment.</t>
  </si>
  <si>
    <t>SIGN-TC-049</t>
  </si>
  <si>
    <t>Test Sign-Off required before UAT status</t>
  </si>
  <si>
    <t>Release in Testing; Test Sign-Off = Pending</t>
  </si>
  <si>
    <t>Attempt to transition release to UAT</t>
  </si>
  <si>
    <t>Test Sign-Off must be Approved before UAT phase</t>
  </si>
  <si>
    <t>SIGN-TC-050</t>
  </si>
  <si>
    <t>Rejected sign-off blocks release progression</t>
  </si>
  <si>
    <t>Dev Sign-Off = Rejected</t>
  </si>
  <si>
    <t>Blocked - Sign-off rejected</t>
  </si>
  <si>
    <t>Dev Sign-Off was rejected. Address issues before resubmitting.</t>
  </si>
  <si>
    <t>SIGN-TC-051</t>
  </si>
  <si>
    <t>Conditional sign-off allows progression with tracking</t>
  </si>
  <si>
    <t>Dev Sign-Off = Approved with Conditions</t>
  </si>
  <si>
    <t>Transition succeeds. Conditions flagged for CAB review.</t>
  </si>
  <si>
    <t>Conditions must be resolved before deployment</t>
  </si>
  <si>
    <t>SIGN-TC-052</t>
  </si>
  <si>
    <t>Multiple rejections prevent progression</t>
  </si>
  <si>
    <t>Dev = Rejected, Test = Rejected</t>
  </si>
  <si>
    <t>Blocked - Multiple rejections</t>
  </si>
  <si>
    <t>Multiple sign-offs rejected. Review required.</t>
  </si>
  <si>
    <t>SIGN-TC-053</t>
  </si>
  <si>
    <t>Sign-off status displayed in release gate checklist</t>
  </si>
  <si>
    <t>Release has all sign-off types created</t>
  </si>
  <si>
    <t>View release gate checklist</t>
  </si>
  <si>
    <t>All sign-off statuses shown: Dev ✓, Test ✓, UAT ✓, etc.</t>
  </si>
  <si>
    <t>SIGN-TC-054</t>
  </si>
  <si>
    <t>Business Sign-Off required for Large releases</t>
  </si>
  <si>
    <t>Large release; Business Sign-Off = Pending</t>
  </si>
  <si>
    <t>Attempt to transition to Pending CAB</t>
  </si>
  <si>
    <t>Business Sign-Off required for releases of this size</t>
  </si>
  <si>
    <t>SIGN-TC-055</t>
  </si>
  <si>
    <t>5. Sign-Off Locking &amp; Field Immutability</t>
  </si>
  <si>
    <t>Sign-off fields lock after Pending CAB</t>
  </si>
  <si>
    <t>Release reaches Pending CAB status</t>
  </si>
  <si>
    <t>Attempt to modify sign-off record</t>
  </si>
  <si>
    <t>Blocked - Sign-offs locked after CAB submission</t>
  </si>
  <si>
    <t>Sign-off fields are locked once release reaches Pending CAB</t>
  </si>
  <si>
    <t>SIGN-TC-056</t>
  </si>
  <si>
    <t>Approved sign-off becomes read-only</t>
  </si>
  <si>
    <t>Sign-off status = Approved</t>
  </si>
  <si>
    <t>Attempt to edit any field on sign-off</t>
  </si>
  <si>
    <t>Approved sign-offs cannot be modified</t>
  </si>
  <si>
    <t>SIGN-TC-057</t>
  </si>
  <si>
    <t>Rejected sign-off becomes read-only</t>
  </si>
  <si>
    <t>Sign-off status = Rejected</t>
  </si>
  <si>
    <t>Rejected sign-offs cannot be modified</t>
  </si>
  <si>
    <t>SIGN-TC-058</t>
  </si>
  <si>
    <t>Cannot revoke completed sign-off without rework status</t>
  </si>
  <si>
    <t>Sign-off = Approved; Release = Approved</t>
  </si>
  <si>
    <t>Attempt to change sign-off back to Pending</t>
  </si>
  <si>
    <t>Blocked - Must return to rework status first</t>
  </si>
  <si>
    <t>Return release to Planning or Testing to modify sign-offs</t>
  </si>
  <si>
    <t>SIGN-TC-059</t>
  </si>
  <si>
    <t>Sign-offs unlock when release reverts to Planning</t>
  </si>
  <si>
    <t>Release reverts from Rejected to Planning</t>
  </si>
  <si>
    <t>Create new sign-off or view existing</t>
  </si>
  <si>
    <t>Sign-off fields are editable again. New sign-offs can be created.</t>
  </si>
  <si>
    <t>SIGN-TC-060</t>
  </si>
  <si>
    <t>Sign-offs unlock when release reverts to Testing</t>
  </si>
  <si>
    <t>Release reverts from Rejected to Testing</t>
  </si>
  <si>
    <t>View sign-off fields</t>
  </si>
  <si>
    <t>Sign-off fields are editable for rework.</t>
  </si>
  <si>
    <t>SIGN-TC-061</t>
  </si>
  <si>
    <t>Comments editable while Pending</t>
  </si>
  <si>
    <t>Sign-off status = Pending</t>
  </si>
  <si>
    <t>Edit comments field</t>
  </si>
  <si>
    <t>Comments updated successfully</t>
  </si>
  <si>
    <t>SIGN-TC-062</t>
  </si>
  <si>
    <t>Comments locked after approval</t>
  </si>
  <si>
    <t>Attempt to edit comments field</t>
  </si>
  <si>
    <t>Blocked - Sign-off is immutable</t>
  </si>
  <si>
    <t>Comments cannot be changed after sign-off decision</t>
  </si>
  <si>
    <t>SIGN-TC-063</t>
  </si>
  <si>
    <t>Signatory field cannot be changed after creation</t>
  </si>
  <si>
    <t>Sign-off exists with assigned signatory</t>
  </si>
  <si>
    <t>Attempt to change signatory</t>
  </si>
  <si>
    <t>Blocked - Signatory is set at creation</t>
  </si>
  <si>
    <t>Signatory cannot be changed. Create new sign-off if needed.</t>
  </si>
  <si>
    <t>SIGN-TC-064</t>
  </si>
  <si>
    <t>Sign-off Type cannot be changed after creation</t>
  </si>
  <si>
    <t>Sign-off exists with Type = Dev</t>
  </si>
  <si>
    <t>Attempt to change Type to Test</t>
  </si>
  <si>
    <t>Blocked - Type is immutable</t>
  </si>
  <si>
    <t>Sign-off type cannot be changed after creation</t>
  </si>
  <si>
    <t>SIGN-TC-065</t>
  </si>
  <si>
    <t>Release Link cannot be changed after creation</t>
  </si>
  <si>
    <t>Sign-off linked to Release A</t>
  </si>
  <si>
    <t>Attempt to change link to Release B</t>
  </si>
  <si>
    <t>Blocked - Release link is immutable</t>
  </si>
  <si>
    <t>Sign-off cannot be moved to a different release</t>
  </si>
  <si>
    <t>SIGN-TC-066</t>
  </si>
  <si>
    <t>Expired sign-off immutable</t>
  </si>
  <si>
    <t>Sign-off status = Expired (auto)</t>
  </si>
  <si>
    <t>Attempt to modify any field</t>
  </si>
  <si>
    <t>Expired sign-offs cannot be modified</t>
  </si>
  <si>
    <t>SIGN-TC-067</t>
  </si>
  <si>
    <t>6. Permissions &amp; Role-Based Access</t>
  </si>
  <si>
    <t>Only Dev gate owner can approve Dev Sign-Off</t>
  </si>
  <si>
    <t>User is designated Dev gate owner for the release</t>
  </si>
  <si>
    <t>Approve Dev Sign-Off</t>
  </si>
  <si>
    <t>Sign-off approved. Gate owner recorded.</t>
  </si>
  <si>
    <t>SIGN-TC-068</t>
  </si>
  <si>
    <t>Only Test gate owner can approve Test Sign-Off</t>
  </si>
  <si>
    <t>User is designated Test gate owner for the release</t>
  </si>
  <si>
    <t>Approve Test Sign-Off</t>
  </si>
  <si>
    <t>SIGN-TC-069</t>
  </si>
  <si>
    <t>Only UAT gate owner can approve UAT Sign-Off</t>
  </si>
  <si>
    <t>User is designated UAT gate owner for the release</t>
  </si>
  <si>
    <t>Approve UAT Sign-Off</t>
  </si>
  <si>
    <t>SIGN-TC-070</t>
  </si>
  <si>
    <t>Only Security gate owner can approve Security Sign-Off</t>
  </si>
  <si>
    <t>User is designated Security gate owner</t>
  </si>
  <si>
    <t>Approve Security Sign-Off</t>
  </si>
  <si>
    <t>SIGN-TC-071</t>
  </si>
  <si>
    <t>Only Business gate owner can approve Business Sign-Off</t>
  </si>
  <si>
    <t>User is designated Business gate owner</t>
  </si>
  <si>
    <t>Approve Business Sign-Off</t>
  </si>
  <si>
    <t>SIGN-TC-072</t>
  </si>
  <si>
    <t>Only Ops gate owner can approve Ops Sign-Off</t>
  </si>
  <si>
    <t>User is designated Ops gate owner</t>
  </si>
  <si>
    <t>SIGN-TC-073</t>
  </si>
  <si>
    <t>Non-gate owner cannot approve sign-off</t>
  </si>
  <si>
    <t>User is NOT designated as gate owner for any type</t>
  </si>
  <si>
    <t>Attempt to approve any sign-off</t>
  </si>
  <si>
    <t>Blocked - Not authorized</t>
  </si>
  <si>
    <t>You must be the designated gate owner to approve this sign-off</t>
  </si>
  <si>
    <t>SIGN-TC-074</t>
  </si>
  <si>
    <t>Delegate can approve on behalf of gate owner</t>
  </si>
  <si>
    <t>Gate owner has designated user as delegate for specified period</t>
  </si>
  <si>
    <t>Delegate approves sign-off during delegation period</t>
  </si>
  <si>
    <t>Sign-off approved. Delegate recorded as approver.</t>
  </si>
  <si>
    <t>Approved by delegate on behalf of [gate owner]</t>
  </si>
  <si>
    <t>SIGN-TC-075</t>
  </si>
  <si>
    <t>Delegate approval outside delegation period blocked</t>
  </si>
  <si>
    <t>Former delegate attempts to approve sign-off</t>
  </si>
  <si>
    <t>Blocked - Delegation expired</t>
  </si>
  <si>
    <t>Your delegation authority has expired</t>
  </si>
  <si>
    <t>SIGN-TC-076</t>
  </si>
  <si>
    <t>Release Owner can view all sign-offs</t>
  </si>
  <si>
    <t>View all sign-offs for the release</t>
  </si>
  <si>
    <t>All sign-off records visible. Details accessible.</t>
  </si>
  <si>
    <t>SIGN-TC-077</t>
  </si>
  <si>
    <t>Stakeholder can view sign-off status</t>
  </si>
  <si>
    <t>User is assigned as stakeholder on release</t>
  </si>
  <si>
    <t>View sign-off summary</t>
  </si>
  <si>
    <t>Sign-off status visible (Pending/Approved/Rejected)</t>
  </si>
  <si>
    <t>SIGN-TC-078</t>
  </si>
  <si>
    <t>Unauthorized user cannot view sign-off details</t>
  </si>
  <si>
    <t>SEC</t>
  </si>
  <si>
    <t>User has no role on the release</t>
  </si>
  <si>
    <t>Attempt to view sign-off details</t>
  </si>
  <si>
    <t>Blocked - No access</t>
  </si>
  <si>
    <t>You do not have permission to view this sign-off</t>
  </si>
  <si>
    <t>SIGN-TC-079</t>
  </si>
  <si>
    <t>Admin can view all sign-offs</t>
  </si>
  <si>
    <t>View any sign-off in system</t>
  </si>
  <si>
    <t>All sign-off details accessible</t>
  </si>
  <si>
    <t>SIGN-TC-080</t>
  </si>
  <si>
    <t>Admin cannot approve sign-offs (unless gate owner)</t>
  </si>
  <si>
    <t>User has Admin role but is NOT gate owner</t>
  </si>
  <si>
    <t>Blocked - Admin is not gate owner</t>
  </si>
  <si>
    <t>Admin role does not grant sign-off authority</t>
  </si>
  <si>
    <t>SIGN-TC-081</t>
  </si>
  <si>
    <t>7. Readiness Percentage Integration</t>
  </si>
  <si>
    <t>Sign-off approval increases Readiness %</t>
  </si>
  <si>
    <t>§2-02, AV-20</t>
  </si>
  <si>
    <t>Release Readiness = 60%. Dev Sign-Off = Pending</t>
  </si>
  <si>
    <t>Readiness % increases (e.g., 60% → 70%)</t>
  </si>
  <si>
    <t>SIGN-TC-082</t>
  </si>
  <si>
    <t>All sign-offs approved contributes to 100% readiness</t>
  </si>
  <si>
    <t>Dev, Test, UAT all Approved; no blockers; deps met</t>
  </si>
  <si>
    <t>View Readiness %</t>
  </si>
  <si>
    <t>Readiness = 100% (or near 100%)</t>
  </si>
  <si>
    <t>SIGN-TC-083</t>
  </si>
  <si>
    <t>Pending sign-offs reduce Readiness %</t>
  </si>
  <si>
    <t>Release has pending sign-offs</t>
  </si>
  <si>
    <t>Readiness reflects incomplete sign-offs</t>
  </si>
  <si>
    <t>SIGN-TC-084</t>
  </si>
  <si>
    <t>Rejected sign-off drops Readiness %</t>
  </si>
  <si>
    <t>Dev Sign-Off was Approved (Readiness 80%)</t>
  </si>
  <si>
    <t>New Dev Sign-Off submitted and Rejected</t>
  </si>
  <si>
    <t>Readiness % decreases to reflect rejection</t>
  </si>
  <si>
    <t>SIGN-TC-085</t>
  </si>
  <si>
    <t>Readiness warning when &lt; 75% near CAB date</t>
  </si>
  <si>
    <t>Readiness = 65%; CAB date is in 1 day; sign-offs incomplete</t>
  </si>
  <si>
    <t>System runs T-minus check</t>
  </si>
  <si>
    <t>Warning displayed to RM showing gaps including incomplete sign-offs</t>
  </si>
  <si>
    <t>Readiness below 75%: Missing sign-offs [list]</t>
  </si>
  <si>
    <t>SIGN-TC-086</t>
  </si>
  <si>
    <t>Readiness % cannot be manually edited</t>
  </si>
  <si>
    <t>Release has Readiness = 70%</t>
  </si>
  <si>
    <t>Attempt to manually change Readiness to 100%</t>
  </si>
  <si>
    <t>Blocked - Readiness is computed field</t>
  </si>
  <si>
    <t>Readiness Percentage is calculated and cannot be manually edited</t>
  </si>
  <si>
    <t>SIGN-TC-087</t>
  </si>
  <si>
    <t>Conditional approval partially affects Readiness</t>
  </si>
  <si>
    <t>Readiness reflects conditional status (may show warning)</t>
  </si>
  <si>
    <t>Conditions pending resolution</t>
  </si>
  <si>
    <t>SIGN-TC-088</t>
  </si>
  <si>
    <t>Security sign-off affects Readiness for flagged releases</t>
  </si>
  <si>
    <t>VR-37, §2-02</t>
  </si>
  <si>
    <t>Security Flag = Yes; Security Sign-Off = Pending</t>
  </si>
  <si>
    <t>Readiness reflects missing security sign-off</t>
  </si>
  <si>
    <t>SIGN-TC-089</t>
  </si>
  <si>
    <t>Ops sign-off not included in Pending CAB readiness</t>
  </si>
  <si>
    <t>Dev, Test, UAT Approved; Ops = Pending</t>
  </si>
  <si>
    <t>View Readiness % for Pending CAB gate</t>
  </si>
  <si>
    <t>Readiness = 100% for Pending CAB (Ops required for Ready)</t>
  </si>
  <si>
    <t>SIGN-TC-090</t>
  </si>
  <si>
    <t>Readiness recalculated on sign-off change</t>
  </si>
  <si>
    <t>Sign-off status changes</t>
  </si>
  <si>
    <t>Monitor Readiness % after change</t>
  </si>
  <si>
    <t>Readiness % recalculated immediately</t>
  </si>
  <si>
    <t>SIGN-TC-091</t>
  </si>
  <si>
    <t>8. Cascading &amp; Related Entity Behavior</t>
  </si>
  <si>
    <t>Release has active sign-offs (Pending, Approved)</t>
  </si>
  <si>
    <t>All sign-offs marked as Withdrawn/Cancelled</t>
  </si>
  <si>
    <t>Sign-offs cancelled due to release cancellation</t>
  </si>
  <si>
    <t>SIGN-TC-092</t>
  </si>
  <si>
    <t>Scope change after Approved reverts status (sign-offs preserved)</t>
  </si>
  <si>
    <t>Release = Approved; all sign-offs Approved</t>
  </si>
  <si>
    <t>Edit scope-affecting field (Priority, Size, Scope)</t>
  </si>
  <si>
    <t>Release reverts to Pending CAB. Sign-offs remain Approved.</t>
  </si>
  <si>
    <t>Re-approval required due to scope change</t>
  </si>
  <si>
    <t>SIGN-TC-093</t>
  </si>
  <si>
    <t>Sign-offs linked correctly to parent release</t>
  </si>
  <si>
    <t>Multiple sign-offs exist for release</t>
  </si>
  <si>
    <t>Query sign-offs by release</t>
  </si>
  <si>
    <t>All sign-offs returned with correct release link</t>
  </si>
  <si>
    <t>SIGN-TC-094</t>
  </si>
  <si>
    <t>Orphan sign-off prevention on release deletion</t>
  </si>
  <si>
    <t>Sign-offs exist for release</t>
  </si>
  <si>
    <t>Attempt to delete release directly</t>
  </si>
  <si>
    <t>Blocked - Must cancel release first (triggers cascade)</t>
  </si>
  <si>
    <t>Cannot delete release with active sign-offs</t>
  </si>
  <si>
    <t>SIGN-TC-095</t>
  </si>
  <si>
    <t>Sign-off shows release details in view</t>
  </si>
  <si>
    <t>UI</t>
  </si>
  <si>
    <t>Sign-off exists linked to release</t>
  </si>
  <si>
    <t>View sign-off details</t>
  </si>
  <si>
    <t>Release Name, Status, Owner visible from sign-off</t>
  </si>
  <si>
    <t>SIGN-TC-096</t>
  </si>
  <si>
    <t>Release shows sign-off summary</t>
  </si>
  <si>
    <t>Release has multiple sign-offs</t>
  </si>
  <si>
    <t>Sign-off checklist shows all types with status indicators</t>
  </si>
  <si>
    <t>Dev ✓ Test ✓ UAT ✗ Security N/A Ops —</t>
  </si>
  <si>
    <t>SIGN-TC-097</t>
  </si>
  <si>
    <t>Rejected release allows new sign-offs after rework</t>
  </si>
  <si>
    <t>Release rejected and returned to Planning; old sign-offs invalid</t>
  </si>
  <si>
    <t>Create new sign-offs after rework</t>
  </si>
  <si>
    <t>New sign-offs created. Previous rejected sign-offs archived.</t>
  </si>
  <si>
    <t>SIGN-TC-098</t>
  </si>
  <si>
    <t>Rolled back release preserves sign-off history</t>
  </si>
  <si>
    <t>Release was Deployed then Rolled Back; sign-offs exist</t>
  </si>
  <si>
    <t>View sign-off history</t>
  </si>
  <si>
    <t>Original sign-offs preserved for audit. New cycle may require new sign-offs.</t>
  </si>
  <si>
    <t>SIGN-TC-099</t>
  </si>
  <si>
    <t>Deferred release preserves sign-offs</t>
  </si>
  <si>
    <t>Release = Deferred; all sign-offs Approved</t>
  </si>
  <si>
    <t>Reactivate release (move to Pending CAB)</t>
  </si>
  <si>
    <t>Original sign-offs still valid unless expired</t>
  </si>
  <si>
    <t>SIGN-TC-100</t>
  </si>
  <si>
    <t>Approval expiry does not affect sign-offs</t>
  </si>
  <si>
    <t>CAB Approval expires after 30 days</t>
  </si>
  <si>
    <t>View sign-offs</t>
  </si>
  <si>
    <t>Sign-offs remain Approved (independent of CAB approval)</t>
  </si>
  <si>
    <t>SIGN-TC-101</t>
  </si>
  <si>
    <t>9. Audit Trail &amp; History</t>
  </si>
  <si>
    <t>Sign-off approval creates audit entry</t>
  </si>
  <si>
    <t>Audit entry created: signatory, timestamp, decision=Approved, comments</t>
  </si>
  <si>
    <t>SIGN-TC-102</t>
  </si>
  <si>
    <t>Sign-off rejection creates audit entry</t>
  </si>
  <si>
    <t>Reject sign-off with reason</t>
  </si>
  <si>
    <t>Audit entry created: signatory, timestamp, decision=Rejected, reason</t>
  </si>
  <si>
    <t>SIGN-TC-103</t>
  </si>
  <si>
    <t>Conditional approval records conditions in audit</t>
  </si>
  <si>
    <t>Approve with conditions</t>
  </si>
  <si>
    <t>Audit entry includes conditions text</t>
  </si>
  <si>
    <t>SIGN-TC-104</t>
  </si>
  <si>
    <t>Audit entries are immutable</t>
  </si>
  <si>
    <t>Audit entry exists for sign-off decision</t>
  </si>
  <si>
    <t>Attempt to modify audit entry</t>
  </si>
  <si>
    <t>Blocked - Audit records cannot be modified</t>
  </si>
  <si>
    <t>Audit trail is immutable for compliance</t>
  </si>
  <si>
    <t>SIGN-TC-105</t>
  </si>
  <si>
    <t>Full sign-off history viewable</t>
  </si>
  <si>
    <t>Sign-off has been modified multiple times (Pending → Rejected → new sign-off → Approved)</t>
  </si>
  <si>
    <t>View sign-off audit history</t>
  </si>
  <si>
    <t>Complete history shown with all state changes</t>
  </si>
  <si>
    <t>SIGN-TC-106</t>
  </si>
  <si>
    <t>Delegate approval audit shows both delegate and principal</t>
  </si>
  <si>
    <t>AUDIT-03, ROLE-09</t>
  </si>
  <si>
    <t>Delegate approves sign-off</t>
  </si>
  <si>
    <t>Audit shows: Approved by [delegate] on behalf of [gate owner]</t>
  </si>
  <si>
    <t>SIGN-TC-107</t>
  </si>
  <si>
    <t>Sign-off expiry recorded in audit</t>
  </si>
  <si>
    <t>Sign-off auto-expires due to SLA</t>
  </si>
  <si>
    <t>Audit entry: Status changed to Expired by System (SLA exceeded)</t>
  </si>
  <si>
    <t>SIGN-TC-108</t>
  </si>
  <si>
    <t>Withdrawal recorded in audit</t>
  </si>
  <si>
    <t>Sign-off withdrawn</t>
  </si>
  <si>
    <t>Audit entry: Status changed to Withdrawn by [user]</t>
  </si>
  <si>
    <t>SIGN-TC-109</t>
  </si>
  <si>
    <t>Audit includes IP address/session info</t>
  </si>
  <si>
    <t>Sign-off approved</t>
  </si>
  <si>
    <t>View detailed audit</t>
  </si>
  <si>
    <t>Audit includes: IP address, session ID, browser info</t>
  </si>
  <si>
    <t>SIGN-TC-110</t>
  </si>
  <si>
    <t>Audit searchable by signatory</t>
  </si>
  <si>
    <t>Multiple sign-offs approved by different users</t>
  </si>
  <si>
    <t>Search audit by signatory name</t>
  </si>
  <si>
    <t>All sign-off decisions by that signatory returned</t>
  </si>
  <si>
    <t>SIGN-TC-111</t>
  </si>
  <si>
    <t>10. Notifications &amp; Alerts</t>
  </si>
  <si>
    <t>Gate owner notified when sign-off requested</t>
  </si>
  <si>
    <t>New sign-off created for release</t>
  </si>
  <si>
    <t>Sign-off record created with Pending status</t>
  </si>
  <si>
    <t>Gate owner receives notification to review and approve</t>
  </si>
  <si>
    <t>Sign-off request pending your approval</t>
  </si>
  <si>
    <t>SIGN-TC-112</t>
  </si>
  <si>
    <t>Release owner notified when sign-off approved</t>
  </si>
  <si>
    <t>Gate owner approves sign-off</t>
  </si>
  <si>
    <t>Release owner notified of approval</t>
  </si>
  <si>
    <t>[Type] Sign-Off approved for [Release Name]</t>
  </si>
  <si>
    <t>SIGN-TC-113</t>
  </si>
  <si>
    <t>Release owner notified when sign-off rejected</t>
  </si>
  <si>
    <t>Gate owner rejects sign-off</t>
  </si>
  <si>
    <t>Release owner notified of rejection with reason</t>
  </si>
  <si>
    <t>[Type] Sign-Off rejected: [reason]</t>
  </si>
  <si>
    <t>SIGN-TC-114</t>
  </si>
  <si>
    <t>Reminder sent for pending sign-offs</t>
  </si>
  <si>
    <t>NOTIF, AV</t>
  </si>
  <si>
    <t>Sign-off pending for 48+ hours</t>
  </si>
  <si>
    <t>System sends reminder</t>
  </si>
  <si>
    <t>Gate owner receives reminder notification</t>
  </si>
  <si>
    <t>Reminder: Sign-off pending your action for [Release]</t>
  </si>
  <si>
    <t>SIGN-TC-115</t>
  </si>
  <si>
    <t>Escalation for overdue sign-offs</t>
  </si>
  <si>
    <t>Sign-off pending beyond SLA (e.g., 5 days)</t>
  </si>
  <si>
    <t>System triggers escalation</t>
  </si>
  <si>
    <t>Escalation notification sent to gate owner's manager</t>
  </si>
  <si>
    <t>Escalation: Sign-off overdue for [Release]</t>
  </si>
  <si>
    <t>SIGN-TC-116</t>
  </si>
  <si>
    <t>All sign-offs complete notification to RM</t>
  </si>
  <si>
    <t>Final required sign-off approved</t>
  </si>
  <si>
    <t>System detects all gates cleared</t>
  </si>
  <si>
    <t>Release Manager notified: Ready for CAB submission</t>
  </si>
  <si>
    <t>All sign-offs complete for [Release Name]</t>
  </si>
  <si>
    <t>SIGN-TC-117</t>
  </si>
  <si>
    <t>Conditional approval notification includes conditions</t>
  </si>
  <si>
    <t>Notification sent</t>
  </si>
  <si>
    <t>Notification includes condition details</t>
  </si>
  <si>
    <t>Approved with conditions: [condition text]</t>
  </si>
  <si>
    <t>SIGN-TC-118</t>
  </si>
  <si>
    <t>Sign-off expiry warning</t>
  </si>
  <si>
    <t>Sign-off approaching SLA deadline</t>
  </si>
  <si>
    <t>1 day before SLA expiry</t>
  </si>
  <si>
    <t>Warning sent to gate owner and release owner</t>
  </si>
  <si>
    <t>Warning: Sign-off will expire in 24 hours</t>
  </si>
  <si>
    <t>SIGN-TC-119</t>
  </si>
  <si>
    <t>Sign-off expired notification</t>
  </si>
  <si>
    <t>Sign-off expires due to SLA</t>
  </si>
  <si>
    <t>System auto-expires sign-off</t>
  </si>
  <si>
    <t>Notification sent: Sign-off expired</t>
  </si>
  <si>
    <t>Sign-off expired. New request required.</t>
  </si>
  <si>
    <t>SIGN-TC-120</t>
  </si>
  <si>
    <t>Delegate notified when delegation activated</t>
  </si>
  <si>
    <t>NOTIF, ROLE-09</t>
  </si>
  <si>
    <t>Gate owner creates delegation</t>
  </si>
  <si>
    <t>Delegation period starts</t>
  </si>
  <si>
    <t>Delegate notified of delegation</t>
  </si>
  <si>
    <t>You have been delegated sign-off authority for [Type] until [date]</t>
  </si>
  <si>
    <t>SIGN-TC-121</t>
  </si>
  <si>
    <t>11. Sign-Off Expiry &amp; SLA</t>
  </si>
  <si>
    <t>Sign-off auto-expires after SLA exceeded</t>
  </si>
  <si>
    <t>Sign-off pending for longer than SLA period (e.g., 7 days)</t>
  </si>
  <si>
    <t>System runs expiry check</t>
  </si>
  <si>
    <t>Status changes to Expired automatically</t>
  </si>
  <si>
    <t>Sign-off expired due to SLA timeout</t>
  </si>
  <si>
    <t>SIGN-TC-122</t>
  </si>
  <si>
    <t>Expired sign-off blocks release progression</t>
  </si>
  <si>
    <t>Dev Sign-Off = Expired</t>
  </si>
  <si>
    <t>Blocked - Expired sign-off</t>
  </si>
  <si>
    <t>Dev Sign-Off has expired. New sign-off required.</t>
  </si>
  <si>
    <t>SIGN-TC-123</t>
  </si>
  <si>
    <t>New sign-off can be created after expiry</t>
  </si>
  <si>
    <t>Previous Dev Sign-Off = Expired</t>
  </si>
  <si>
    <t>Create new Dev Sign-Off request</t>
  </si>
  <si>
    <t>New sign-off created in Pending status</t>
  </si>
  <si>
    <t>SIGN-TC-124</t>
  </si>
  <si>
    <t>SLA clock starts from sign-off creation</t>
  </si>
  <si>
    <t>Sign-off created at time T</t>
  </si>
  <si>
    <t>Wait until T + SLA period</t>
  </si>
  <si>
    <t>Expiry occurs at T + SLA period</t>
  </si>
  <si>
    <t>SIGN-TC-125</t>
  </si>
  <si>
    <t>Different sign-off types may have different SLAs</t>
  </si>
  <si>
    <t>SLA, Reference Data</t>
  </si>
  <si>
    <t>Security Sign-Off has shorter SLA than Dev Sign-Off</t>
  </si>
  <si>
    <t>Both created at same time</t>
  </si>
  <si>
    <t>Security expires first if SLAs differ</t>
  </si>
  <si>
    <t>SIGN-TC-126</t>
  </si>
  <si>
    <t>Sign-off SLA pauses when release is Blocked</t>
  </si>
  <si>
    <t>Release enters Blocked status; sign-off pending</t>
  </si>
  <si>
    <t>Wait during blocked period</t>
  </si>
  <si>
    <t>SLA clock pauses. Resumes when unblocked.</t>
  </si>
  <si>
    <t>SIGN-TC-127</t>
  </si>
  <si>
    <t>Expiry check runs on schedule</t>
  </si>
  <si>
    <t>AV, SLA</t>
  </si>
  <si>
    <t>Multiple sign-offs pending across releases</t>
  </si>
  <si>
    <t>System runs scheduled expiry job</t>
  </si>
  <si>
    <t>All expired sign-offs identified and updated</t>
  </si>
  <si>
    <t>SIGN-TC-128</t>
  </si>
  <si>
    <t>Manual expiry not allowed</t>
  </si>
  <si>
    <t>Sign-off in Pending status within SLA</t>
  </si>
  <si>
    <t>Attempt to manually set status to Expired</t>
  </si>
  <si>
    <t>Blocked - Only system can expire</t>
  </si>
  <si>
    <t>Sign-offs can only be expired by the system</t>
  </si>
  <si>
    <t>SIGN-TC-129</t>
  </si>
  <si>
    <t>12. Sign-Off Edge Cases</t>
  </si>
  <si>
    <t>Concurrent sign-off and release cancellation</t>
  </si>
  <si>
    <t>User A signing off while User B cancels the release</t>
  </si>
  <si>
    <t>Release cancelled — sign-off not applied</t>
  </si>
  <si>
    <t>SIGN-TC-130</t>
  </si>
  <si>
    <t>Concurrent sign-off approvals by two delegates</t>
  </si>
  <si>
    <t>Concurrency, ROLE-09</t>
  </si>
  <si>
    <t>Two valid delegates both try to approve same sign-off</t>
  </si>
  <si>
    <t>Both click Approve simultaneously</t>
  </si>
  <si>
    <t>First approval wins. Second sees already-approved message.</t>
  </si>
  <si>
    <t>Sign-off already approved by [delegate1]</t>
  </si>
  <si>
    <t>SIGN-TC-131</t>
  </si>
  <si>
    <t>Sign-off exactly at SLA deadline</t>
  </si>
  <si>
    <t>SLA expires at exactly 5:00 PM</t>
  </si>
  <si>
    <t>Approve at exactly 5:00:00 PM</t>
  </si>
  <si>
    <t>Approved if within boundary (at exact time)</t>
  </si>
  <si>
    <t>SIGN-TC-132</t>
  </si>
  <si>
    <t>Sign-off one second past SLA deadline</t>
  </si>
  <si>
    <t>SLA expires at 5:00 PM</t>
  </si>
  <si>
    <t>Attempt to approve at 5:00:01 PM</t>
  </si>
  <si>
    <t>Blocked - Sign-off has expired</t>
  </si>
  <si>
    <t>SIGN-TC-133</t>
  </si>
  <si>
    <t>Session expires during sign-off approval</t>
  </si>
  <si>
    <t>User reviewing sign-off for 2+ hours; session expires</t>
  </si>
  <si>
    <t>User clicks Approve</t>
  </si>
  <si>
    <t>Redirected to login. Action not completed.</t>
  </si>
  <si>
    <t>SIGN-TC-134</t>
  </si>
  <si>
    <t>Permission revoked while viewing sign-off</t>
  </si>
  <si>
    <t>User has sign-off view access; admin revokes access</t>
  </si>
  <si>
    <t>User attempts to approve after revocation</t>
  </si>
  <si>
    <t>Blocked - Access denied on action</t>
  </si>
  <si>
    <t>Your access to this sign-off has been revoked</t>
  </si>
  <si>
    <t>SIGN-TC-135</t>
  </si>
  <si>
    <t>Delegate permission expires mid-approval</t>
  </si>
  <si>
    <t>Delegation expires at 5:00 PM; user starts approval at 4:59 PM</t>
  </si>
  <si>
    <t>Approval submitted at 5:01 PM</t>
  </si>
  <si>
    <t>Your delegation authority expired at 5:00 PM</t>
  </si>
  <si>
    <t>SIGN-TC-136</t>
  </si>
  <si>
    <t>Network failure during sign-off save</t>
  </si>
  <si>
    <t>Network drops during sign-off approval submission</t>
  </si>
  <si>
    <t>Previous partial changes rolled back. Clean approval allowed.</t>
  </si>
  <si>
    <t>Previous action failed — please try again</t>
  </si>
  <si>
    <t>SIGN-TC-137</t>
  </si>
  <si>
    <t>Database timeout during sign-off query</t>
  </si>
  <si>
    <t>Database times out during sign-off load</t>
  </si>
  <si>
    <t>Sign-off loads with latest data. No stale cache.</t>
  </si>
  <si>
    <t>SIGN-TC-138</t>
  </si>
  <si>
    <t>Release with all sign-off types (6 types)</t>
  </si>
  <si>
    <t>Data Volume</t>
  </si>
  <si>
    <t>Release requires all 6 sign-off types</t>
  </si>
  <si>
    <t>Create and manage all 6 sign-offs</t>
  </si>
  <si>
    <t>All sign-offs tracked correctly. Gate checklist complete.</t>
  </si>
  <si>
    <t>SIGN-TC-139</t>
  </si>
  <si>
    <t>Sign-off for release at year boundary</t>
  </si>
  <si>
    <t>Release spans Dec 31 to Jan 2; sign-off submitted Dec 31</t>
  </si>
  <si>
    <t>Process sign-off approval</t>
  </si>
  <si>
    <t>SIGN-TC-140</t>
  </si>
  <si>
    <t>Sign-off on leap year date (Feb 29)</t>
  </si>
  <si>
    <t>Sign-off created on Feb 29 in leap year</t>
  </si>
  <si>
    <t>Save and retrieve sign-off</t>
  </si>
  <si>
    <t>Date stored and displayed correctly</t>
  </si>
  <si>
    <t>SIGN-TC-141</t>
  </si>
  <si>
    <t>Unicode characters in sign-off comments</t>
  </si>
  <si>
    <t>User enters comments with Unicode: 'Approved ✓ 日本語テスト'</t>
  </si>
  <si>
    <t>Comments saved and displayed correctly</t>
  </si>
  <si>
    <t>SIGN-TC-142</t>
  </si>
  <si>
    <t>Very long comments (5000+ characters)</t>
  </si>
  <si>
    <t>User enters extremely long comments</t>
  </si>
  <si>
    <t>Comments limited to [max] characters</t>
  </si>
  <si>
    <t>SIGN-TC-143</t>
  </si>
  <si>
    <t>Special characters in conditions field</t>
  </si>
  <si>
    <t>User enters conditions with &lt;script&gt; tags</t>
  </si>
  <si>
    <t>Input sanitized. No script execution.</t>
  </si>
  <si>
    <t>SIGN-TC-144</t>
  </si>
  <si>
    <t>SQL injection attempt in comments</t>
  </si>
  <si>
    <t>User enters: '; DROP TABLE signoffs;--</t>
  </si>
  <si>
    <t>Input sanitized. No SQL execution.</t>
  </si>
  <si>
    <t>SIGN-TC-145</t>
  </si>
  <si>
    <t>Bulk sign-off approval (multiple releases)</t>
  </si>
  <si>
    <t>UI/Workflow</t>
  </si>
  <si>
    <t>Gate owner has 10 pending sign-offs</t>
  </si>
  <si>
    <t>Attempt bulk approval action</t>
  </si>
  <si>
    <t>All 10 sign-offs approved. Audit entries for each.</t>
  </si>
  <si>
    <t>SIGN-TC-146</t>
  </si>
  <si>
    <t>Sign-off with maximum field lengths</t>
  </si>
  <si>
    <t>BV-Data</t>
  </si>
  <si>
    <t>All text fields filled to maximum allowed length</t>
  </si>
  <si>
    <t>All data saved correctly without truncation</t>
  </si>
  <si>
    <t>SIGN-TC-147</t>
  </si>
  <si>
    <t>Sign-off visibility with 50+ stakeholders</t>
  </si>
  <si>
    <t>Release has 50+ stakeholders</t>
  </si>
  <si>
    <t>All stakeholders view sign-off status</t>
  </si>
  <si>
    <t>Page loads within acceptable time. All access correct.</t>
  </si>
  <si>
    <t>SIGN-TC-148</t>
  </si>
  <si>
    <t>Rapid successive sign-off state changes</t>
  </si>
  <si>
    <t>Multiple gate owners approve different sign-offs within seconds</t>
  </si>
  <si>
    <t>Dev approved at T, Test approved at T+1s, UAT at T+2s</t>
  </si>
  <si>
    <t>All changes recorded correctly. No race conditions.</t>
  </si>
  <si>
    <t>SIGN-TC-149</t>
  </si>
  <si>
    <t>Sign-off during system maintenance window</t>
  </si>
  <si>
    <t>System enters maintenance mode during approval</t>
  </si>
  <si>
    <t>Action queued or blocked with maintenance message</t>
  </si>
  <si>
    <t>System maintenance in progress. Please try later.</t>
  </si>
  <si>
    <t>SIGN-TC-150</t>
  </si>
  <si>
    <t>Timezone handling for global teams</t>
  </si>
  <si>
    <t>Gate owner in UTC+10, Release owner in UTC-5</t>
  </si>
  <si>
    <t>Sign-off approved at 11 PM UTC+10</t>
  </si>
  <si>
    <t>Timestamps consistent. Both users see correct local times.</t>
  </si>
  <si>
    <t>SIGN-TC-151</t>
  </si>
  <si>
    <t>Sign-off request for archived release</t>
  </si>
  <si>
    <t>Release is archived (old, completed)</t>
  </si>
  <si>
    <t>Blocked - Release is archived</t>
  </si>
  <si>
    <t>Cannot add sign-offs to archived releases</t>
  </si>
  <si>
    <t>SIGN-TC-152</t>
  </si>
  <si>
    <t>Circular delegation prevention</t>
  </si>
  <si>
    <t>User A delegates to B, B tries to delegate back to A</t>
  </si>
  <si>
    <t>B attempts to create delegation to A</t>
  </si>
  <si>
    <t>Blocked - Circular delegation</t>
  </si>
  <si>
    <t>Circular delegations are not allowed</t>
  </si>
  <si>
    <t>SIGN-OFF TEST SUITE SUMMARY</t>
  </si>
  <si>
    <t>VR-14 (Sign-Off Gate Requirements)</t>
  </si>
  <si>
    <t>VR-24 (CAB Submission Completeness)</t>
  </si>
  <si>
    <t>VR-30 (Test Sign-Off Before UAT)</t>
  </si>
  <si>
    <t>VR-31 (Ops Sign-Off Before Ready)</t>
  </si>
  <si>
    <t>VR-37 (Security Sign-Off Required)</t>
  </si>
  <si>
    <t>VR-17 (Readiness Threshold Check)</t>
  </si>
  <si>
    <t>VR-21 (Scope Change After Approved)</t>
  </si>
  <si>
    <t>§2-02 (Readiness Percentage)</t>
  </si>
  <si>
    <t>§3-05 (Sign-Off Lock After Submitted)</t>
  </si>
  <si>
    <t>§3-08 (Rejected Field Unlock)</t>
  </si>
  <si>
    <t>§3-21 (Sign-Off Completion Lock)</t>
  </si>
  <si>
    <t>ROLE-01 (Gate Owner Exclusive Sign-Off)</t>
  </si>
  <si>
    <t>ROLE-09 (Delegate Approval)</t>
  </si>
  <si>
    <t>CASC-12 (Cancellation Cascade)</t>
  </si>
  <si>
    <t>AUDIT-03 (Approval Audit)</t>
  </si>
  <si>
    <t>AV-20 (Readiness % Update)</t>
  </si>
  <si>
    <t>Sign-Off Lifecycle (All States)</t>
  </si>
  <si>
    <t>BLK-TC-001</t>
  </si>
  <si>
    <t>1. Blocker Creation &amp; Field Validation</t>
  </si>
  <si>
    <t>Create blocker with all required fields</t>
  </si>
  <si>
    <t>§1-09, Entity</t>
  </si>
  <si>
    <t>Enter Description (15 chars), Severity=High, Owner=valid user, link to release.</t>
  </si>
  <si>
    <t>Blocker created successfully with Status=Open.</t>
  </si>
  <si>
    <t>Blocker BLK-xxxxxx created.</t>
  </si>
  <si>
    <t>BLK-TC-002</t>
  </si>
  <si>
    <t>Blocker ID auto-generated and read-only</t>
  </si>
  <si>
    <t>Auto-Gen</t>
  </si>
  <si>
    <t>Blocker creation form displayed.</t>
  </si>
  <si>
    <t>Attempt to type in the Blocker ID field.</t>
  </si>
  <si>
    <t>Field is read-only. System auto-generates unique ID on save.</t>
  </si>
  <si>
    <t>ID field not editable.</t>
  </si>
  <si>
    <t>BLK-TC-003</t>
  </si>
  <si>
    <t>Create blocker with minimum description length</t>
  </si>
  <si>
    <t>Blocker form open.</t>
  </si>
  <si>
    <t>Enter exactly 10-character description.</t>
  </si>
  <si>
    <t>Accepted. Blocker created.</t>
  </si>
  <si>
    <t>BLK-TC-004</t>
  </si>
  <si>
    <t>Reject blocker with description &lt; 10 characters</t>
  </si>
  <si>
    <t>Enter 9-character description and save.</t>
  </si>
  <si>
    <t>Rejected. Validation error displayed.</t>
  </si>
  <si>
    <t>Description must be at least 10 characters.</t>
  </si>
  <si>
    <t>BLK-TC-005</t>
  </si>
  <si>
    <t>Reject blocker with blank description</t>
  </si>
  <si>
    <t>Leave Description blank and save.</t>
  </si>
  <si>
    <t>Rejected. Required field error.</t>
  </si>
  <si>
    <t>Blocker Description is required.</t>
  </si>
  <si>
    <t>BLK-TC-006</t>
  </si>
  <si>
    <t>Create blocker with Critical severity</t>
  </si>
  <si>
    <t>Select Severity=Critical, fill all required fields.</t>
  </si>
  <si>
    <t>Blocker created with Critical severity.</t>
  </si>
  <si>
    <t>BLK-TC-007</t>
  </si>
  <si>
    <t>Create blocker with Medium severity</t>
  </si>
  <si>
    <t>Select Severity=Medium, fill all required fields.</t>
  </si>
  <si>
    <t>Blocker created with Medium severity.</t>
  </si>
  <si>
    <t>BLK-TC-008</t>
  </si>
  <si>
    <t>Create blocker with Low severity</t>
  </si>
  <si>
    <t>Select Severity=Low, fill all required fields.</t>
  </si>
  <si>
    <t>Blocker created with Low severity.</t>
  </si>
  <si>
    <t>BLK-TC-009</t>
  </si>
  <si>
    <t>Reject blocker without owner assignment</t>
  </si>
  <si>
    <t>Fill all fields except Owner and save.</t>
  </si>
  <si>
    <t>Rejected. Owner is required.</t>
  </si>
  <si>
    <t>Blocker Owner is required.</t>
  </si>
  <si>
    <t>BLK-TC-010</t>
  </si>
  <si>
    <t>Reject blocker without release link</t>
  </si>
  <si>
    <t>Fill all fields but don't link to any release.</t>
  </si>
  <si>
    <t>Rejected. Release link required.</t>
  </si>
  <si>
    <t>Blocker must be linked to a release.</t>
  </si>
  <si>
    <t>BLK-TC-011</t>
  </si>
  <si>
    <t>Create blocker with optional notes field</t>
  </si>
  <si>
    <t>Fill required fields plus optional Notes field.</t>
  </si>
  <si>
    <t>Blocker created with notes captured.</t>
  </si>
  <si>
    <t>BLK-TC-012</t>
  </si>
  <si>
    <t>Blocker inherits release context on creation</t>
  </si>
  <si>
    <t>User opens blocker form from within release context.</t>
  </si>
  <si>
    <t>Create new blocker.</t>
  </si>
  <si>
    <t>Release link auto-populated from context.</t>
  </si>
  <si>
    <t>BLK-TC-013</t>
  </si>
  <si>
    <t>Reject blocker creation for cancelled release</t>
  </si>
  <si>
    <t>Release is in Cancelled status.</t>
  </si>
  <si>
    <t>Attempt to create new blocker for this release.</t>
  </si>
  <si>
    <t>Rejected. Cannot add blockers to cancelled release.</t>
  </si>
  <si>
    <t>Cannot create blockers for cancelled releases.</t>
  </si>
  <si>
    <t>BLK-TC-014</t>
  </si>
  <si>
    <t>Reject blocker creation for closed release</t>
  </si>
  <si>
    <t>Release is in Closed status.</t>
  </si>
  <si>
    <t>Rejected. Cannot add blockers to closed release.</t>
  </si>
  <si>
    <t>Cannot create blockers for closed releases.</t>
  </si>
  <si>
    <t>BLK-TC-015</t>
  </si>
  <si>
    <t>Reject blocker creation when release is Deploying</t>
  </si>
  <si>
    <t>Attempt to create new blocker.</t>
  </si>
  <si>
    <t>Rejected. Must use Incident instead.</t>
  </si>
  <si>
    <t>New blockers cannot be created for releases in Deploying status. Log as Incident instead.</t>
  </si>
  <si>
    <t>BLK-TC-016</t>
  </si>
  <si>
    <t>Reject blocker creation when release is Deployed</t>
  </si>
  <si>
    <t>Release Status = Deployed.</t>
  </si>
  <si>
    <t>New blockers cannot be created for deployed releases. Log as Incident instead.</t>
  </si>
  <si>
    <t>BLK-TC-017</t>
  </si>
  <si>
    <t>2. Blocker Status Transitions - Happy Path</t>
  </si>
  <si>
    <t>Open → In Progress transition</t>
  </si>
  <si>
    <t>Lifecycle</t>
  </si>
  <si>
    <t>Blocker exists with Status=Open.</t>
  </si>
  <si>
    <t>Change status to In Progress.</t>
  </si>
  <si>
    <t>Transition accepted. Status updated.</t>
  </si>
  <si>
    <t>BLK-TC-018</t>
  </si>
  <si>
    <t>Open → Cancelled transition</t>
  </si>
  <si>
    <t>Change status to Cancelled with reason.</t>
  </si>
  <si>
    <t>Transition accepted. Blocker cancelled.</t>
  </si>
  <si>
    <t>BLK-TC-019</t>
  </si>
  <si>
    <t>In Progress → Resolved transition</t>
  </si>
  <si>
    <t>Blocker exists with Status=In Progress.</t>
  </si>
  <si>
    <t>Change status to Resolved with resolution notes.</t>
  </si>
  <si>
    <t>Transition accepted. Status=Resolved.</t>
  </si>
  <si>
    <t>BLK-TC-020</t>
  </si>
  <si>
    <t>In Progress → Escalated transition</t>
  </si>
  <si>
    <t>Blocker in In Progress for extended time.</t>
  </si>
  <si>
    <t>Change status to Escalated.</t>
  </si>
  <si>
    <t>Transition accepted. Higher visibility triggered.</t>
  </si>
  <si>
    <t>BLK-TC-021</t>
  </si>
  <si>
    <t>In Progress → Cancelled transition</t>
  </si>
  <si>
    <t>BLK-TC-022</t>
  </si>
  <si>
    <t>Escalated → In Progress transition (de-escalate)</t>
  </si>
  <si>
    <t>Blocker exists with Status=Escalated.</t>
  </si>
  <si>
    <t>Change status back to In Progress.</t>
  </si>
  <si>
    <t>Transition accepted. De-escalated.</t>
  </si>
  <si>
    <t>BLK-TC-023</t>
  </si>
  <si>
    <t>Escalated → Resolved transition</t>
  </si>
  <si>
    <t>BLK-TC-024</t>
  </si>
  <si>
    <t>Escalated → Cancelled transition</t>
  </si>
  <si>
    <t>Change status to Cancelled with management approval.</t>
  </si>
  <si>
    <t>BLK-TC-025</t>
  </si>
  <si>
    <t>Resolved → Closed transition</t>
  </si>
  <si>
    <t>Blocker exists with Status=Resolved.</t>
  </si>
  <si>
    <t>Change status to Closed after verification.</t>
  </si>
  <si>
    <t>Transition accepted. Status=Closed (FINAL).</t>
  </si>
  <si>
    <t>BLK-TC-026</t>
  </si>
  <si>
    <t>Resolved → Reopened transition</t>
  </si>
  <si>
    <t>Blocker was Resolved but issue recurred.</t>
  </si>
  <si>
    <t>Change status to Reopened.</t>
  </si>
  <si>
    <t>Transition accepted. Status=Reopened.</t>
  </si>
  <si>
    <t>BLK-TC-027</t>
  </si>
  <si>
    <t>Reopened → In Progress transition</t>
  </si>
  <si>
    <t>Blocker exists with Status=Reopened.</t>
  </si>
  <si>
    <t>Change status to In Progress to work on it again.</t>
  </si>
  <si>
    <t>Transition accepted. Status=In Progress.</t>
  </si>
  <si>
    <t>BLK-TC-028</t>
  </si>
  <si>
    <t>Complete lifecycle: Open → In Progress → Resolved → Closed</t>
  </si>
  <si>
    <t>Blocker created with Status=Open.</t>
  </si>
  <si>
    <t>Progress through full happy path lifecycle.</t>
  </si>
  <si>
    <t>All transitions successful. Final status=Closed.</t>
  </si>
  <si>
    <t>BLK-TC-029</t>
  </si>
  <si>
    <t>Escalation path: Open → In Progress → Escalated → Resolved → Closed</t>
  </si>
  <si>
    <t>Progress through escalation path.</t>
  </si>
  <si>
    <t>BLK-TC-030</t>
  </si>
  <si>
    <t>Reopen path: Open → In Progress → Resolved → Reopened → In Progress → Resolved → Closed</t>
  </si>
  <si>
    <t>Blocker created, resolved, then issue recurred.</t>
  </si>
  <si>
    <t>Complete the reopen and re-resolve cycle.</t>
  </si>
  <si>
    <t>BLK-TC-031</t>
  </si>
  <si>
    <t>3. Blocker Status Transitions - Negative</t>
  </si>
  <si>
    <t>Reject Open → Resolved (skip In Progress)</t>
  </si>
  <si>
    <t>Attempt direct transition to Resolved.</t>
  </si>
  <si>
    <t>Rejected. Must go through In Progress.</t>
  </si>
  <si>
    <t>Invalid transition: Open → Resolved not allowed.</t>
  </si>
  <si>
    <t>BLK-TC-032</t>
  </si>
  <si>
    <t>Reject Open → Closed (skip intermediate)</t>
  </si>
  <si>
    <t>Attempt direct transition to Closed.</t>
  </si>
  <si>
    <t>Rejected. Invalid transition.</t>
  </si>
  <si>
    <t>Invalid transition: Open → Closed not allowed.</t>
  </si>
  <si>
    <t>BLK-TC-033</t>
  </si>
  <si>
    <t>Reject Open → Reopened</t>
  </si>
  <si>
    <t>Attempt transition to Reopened.</t>
  </si>
  <si>
    <t>Rejected. Reopened only valid from Resolved.</t>
  </si>
  <si>
    <t>Invalid transition: Open → Reopened not allowed.</t>
  </si>
  <si>
    <t>BLK-TC-034</t>
  </si>
  <si>
    <t>Reject In Progress → Closed (skip Resolved)</t>
  </si>
  <si>
    <t>Rejected. Must resolve first.</t>
  </si>
  <si>
    <t>Invalid transition: In Progress → Closed not allowed.</t>
  </si>
  <si>
    <t>BLK-TC-035</t>
  </si>
  <si>
    <t>Reject In Progress → Reopened</t>
  </si>
  <si>
    <t>Rejected. Reopened only from Resolved.</t>
  </si>
  <si>
    <t>Invalid transition: In Progress → Reopened not allowed.</t>
  </si>
  <si>
    <t>BLK-TC-036</t>
  </si>
  <si>
    <t>Reject Escalated → Closed (skip Resolved)</t>
  </si>
  <si>
    <t>Invalid transition: Escalated → Closed not allowed.</t>
  </si>
  <si>
    <t>BLK-TC-037</t>
  </si>
  <si>
    <t>Reject Closed → any status (FINAL)</t>
  </si>
  <si>
    <t>Lifecycle, §3-09</t>
  </si>
  <si>
    <t>Blocker exists with Status=Closed.</t>
  </si>
  <si>
    <t>Attempt to change status to any other value.</t>
  </si>
  <si>
    <t>Rejected. Closed is FINAL.</t>
  </si>
  <si>
    <t>Closed blockers cannot be reopened. Create new blocker if needed.</t>
  </si>
  <si>
    <t>BLK-TC-038</t>
  </si>
  <si>
    <t>Reject Cancelled → any status (FINAL)</t>
  </si>
  <si>
    <t>Blocker exists with Status=Cancelled.</t>
  </si>
  <si>
    <t>Rejected. Cancelled is FINAL.</t>
  </si>
  <si>
    <t>Cancelled blockers cannot be modified.</t>
  </si>
  <si>
    <t>BLK-TC-039</t>
  </si>
  <si>
    <t>Reject Resolved → In Progress (wrong path)</t>
  </si>
  <si>
    <t>Attempt to change status back to In Progress.</t>
  </si>
  <si>
    <t>Rejected. Use Reopened path instead.</t>
  </si>
  <si>
    <t>Invalid transition. Use Reopen to work on this blocker again.</t>
  </si>
  <si>
    <t>BLK-TC-040</t>
  </si>
  <si>
    <t>Reject Reopened → Resolved (skip In Progress)</t>
  </si>
  <si>
    <t>Invalid transition: Reopened → Resolved not allowed.</t>
  </si>
  <si>
    <t>BLK-TC-041</t>
  </si>
  <si>
    <t>Reject Reopened → Closed (skip intermediate)</t>
  </si>
  <si>
    <t>Rejected. Invalid transition path.</t>
  </si>
  <si>
    <t>Invalid transition: Reopened → Closed not allowed.</t>
  </si>
  <si>
    <t>BLK-TC-042</t>
  </si>
  <si>
    <t>Reject Resolved without resolution notes</t>
  </si>
  <si>
    <t>Blocker in In Progress status.</t>
  </si>
  <si>
    <t>Attempt to transition to Resolved without resolution notes.</t>
  </si>
  <si>
    <t>Rejected. Resolution notes required.</t>
  </si>
  <si>
    <t>Resolution notes required when resolving a blocker.</t>
  </si>
  <si>
    <t>BLK-TC-043</t>
  </si>
  <si>
    <t>Reject Cancelled without reason</t>
  </si>
  <si>
    <t>Blocker in Open status.</t>
  </si>
  <si>
    <t>Attempt to cancel without providing reason.</t>
  </si>
  <si>
    <t>Rejected. Cancellation reason required.</t>
  </si>
  <si>
    <t>Please provide a reason for cancellation.</t>
  </si>
  <si>
    <t>BLK-TC-044</t>
  </si>
  <si>
    <t>Reject transition by non-owner without permission</t>
  </si>
  <si>
    <t>User is not the blocker owner and has no special permissions.</t>
  </si>
  <si>
    <t>Attempt to change blocker status.</t>
  </si>
  <si>
    <t>Rejected. Only owner or admin can change status.</t>
  </si>
  <si>
    <t>You do not have permission to modify this blocker.</t>
  </si>
  <si>
    <t>BLK-TC-045</t>
  </si>
  <si>
    <t>4. Blocker Impact on Release Transitions</t>
  </si>
  <si>
    <t>Open blocker blocks UAT transition</t>
  </si>
  <si>
    <t>AV-01, VR-15</t>
  </si>
  <si>
    <t>Release in Testing status. One blocker with Status=Open.</t>
  </si>
  <si>
    <t>Attempt to transition release to UAT.</t>
  </si>
  <si>
    <t>Active blockers must be resolved before transitioning to UAT.</t>
  </si>
  <si>
    <t>BLK-TC-046</t>
  </si>
  <si>
    <t>In Progress blocker blocks Pending CAB</t>
  </si>
  <si>
    <t>Release in UAT status. One blocker with Status=In Progress.</t>
  </si>
  <si>
    <t>Attempt to transition release to Pending CAB.</t>
  </si>
  <si>
    <t>All blockers must be resolved before CAB submission.</t>
  </si>
  <si>
    <t>BLK-TC-047</t>
  </si>
  <si>
    <t>Escalated blocker blocks Ready transition</t>
  </si>
  <si>
    <t>VR-15, VR-16</t>
  </si>
  <si>
    <t>Release in Approved status. One blocker with Status=Escalated.</t>
  </si>
  <si>
    <t>Attempt to transition release to Ready.</t>
  </si>
  <si>
    <t>Active blockers prevent Ready status.</t>
  </si>
  <si>
    <t>BLK-TC-048</t>
  </si>
  <si>
    <t>All blockers Resolved allows Pending CAB</t>
  </si>
  <si>
    <t>Release in UAT. All blockers have Status=Resolved.</t>
  </si>
  <si>
    <t>Transition release to Pending CAB.</t>
  </si>
  <si>
    <t>Accepted. Blockers resolved.</t>
  </si>
  <si>
    <t>BLK-TC-049</t>
  </si>
  <si>
    <t>All blockers Closed allows Ready transition</t>
  </si>
  <si>
    <t>Release in Approved. All blockers have Status=Closed.</t>
  </si>
  <si>
    <t>Transition release to Ready.</t>
  </si>
  <si>
    <t>Accepted. No active blockers.</t>
  </si>
  <si>
    <t>BLK-TC-050</t>
  </si>
  <si>
    <t>Mixed blocker statuses (1 Resolved, 1 Open) blocks release</t>
  </si>
  <si>
    <t>Release has 2 blockers: one Resolved, one Open.</t>
  </si>
  <si>
    <t>All blockers must be resolved. 1 active blocker remaining.</t>
  </si>
  <si>
    <t>BLK-TC-051</t>
  </si>
  <si>
    <t>Nightly job auto-sets release to Blocked</t>
  </si>
  <si>
    <t>Release in Testing with newly created blocker.</t>
  </si>
  <si>
    <t>Nightly AV-01 job runs.</t>
  </si>
  <si>
    <t>Release Status auto-changed to Blocked.</t>
  </si>
  <si>
    <t>(Automated) Release set to Blocked due to active blocker.</t>
  </si>
  <si>
    <t>BLK-TC-052</t>
  </si>
  <si>
    <t>Release remains Blocked with any unresolved blocker</t>
  </si>
  <si>
    <t>Release in Blocked status with 1 active blocker.</t>
  </si>
  <si>
    <t>Attempt to manually change release status.</t>
  </si>
  <si>
    <t>Rejected. Blockers must be resolved first.</t>
  </si>
  <si>
    <t>Cannot change status while active blockers exist.</t>
  </si>
  <si>
    <t>BLK-TC-053</t>
  </si>
  <si>
    <t>Auto-unblock when all blockers resolved</t>
  </si>
  <si>
    <t>CASC-02, AV-23</t>
  </si>
  <si>
    <t>Release in Blocked status. Last active blocker resolved.</t>
  </si>
  <si>
    <t>Resolve the last remaining blocker.</t>
  </si>
  <si>
    <t>Release auto-transitions from Blocked to previous status.</t>
  </si>
  <si>
    <t>(Automated) All blockers resolved. Release returned to [previous status].</t>
  </si>
  <si>
    <t>BLK-TC-054</t>
  </si>
  <si>
    <t>Reopened blocker re-blocks release</t>
  </si>
  <si>
    <t>Release was unblocked. A resolved blocker is reopened.</t>
  </si>
  <si>
    <t>Reopen a previously resolved blocker.</t>
  </si>
  <si>
    <t>Release transitions back to Blocked status.</t>
  </si>
  <si>
    <t>(Automated) Blocker reopened. Release status changed to Blocked.</t>
  </si>
  <si>
    <t>BLK-TC-055</t>
  </si>
  <si>
    <t>New blocker creation triggers Blocked evaluation</t>
  </si>
  <si>
    <t>Create new blocker for the release.</t>
  </si>
  <si>
    <t>System evaluates if release should be Blocked.</t>
  </si>
  <si>
    <t>(Automated) Blocker created. Evaluating release status.</t>
  </si>
  <si>
    <t>BLK-TC-056</t>
  </si>
  <si>
    <t>Critical blocker immediately triggers Blocked</t>
  </si>
  <si>
    <t>Release in Testing status.</t>
  </si>
  <si>
    <t>Create blocker with Severity=Critical.</t>
  </si>
  <si>
    <t>Release immediately transitions to Blocked.</t>
  </si>
  <si>
    <t>(Automated) Critical blocker created. Release blocked.</t>
  </si>
  <si>
    <t>BLK-TC-057</t>
  </si>
  <si>
    <t>Blocker count updates on release</t>
  </si>
  <si>
    <t>Release has 3 blockers.</t>
  </si>
  <si>
    <t>Create a new blocker linked to release.</t>
  </si>
  <si>
    <t>Blocker Count field auto-increments to 4.</t>
  </si>
  <si>
    <t>BLK-TC-058</t>
  </si>
  <si>
    <t>Blocker count decrements on cancellation</t>
  </si>
  <si>
    <t>Release has 3 active blockers.</t>
  </si>
  <si>
    <t>Cancel one of the blockers.</t>
  </si>
  <si>
    <t>BLK-TC-059</t>
  </si>
  <si>
    <t>Readiness % impacted by open blockers</t>
  </si>
  <si>
    <t>Release has all sign-offs complete but 1 open blocker.</t>
  </si>
  <si>
    <t>View release Readiness Percentage.</t>
  </si>
  <si>
    <t>Readiness % reduced due to open blocker.</t>
  </si>
  <si>
    <t>BLK-TC-060</t>
  </si>
  <si>
    <t>Release Health shows RED with critical blocker</t>
  </si>
  <si>
    <t>Release has a Critical severity blocker.</t>
  </si>
  <si>
    <t>View release details.</t>
  </si>
  <si>
    <t>Release Health indicator = RED.</t>
  </si>
  <si>
    <t>BLK-TC-061</t>
  </si>
  <si>
    <t>Release Health improves when blockers resolved</t>
  </si>
  <si>
    <t>Release had RED health due to blocker. Blocker resolved.</t>
  </si>
  <si>
    <t>View release details after resolution.</t>
  </si>
  <si>
    <t>Release Health indicator improves (YELLOW or GREEN).</t>
  </si>
  <si>
    <t>BLK-TC-062</t>
  </si>
  <si>
    <t>Warning displayed at 75% readiness with blockers</t>
  </si>
  <si>
    <t>Release at 70% readiness with open blockers. CAB date in 2 days.</t>
  </si>
  <si>
    <t>Warning displayed showing gaps including blockers.</t>
  </si>
  <si>
    <t>Readiness below 75%. Gaps: open blockers.</t>
  </si>
  <si>
    <t>BLK-TC-063</t>
  </si>
  <si>
    <t>5. Blocker Locking &amp; Immutability</t>
  </si>
  <si>
    <t>Blocker transitioned to Resolved status.</t>
  </si>
  <si>
    <t>Attempt to edit any field on the blocker.</t>
  </si>
  <si>
    <t>All fields read-only except status transition to Closed/Reopened.</t>
  </si>
  <si>
    <t>Resolved blockers are read-only.</t>
  </si>
  <si>
    <t>BLK-TC-064</t>
  </si>
  <si>
    <t>Closed blocker is completely immutable</t>
  </si>
  <si>
    <t>§3-09, Lifecycle</t>
  </si>
  <si>
    <t>Blocker transitioned to Closed status.</t>
  </si>
  <si>
    <t>Attempt to edit any field including status.</t>
  </si>
  <si>
    <t>All fields read-only. No modifications allowed.</t>
  </si>
  <si>
    <t>Closed blockers cannot be modified.</t>
  </si>
  <si>
    <t>BLK-TC-065</t>
  </si>
  <si>
    <t>Cancelled blocker is completely immutable</t>
  </si>
  <si>
    <t>Blocker transitioned to Cancelled status.</t>
  </si>
  <si>
    <t>BLK-TC-066</t>
  </si>
  <si>
    <t>Blockers lock when release reaches Deploying</t>
  </si>
  <si>
    <t>Release transitions to Deploying status.</t>
  </si>
  <si>
    <t>Attempt to edit any linked blocker.</t>
  </si>
  <si>
    <t>All blockers become read-only.</t>
  </si>
  <si>
    <t>Blockers locked for releases in deployment.</t>
  </si>
  <si>
    <t>BLK-TC-067</t>
  </si>
  <si>
    <t>Cannot create new blocker after release Deploying</t>
  </si>
  <si>
    <t>Rejected. Use Incident instead.</t>
  </si>
  <si>
    <t>New blockers cannot be created. Log as Incident.</t>
  </si>
  <si>
    <t>BLK-TC-068</t>
  </si>
  <si>
    <t>Edit blocker description and severity.</t>
  </si>
  <si>
    <t>Changes saved successfully.</t>
  </si>
  <si>
    <t>BLK-TC-069</t>
  </si>
  <si>
    <t>Blocker remains editable during Testing</t>
  </si>
  <si>
    <t>Release in Testing status. Blocker in In Progress.</t>
  </si>
  <si>
    <t>Edit blocker notes and owner.</t>
  </si>
  <si>
    <t>BLK-TC-070</t>
  </si>
  <si>
    <t>Blocker remains editable during UAT</t>
  </si>
  <si>
    <t>Release in UAT status. Blocker in Escalated.</t>
  </si>
  <si>
    <t>Edit blocker notes.</t>
  </si>
  <si>
    <t>BLK-TC-071</t>
  </si>
  <si>
    <t>Blocker description field validation still applies when unlocked</t>
  </si>
  <si>
    <t>Blocker in Open status (editable).</t>
  </si>
  <si>
    <t>Edit description to only 5 characters.</t>
  </si>
  <si>
    <t>Rejected. Minimum 10 characters required.</t>
  </si>
  <si>
    <t>BLK-TC-072</t>
  </si>
  <si>
    <t>Cannot reopen closed blocker - must create new</t>
  </si>
  <si>
    <t>Blocker in Closed status. Same issue recurs.</t>
  </si>
  <si>
    <t>Attempt to reopen the closed blocker.</t>
  </si>
  <si>
    <t>Rejected. Must create new blocker.</t>
  </si>
  <si>
    <t>BLK-TC-073</t>
  </si>
  <si>
    <t>Audit history preserved on locked blocker</t>
  </si>
  <si>
    <t>Blocker is in Closed (locked) status.</t>
  </si>
  <si>
    <t>View blocker audit history.</t>
  </si>
  <si>
    <t>Complete history displayed including all changes before lock.</t>
  </si>
  <si>
    <t>BLK-TC-074</t>
  </si>
  <si>
    <t>Blocker link to release cannot be changed</t>
  </si>
  <si>
    <t>Blocker linked to Release A.</t>
  </si>
  <si>
    <t>Attempt to change link to Release B.</t>
  </si>
  <si>
    <t>Rejected. Release link is immutable.</t>
  </si>
  <si>
    <t>Blocker release link cannot be changed.</t>
  </si>
  <si>
    <t>BLK-TC-075</t>
  </si>
  <si>
    <t>Owner can be reassigned on unlocked blocker</t>
  </si>
  <si>
    <t>Reassign blocker to different owner.</t>
  </si>
  <si>
    <t>Owner updated successfully.</t>
  </si>
  <si>
    <t>BLK-TC-076</t>
  </si>
  <si>
    <t>Owner cannot be changed on resolved blocker</t>
  </si>
  <si>
    <t>Blocker in Resolved status.</t>
  </si>
  <si>
    <t>Attempt to change owner.</t>
  </si>
  <si>
    <t>Rejected. Blocker is read-only.</t>
  </si>
  <si>
    <t>BLK-TC-077</t>
  </si>
  <si>
    <t>6. Stale Blocker Alerts</t>
  </si>
  <si>
    <t>Alert after 5 working days in In Progress</t>
  </si>
  <si>
    <t>Blocker in In Progress status for exactly 5 working days.</t>
  </si>
  <si>
    <t>System runs daily alert check.</t>
  </si>
  <si>
    <t>Stale blocker alert sent to owner.</t>
  </si>
  <si>
    <t>Reminder: Blocker [ID] has been In Progress for 5 days.</t>
  </si>
  <si>
    <t>BLK-TC-078</t>
  </si>
  <si>
    <t>No alert before 5 working days</t>
  </si>
  <si>
    <t>Blocker in In Progress status for 4 working days.</t>
  </si>
  <si>
    <t>No alert sent. Threshold not yet reached.</t>
  </si>
  <si>
    <t>BLK-TC-079</t>
  </si>
  <si>
    <t>Alert excludes weekends from count</t>
  </si>
  <si>
    <t>Blocker created Friday, now Tuesday (2 calendar days, but only 2 working days).</t>
  </si>
  <si>
    <t>No alert. Only 2 working days elapsed.</t>
  </si>
  <si>
    <t>BLK-TC-080</t>
  </si>
  <si>
    <t>Repeated alerts for continuously stale blocker</t>
  </si>
  <si>
    <t>Blocker in In Progress for 10 working days.</t>
  </si>
  <si>
    <t>Second reminder sent (at configurable interval).</t>
  </si>
  <si>
    <t>Reminder: Blocker [ID] has been In Progress for 10 days.</t>
  </si>
  <si>
    <t>BLK-TC-081</t>
  </si>
  <si>
    <t>Alert stops after status change</t>
  </si>
  <si>
    <t>Blocker was stale, now moved to Escalated.</t>
  </si>
  <si>
    <t>No stale alert. Status changed.</t>
  </si>
  <si>
    <t>BLK-TC-082</t>
  </si>
  <si>
    <t>Escalated blocker also generates alerts</t>
  </si>
  <si>
    <t>Blocker in Escalated status for &gt;5 working days.</t>
  </si>
  <si>
    <t>Alert sent for escalated blocker.</t>
  </si>
  <si>
    <t>Escalated blocker [ID] requires attention.</t>
  </si>
  <si>
    <t>BLK-TC-083</t>
  </si>
  <si>
    <t>Alert sent to blocker owner</t>
  </si>
  <si>
    <t>Blocker stale threshold reached. Owner = User A.</t>
  </si>
  <si>
    <t>System generates alert.</t>
  </si>
  <si>
    <t>Alert delivered to User A.</t>
  </si>
  <si>
    <t>BLK-TC-084</t>
  </si>
  <si>
    <t>Alert also sent to Release Manager</t>
  </si>
  <si>
    <t>AV-03, NOTIF</t>
  </si>
  <si>
    <t>Blocker stale threshold reached. RM = User B.</t>
  </si>
  <si>
    <t>Alert delivered to both Owner and RM.</t>
  </si>
  <si>
    <t>BLK-TC-085</t>
  </si>
  <si>
    <t>Holidays excluded from working day count</t>
  </si>
  <si>
    <t>Blocker created before a public holiday. Holiday configured in system.</t>
  </si>
  <si>
    <t>System calculates working days.</t>
  </si>
  <si>
    <t>Holiday not counted toward stale threshold.</t>
  </si>
  <si>
    <t>BLK-TC-086</t>
  </si>
  <si>
    <t>Open status does not trigger stale alert</t>
  </si>
  <si>
    <t>Blocker in Open status for 10 days (not yet started).</t>
  </si>
  <si>
    <t>No stale alert. Open blockers not tracked for staleness.</t>
  </si>
  <si>
    <t>BLK-TC-087</t>
  </si>
  <si>
    <t>Resolved blocker does not get stale alerts</t>
  </si>
  <si>
    <t>No stale alert. Blocker resolved.</t>
  </si>
  <si>
    <t>BLK-TC-088</t>
  </si>
  <si>
    <t>Critical severity blocker gets earlier alert</t>
  </si>
  <si>
    <t>Blocker with Severity=Critical in In Progress for 3 days.</t>
  </si>
  <si>
    <t>Earlier alert triggered for critical blockers.</t>
  </si>
  <si>
    <t>Critical blocker [ID] requires immediate attention.</t>
  </si>
  <si>
    <t>BLK-TC-089</t>
  </si>
  <si>
    <t>7. Cascading Behaviors</t>
  </si>
  <si>
    <t>Release is cancelled.</t>
  </si>
  <si>
    <t>BLK-TC-090</t>
  </si>
  <si>
    <t>Release deletion archives blockers</t>
  </si>
  <si>
    <t>Release has 5 linked blockers.</t>
  </si>
  <si>
    <t>Release is deleted.</t>
  </si>
  <si>
    <t>All linked blockers archived (not orphaned).</t>
  </si>
  <si>
    <t>(Automated) Blockers archived on release deletion.</t>
  </si>
  <si>
    <t>BLK-TC-091</t>
  </si>
  <si>
    <t>Critical incident creates blocker cascade</t>
  </si>
  <si>
    <t>Critical incident linked to release (not executing).</t>
  </si>
  <si>
    <t>Incident created with Severity=Critical.</t>
  </si>
  <si>
    <t>Blocker evaluation triggered. Release may be blocked.</t>
  </si>
  <si>
    <t>(Automated) Critical incident - evaluating release status.</t>
  </si>
  <si>
    <t>BLK-TC-092</t>
  </si>
  <si>
    <t>Blocker creation cascades to release status</t>
  </si>
  <si>
    <t>Create first blocker for release.</t>
  </si>
  <si>
    <t>Cascade evaluates if release should be Blocked.</t>
  </si>
  <si>
    <t>(Automated) Blocker created - evaluating release status.</t>
  </si>
  <si>
    <t>BLK-TC-093</t>
  </si>
  <si>
    <t>Blocker escalation cascades to release</t>
  </si>
  <si>
    <t>Release in Testing, blocker escalated.</t>
  </si>
  <si>
    <t>Blocker transitions from In Progress to Escalated.</t>
  </si>
  <si>
    <t>Cascade evaluates increased severity impact.</t>
  </si>
  <si>
    <t>(Automated) Blocker escalated - evaluating release status.</t>
  </si>
  <si>
    <t>BLK-TC-094</t>
  </si>
  <si>
    <t>All blockers resolved cascades to unblock</t>
  </si>
  <si>
    <t>Release Blocked with 2 blockers. First blocker resolved.</t>
  </si>
  <si>
    <t>Resolve the second (last) blocker.</t>
  </si>
  <si>
    <t>Cascade auto-unblocks release.</t>
  </si>
  <si>
    <t>(Automated) All blockers resolved. Release unblocked.</t>
  </si>
  <si>
    <t>BLK-TC-095</t>
  </si>
  <si>
    <t>Cascade respects release status hierarchy</t>
  </si>
  <si>
    <t>Release was in UAT before being Blocked.</t>
  </si>
  <si>
    <t>All blockers resolved.</t>
  </si>
  <si>
    <t>Release returns to UAT (previous status), not Development.</t>
  </si>
  <si>
    <t>Release returned to UAT status.</t>
  </si>
  <si>
    <t>BLK-TC-096</t>
  </si>
  <si>
    <t>Orphan prevention on blocker deletion</t>
  </si>
  <si>
    <t>CASC-05, EDGE-TC-16</t>
  </si>
  <si>
    <t>Blocker linked to release. User attempts delete.</t>
  </si>
  <si>
    <t>User clicks delete on blocker.</t>
  </si>
  <si>
    <t>Soft delete or archive. No orphan records.</t>
  </si>
  <si>
    <t>Blocker archived. History preserved.</t>
  </si>
  <si>
    <t>BLK-TC-097</t>
  </si>
  <si>
    <t>Multiple blockers - partial resolution no cascade</t>
  </si>
  <si>
    <t>Release has 3 blockers. 1 resolved, 2 still active.</t>
  </si>
  <si>
    <t>Check cascade trigger.</t>
  </si>
  <si>
    <t>No cascade. Release remains Blocked.</t>
  </si>
  <si>
    <t>BLK-TC-098</t>
  </si>
  <si>
    <t>Blocker reopening cascades to block release</t>
  </si>
  <si>
    <t>Release unblocked. Previous blocker reopened.</t>
  </si>
  <si>
    <t>Reopen a resolved blocker.</t>
  </si>
  <si>
    <t>Cascade re-evaluates and blocks release.</t>
  </si>
  <si>
    <t>(Automated) Blocker reopened. Release status updated to Blocked.</t>
  </si>
  <si>
    <t>BLK-TC-099</t>
  </si>
  <si>
    <t>Cascade does not trigger for Deployed releases</t>
  </si>
  <si>
    <t>Release already in Deployed status.</t>
  </si>
  <si>
    <t>Attempt to create blocker (should be blocked by VR-35).</t>
  </si>
  <si>
    <t>Cascade not triggered. Blocker creation rejected.</t>
  </si>
  <si>
    <t>Cannot create blockers for deployed releases.</t>
  </si>
  <si>
    <t>BLK-TC-100</t>
  </si>
  <si>
    <t>Cascade notification sent to stakeholders</t>
  </si>
  <si>
    <t>CASC, NOTIF</t>
  </si>
  <si>
    <t>Release status cascaded from Testing to Blocked.</t>
  </si>
  <si>
    <t>Cascade completes.</t>
  </si>
  <si>
    <t>Notification sent to Release Manager and stakeholders.</t>
  </si>
  <si>
    <t>Release [name] status changed to Blocked due to blocker.</t>
  </si>
  <si>
    <t>BLK-TC-101</t>
  </si>
  <si>
    <t>Blocker severity upgrade triggers cascade re-evaluation</t>
  </si>
  <si>
    <t>Release in Testing. Blocker changed from Low to Critical.</t>
  </si>
  <si>
    <t>Update blocker severity.</t>
  </si>
  <si>
    <t>Cascade re-evaluates impact.</t>
  </si>
  <si>
    <t>(Automated) Blocker severity changed - re-evaluating release.</t>
  </si>
  <si>
    <t>BLK-TC-102</t>
  </si>
  <si>
    <t>Cascade audit trail recorded</t>
  </si>
  <si>
    <t>AUDIT, CASC</t>
  </si>
  <si>
    <t>Release auto-blocked due to blocker cascade.</t>
  </si>
  <si>
    <t>View release audit trail.</t>
  </si>
  <si>
    <t>Cascade action recorded with timestamp and trigger.</t>
  </si>
  <si>
    <t>Audit: Release blocked via cascade (Blocker [ID] created).</t>
  </si>
  <si>
    <t>BLK-TC-103</t>
  </si>
  <si>
    <t>8. Permissions &amp; Access Control</t>
  </si>
  <si>
    <t>Blocker owner can edit own blocker</t>
  </si>
  <si>
    <t>User A is blocker owner. Blocker in Open status.</t>
  </si>
  <si>
    <t>User A edits blocker description.</t>
  </si>
  <si>
    <t>Edit saved successfully.</t>
  </si>
  <si>
    <t>BLK-TC-104</t>
  </si>
  <si>
    <t>Release Manager can edit any blocker</t>
  </si>
  <si>
    <t>User is Release Manager for the linked release.</t>
  </si>
  <si>
    <t>RM edits blocker not owned by them.</t>
  </si>
  <si>
    <t>BLK-TC-105</t>
  </si>
  <si>
    <t>Admin can edit any blocker</t>
  </si>
  <si>
    <t>User has admin role.</t>
  </si>
  <si>
    <t>Admin edits any blocker.</t>
  </si>
  <si>
    <t>BLK-TC-106</t>
  </si>
  <si>
    <t>Team member cannot edit others' blockers</t>
  </si>
  <si>
    <t>User A is team member, not owner. Blocker owned by User B.</t>
  </si>
  <si>
    <t>User A attempts to edit blocker.</t>
  </si>
  <si>
    <t>Rejected. Insufficient permissions.</t>
  </si>
  <si>
    <t>You do not have permission to edit this blocker.</t>
  </si>
  <si>
    <t>BLK-TC-107</t>
  </si>
  <si>
    <t>Read-only user can view blocker</t>
  </si>
  <si>
    <t>User opens blocker details.</t>
  </si>
  <si>
    <t>Blocker displayed. Edit controls disabled.</t>
  </si>
  <si>
    <t>BLK-TC-108</t>
  </si>
  <si>
    <t>Read-only user cannot create blocker</t>
  </si>
  <si>
    <t>User has read-only access.</t>
  </si>
  <si>
    <t>User attempts to create blocker.</t>
  </si>
  <si>
    <t>Rejected. Read-only access.</t>
  </si>
  <si>
    <t>You do not have permission to create blockers.</t>
  </si>
  <si>
    <t>BLK-TC-109</t>
  </si>
  <si>
    <t>Owner can reassign blocker to another user</t>
  </si>
  <si>
    <t>User A owns blocker.</t>
  </si>
  <si>
    <t>User A reassigns to User B.</t>
  </si>
  <si>
    <t>Owner changed to User B. User A loses edit access.</t>
  </si>
  <si>
    <t>BLK-TC-110</t>
  </si>
  <si>
    <t>Non-owner cannot reassign blocker</t>
  </si>
  <si>
    <t>User A is team member, not owner.</t>
  </si>
  <si>
    <t>User A attempts to reassign blocker.</t>
  </si>
  <si>
    <t>Rejected. Only owner/RM/admin can reassign.</t>
  </si>
  <si>
    <t>You do not have permission to reassign this blocker.</t>
  </si>
  <si>
    <t>BLK-TC-111</t>
  </si>
  <si>
    <t>Access revoked user cannot view blocker</t>
  </si>
  <si>
    <t>Permissions, SEC</t>
  </si>
  <si>
    <t>User had access, now revoked.</t>
  </si>
  <si>
    <t>User attempts to view blocker.</t>
  </si>
  <si>
    <t>Access denied.</t>
  </si>
  <si>
    <t>BLK-TC-112</t>
  </si>
  <si>
    <t>Cross-team blocker visibility controlled</t>
  </si>
  <si>
    <t>Blocker linked to Team A release. User from Team B.</t>
  </si>
  <si>
    <t>Team B user attempts to view blocker.</t>
  </si>
  <si>
    <t>Access controlled by release visibility settings.</t>
  </si>
  <si>
    <t>BLK-TC-113</t>
  </si>
  <si>
    <t>Escalation changes escalation contact visibility</t>
  </si>
  <si>
    <t>Blocker escalated. Escalation contact = Management.</t>
  </si>
  <si>
    <t>Management user views blocker.</t>
  </si>
  <si>
    <t>Full visibility including escalation details.</t>
  </si>
  <si>
    <t>BLK-TC-114</t>
  </si>
  <si>
    <t>Delegate can manage blockers with inherited authority</t>
  </si>
  <si>
    <t>User A delegated authority from Release Manager.</t>
  </si>
  <si>
    <t>Delegate edits blocker.</t>
  </si>
  <si>
    <t>Edit saved. Audit shows delegate action.</t>
  </si>
  <si>
    <t>BLK-TC-115</t>
  </si>
  <si>
    <t>Blocker creation logged in audit</t>
  </si>
  <si>
    <t>User creates new blocker.</t>
  </si>
  <si>
    <t>Check audit trail.</t>
  </si>
  <si>
    <t>Creation event recorded with timestamp, user, values.</t>
  </si>
  <si>
    <t>BLK-TC-116</t>
  </si>
  <si>
    <t>Status transition logged in audit</t>
  </si>
  <si>
    <t>Blocker transitions from Open to In Progress.</t>
  </si>
  <si>
    <t>Transition recorded with old/new status, user, time.</t>
  </si>
  <si>
    <t>BLK-TC-117</t>
  </si>
  <si>
    <t>Field change logged in audit</t>
  </si>
  <si>
    <t>User edits blocker description.</t>
  </si>
  <si>
    <t>Change recorded with old/new values.</t>
  </si>
  <si>
    <t>BLK-TC-118</t>
  </si>
  <si>
    <t>Owner reassignment logged in audit</t>
  </si>
  <si>
    <t>Blocker owner changed from User A to User B.</t>
  </si>
  <si>
    <t>Reassignment recorded with old/new owner.</t>
  </si>
  <si>
    <t>BLK-TC-119</t>
  </si>
  <si>
    <t>Cascade actions logged in audit</t>
  </si>
  <si>
    <t>Blocker auto-cancelled due to release cancellation.</t>
  </si>
  <si>
    <t>Check blocker audit trail.</t>
  </si>
  <si>
    <t>Cascade action recorded with trigger reference.</t>
  </si>
  <si>
    <t>BLK-TC-120</t>
  </si>
  <si>
    <t>Resolution notes captured in audit</t>
  </si>
  <si>
    <t>Blocker resolved with resolution notes.</t>
  </si>
  <si>
    <t>Resolution notes recorded as part of status change.</t>
  </si>
  <si>
    <t>BLK-TC-121</t>
  </si>
  <si>
    <t>Escalation recorded in audit</t>
  </si>
  <si>
    <t>Blocker escalated to management.</t>
  </si>
  <si>
    <t>Escalation event recorded.</t>
  </si>
  <si>
    <t>BLK-TC-122</t>
  </si>
  <si>
    <t>Audit history accessible on locked blocker</t>
  </si>
  <si>
    <t>AUDIT, §3-09</t>
  </si>
  <si>
    <t>Blocker is Closed (locked).</t>
  </si>
  <si>
    <t>View audit history.</t>
  </si>
  <si>
    <t>Full history displayed read-only.</t>
  </si>
  <si>
    <t>BLK-TC-123</t>
  </si>
  <si>
    <t>Audit shows system-triggered changes</t>
  </si>
  <si>
    <t>Nightly job changes blocker state.</t>
  </si>
  <si>
    <t>System action recorded with job identifier.</t>
  </si>
  <si>
    <t>BLK-TC-124</t>
  </si>
  <si>
    <t>Complete blocker lifecycle in audit</t>
  </si>
  <si>
    <t>Blocker went through full lifecycle.</t>
  </si>
  <si>
    <t>View complete audit history.</t>
  </si>
  <si>
    <t>All transitions from creation to closure recorded.</t>
  </si>
  <si>
    <t>BLK-TC-125</t>
  </si>
  <si>
    <t>Audit preserves deleted blocker history</t>
  </si>
  <si>
    <t>AUDIT, CASC-05</t>
  </si>
  <si>
    <t>Blocker soft-deleted/archived.</t>
  </si>
  <si>
    <t>Check archived audit.</t>
  </si>
  <si>
    <t>History preserved with deletion marker.</t>
  </si>
  <si>
    <t>BLK-TC-126</t>
  </si>
  <si>
    <t>Reopen event logged distinctly</t>
  </si>
  <si>
    <t>Resolved blocker reopened.</t>
  </si>
  <si>
    <t>Reopen event recorded as distinct action.</t>
  </si>
  <si>
    <t>BLK-TC-127</t>
  </si>
  <si>
    <t>10. Notifications</t>
  </si>
  <si>
    <t>Notification on blocker creation</t>
  </si>
  <si>
    <t>System sends notification.</t>
  </si>
  <si>
    <t>Notification sent to Release Manager.</t>
  </si>
  <si>
    <t>New blocker created for release [name].</t>
  </si>
  <si>
    <t>BLK-TC-128</t>
  </si>
  <si>
    <t>Notification on blocker resolution</t>
  </si>
  <si>
    <t>Blocker resolved.</t>
  </si>
  <si>
    <t>Notification sent to RM and stakeholders.</t>
  </si>
  <si>
    <t>Blocker [ID] resolved.</t>
  </si>
  <si>
    <t>BLK-TC-129</t>
  </si>
  <si>
    <t>Notification on blocker escalation</t>
  </si>
  <si>
    <t>Blocker escalated.</t>
  </si>
  <si>
    <t>Notification sent to escalation contacts and RM.</t>
  </si>
  <si>
    <t>Blocker [ID] escalated to management.</t>
  </si>
  <si>
    <t>BLK-TC-130</t>
  </si>
  <si>
    <t>Stale blocker reminder notification</t>
  </si>
  <si>
    <t>Blocker stale for 5 days.</t>
  </si>
  <si>
    <t>System sends reminder.</t>
  </si>
  <si>
    <t>Reminder sent to blocker owner.</t>
  </si>
  <si>
    <t>Reminder: Blocker [ID] has been in progress for 5 days.</t>
  </si>
  <si>
    <t>BLK-TC-131</t>
  </si>
  <si>
    <t>Release blocked notification</t>
  </si>
  <si>
    <t>CASC-01, NOTIF</t>
  </si>
  <si>
    <t>New blocker causes release to be Blocked.</t>
  </si>
  <si>
    <t>Notification sent to all release stakeholders.</t>
  </si>
  <si>
    <t>Release [name] blocked due to blocker [ID].</t>
  </si>
  <si>
    <t>BLK-TC-132</t>
  </si>
  <si>
    <t>Release unblocked notification</t>
  </si>
  <si>
    <t>CASC-02, NOTIF</t>
  </si>
  <si>
    <t>All blockers resolved. Release unblocked.</t>
  </si>
  <si>
    <t>Release [name] unblocked. All blockers resolved.</t>
  </si>
  <si>
    <t>BLK-TC-133</t>
  </si>
  <si>
    <t>Blocker owner assignment notification</t>
  </si>
  <si>
    <t>Blocker assigned to new owner.</t>
  </si>
  <si>
    <t>Notification sent to new owner.</t>
  </si>
  <si>
    <t>You have been assigned blocker [ID].</t>
  </si>
  <si>
    <t>BLK-TC-134</t>
  </si>
  <si>
    <t>Critical blocker immediate notification</t>
  </si>
  <si>
    <t>Critical severity blocker created.</t>
  </si>
  <si>
    <t>System sends immediate notification.</t>
  </si>
  <si>
    <t>Urgent notification to RM, owner, and stakeholders.</t>
  </si>
  <si>
    <t>CRITICAL: New blocker created for release [name].</t>
  </si>
  <si>
    <t>BLK-TC-135</t>
  </si>
  <si>
    <t>User disabled blocker notifications.</t>
  </si>
  <si>
    <t>Blocker event triggers notification.</t>
  </si>
  <si>
    <t>No notification sent to user with preference disabled.</t>
  </si>
  <si>
    <t>BLK-TC-136</t>
  </si>
  <si>
    <t>Email and in-app notification sent</t>
  </si>
  <si>
    <t>Blocker created. User has both channels enabled.</t>
  </si>
  <si>
    <t>Both email and in-app notification delivered.</t>
  </si>
  <si>
    <t>BLK-TC-137</t>
  </si>
  <si>
    <t>Bulk blocker update generates single summary notification</t>
  </si>
  <si>
    <t>Admin resolves 5 blockers in bulk.</t>
  </si>
  <si>
    <t>System processes notifications.</t>
  </si>
  <si>
    <t>Single summary notification sent (not 5 individual).</t>
  </si>
  <si>
    <t>5 blockers resolved for release [name].</t>
  </si>
  <si>
    <t>BLK-TC-138</t>
  </si>
  <si>
    <t>Release cancelled with 3 linked blockers.</t>
  </si>
  <si>
    <t>System processes cancellation.</t>
  </si>
  <si>
    <t>Single notification about cascade, not per-blocker.</t>
  </si>
  <si>
    <t>BLK-TC-139</t>
  </si>
  <si>
    <t>11. Severity &amp; Priority Handling</t>
  </si>
  <si>
    <t>Critical severity blocker behavior</t>
  </si>
  <si>
    <t>Save and verify behavior.</t>
  </si>
  <si>
    <t>Critical badge displayed. Higher visibility in lists.</t>
  </si>
  <si>
    <t>BLK-TC-140</t>
  </si>
  <si>
    <t>High severity blocker behavior</t>
  </si>
  <si>
    <t>Create blocker with Severity=High.</t>
  </si>
  <si>
    <t>High severity badge displayed.</t>
  </si>
  <si>
    <t>BLK-TC-141</t>
  </si>
  <si>
    <t>Medium severity blocker behavior</t>
  </si>
  <si>
    <t>Create blocker with Severity=Medium.</t>
  </si>
  <si>
    <t>Medium severity badge displayed.</t>
  </si>
  <si>
    <t>BLK-TC-142</t>
  </si>
  <si>
    <t>Low severity blocker behavior</t>
  </si>
  <si>
    <t>Create blocker with Severity=Low.</t>
  </si>
  <si>
    <t>Low severity badge displayed.</t>
  </si>
  <si>
    <t>BLK-TC-143</t>
  </si>
  <si>
    <t>Severity upgrade from Low to Critical</t>
  </si>
  <si>
    <t>Blocker exists with Severity=Low.</t>
  </si>
  <si>
    <t>Change severity to Critical.</t>
  </si>
  <si>
    <t>Severity updated. Enhanced visibility triggered.</t>
  </si>
  <si>
    <t>BLK-TC-144</t>
  </si>
  <si>
    <t>Severity downgrade from Critical to Low</t>
  </si>
  <si>
    <t>Blocker exists with Severity=Critical.</t>
  </si>
  <si>
    <t>Change severity to Low.</t>
  </si>
  <si>
    <t>Severity updated. Reduced visibility.</t>
  </si>
  <si>
    <t>BLK-TC-145</t>
  </si>
  <si>
    <t>Cannot change severity on resolved blocker</t>
  </si>
  <si>
    <t>Attempt to change severity.</t>
  </si>
  <si>
    <t>BLK-TC-146</t>
  </si>
  <si>
    <t>Critical blockers sorted first in lists</t>
  </si>
  <si>
    <t>Release has blockers: 1 Critical, 2 High, 1 Low.</t>
  </si>
  <si>
    <t>View blocker list.</t>
  </si>
  <si>
    <t>Critical blocker appears first.</t>
  </si>
  <si>
    <t>BLK-TC-147</t>
  </si>
  <si>
    <t>Severity required field validation</t>
  </si>
  <si>
    <t>Create blocker without selecting severity.</t>
  </si>
  <si>
    <t>Save blocker.</t>
  </si>
  <si>
    <t>Rejected. Severity is required.</t>
  </si>
  <si>
    <t>Blocker Severity is required.</t>
  </si>
  <si>
    <t>BLK-TC-148</t>
  </si>
  <si>
    <t>Severity change triggers cascade re-evaluation</t>
  </si>
  <si>
    <t>Blocker severity changed to Critical.</t>
  </si>
  <si>
    <t>System processes change.</t>
  </si>
  <si>
    <t>Cascade re-evaluates release status.</t>
  </si>
  <si>
    <t>(Automated) Blocker severity changed - re-evaluating.</t>
  </si>
  <si>
    <t>BLK-TC-149</t>
  </si>
  <si>
    <t>Release Health considers blocker severity</t>
  </si>
  <si>
    <t>Release has Critical blocker vs High blocker.</t>
  </si>
  <si>
    <t>Compare Release Health indicators.</t>
  </si>
  <si>
    <t>Critical blocker causes worse Health (RED vs YELLOW).</t>
  </si>
  <si>
    <t>BLK-TC-150</t>
  </si>
  <si>
    <t>Severity history preserved in audit</t>
  </si>
  <si>
    <t>Blocker severity changed multiple times.</t>
  </si>
  <si>
    <t>View audit trail.</t>
  </si>
  <si>
    <t>All severity changes recorded with old/new values.</t>
  </si>
  <si>
    <t>BLK-TC-151</t>
  </si>
  <si>
    <t>12. Blocker Edge Cases</t>
  </si>
  <si>
    <t>Concurrent blocker status updates</t>
  </si>
  <si>
    <t>Two users open same blocker simultaneously.</t>
  </si>
  <si>
    <t>Both click status change at same time.</t>
  </si>
  <si>
    <t>One succeeds, other gets stale data warning.</t>
  </si>
  <si>
    <t>BLK-TC-152</t>
  </si>
  <si>
    <t>Concurrent blocker creation and release transition</t>
  </si>
  <si>
    <t>User A creates blocker while User B transitions release.</t>
  </si>
  <si>
    <t>Deterministic outcome. Blocker blocks transition if created first.</t>
  </si>
  <si>
    <t>BLK-TC-153</t>
  </si>
  <si>
    <t>Large number of blockers (100+) on single release</t>
  </si>
  <si>
    <t>Release with 100 linked blockers.</t>
  </si>
  <si>
    <t>Load release details page.</t>
  </si>
  <si>
    <t>BLK-TC-154</t>
  </si>
  <si>
    <t>Blocker search across all releases</t>
  </si>
  <si>
    <t>System has 10,000+ blockers across all releases.</t>
  </si>
  <si>
    <t>Search for blockers by keyword.</t>
  </si>
  <si>
    <t>Search completes in &lt;5 seconds with relevant results.</t>
  </si>
  <si>
    <t>BLK-TC-155</t>
  </si>
  <si>
    <t>Blocker with extremely long description (10000 chars)</t>
  </si>
  <si>
    <t>Create blocker with maximum allowed description.</t>
  </si>
  <si>
    <t>Save and retrieve blocker.</t>
  </si>
  <si>
    <t>Full description stored and displayed correctly.</t>
  </si>
  <si>
    <t>BLK-TC-156</t>
  </si>
  <si>
    <t>Blocker with special characters in description</t>
  </si>
  <si>
    <t>Create blocker with &lt;, &gt;, &amp;, quotes in description.</t>
  </si>
  <si>
    <t>Save and view blocker.</t>
  </si>
  <si>
    <t>Characters properly escaped/encoded. No XSS.</t>
  </si>
  <si>
    <t>BLK-TC-157</t>
  </si>
  <si>
    <t>Blocker with Unicode characters in description</t>
  </si>
  <si>
    <t>Create blocker with emoji and international characters.</t>
  </si>
  <si>
    <t>Characters stored and displayed correctly.</t>
  </si>
  <si>
    <t>BLK-TC-158</t>
  </si>
  <si>
    <t>Rapid status transitions (same blocker)</t>
  </si>
  <si>
    <t>User rapidly clicks through status transitions.</t>
  </si>
  <si>
    <t>Multiple rapid clicks.</t>
  </si>
  <si>
    <t>System processes sequentially. Final state consistent.</t>
  </si>
  <si>
    <t>BLK-TC-159</t>
  </si>
  <si>
    <t>Network failure during blocker save</t>
  </si>
  <si>
    <t>User saves blocker. Network fails mid-save.</t>
  </si>
  <si>
    <t>Network restored. User retries.</t>
  </si>
  <si>
    <t>BLK-TC-160</t>
  </si>
  <si>
    <t>Session timeout during blocker edit</t>
  </si>
  <si>
    <t>User editing blocker for 2+ hours. Session expires.</t>
  </si>
  <si>
    <t>BLK-TC-161</t>
  </si>
  <si>
    <t>Release with blockers is force-deleted.</t>
  </si>
  <si>
    <t>Check for orphan records.</t>
  </si>
  <si>
    <t>No orphan records. Blockers archived or deleted.</t>
  </si>
  <si>
    <t>BLK-TC-162</t>
  </si>
  <si>
    <t>Circular dependency via blocker</t>
  </si>
  <si>
    <t>Blocker A linked to Release 1, which depends on Release 2.</t>
  </si>
  <si>
    <t>Release 2 creates blocker referencing Release 1 issue.</t>
  </si>
  <si>
    <t>System handles cross-release references without circular issues.</t>
  </si>
  <si>
    <t>BLK-TC-163</t>
  </si>
  <si>
    <t>Blocker created at midnight boundary</t>
  </si>
  <si>
    <t>User creates blocker at exactly 23:59:59.</t>
  </si>
  <si>
    <t>Correct date/time recorded. No day-boundary issues.</t>
  </si>
  <si>
    <t>BLK-TC-164</t>
  </si>
  <si>
    <t>Blocker spanning daylight saving transition</t>
  </si>
  <si>
    <t>Blocker created before DST, resolved after DST change.</t>
  </si>
  <si>
    <t>View blocker timeline.</t>
  </si>
  <si>
    <t>All timestamps displayed correctly with timezone handling.</t>
  </si>
  <si>
    <t>BLK-TC-165</t>
  </si>
  <si>
    <t>Bulk resolve multiple blockers</t>
  </si>
  <si>
    <t>Bulk</t>
  </si>
  <si>
    <t>User selects 10 blockers to resolve.</t>
  </si>
  <si>
    <t>Click bulk resolve.</t>
  </si>
  <si>
    <t>All 10 resolved. Cascade evaluates once at end.</t>
  </si>
  <si>
    <t>10 blockers resolved.</t>
  </si>
  <si>
    <t>BLK-TC-166</t>
  </si>
  <si>
    <t>Bulk, CASC</t>
  </si>
  <si>
    <t>Release put on hold. Admin cancels all blockers.</t>
  </si>
  <si>
    <t>Bulk cancel operation.</t>
  </si>
  <si>
    <t>BLK-TC-167</t>
  </si>
  <si>
    <t>SQL injection in blocker description</t>
  </si>
  <si>
    <t>Blocker description field.</t>
  </si>
  <si>
    <t>Enter malicious SQL: "'; DROP TABLE blockers;--"</t>
  </si>
  <si>
    <t>BLK-TC-168</t>
  </si>
  <si>
    <t>XSS injection in blocker notes</t>
  </si>
  <si>
    <t>Blocker notes field.</t>
  </si>
  <si>
    <t>BLK-TC-169</t>
  </si>
  <si>
    <t>Database timeout during blocker read</t>
  </si>
  <si>
    <t>Database times out during blocker list load.</t>
  </si>
  <si>
    <t>BLK-TC-170</t>
  </si>
  <si>
    <t>Partial sync failure recovery</t>
  </si>
  <si>
    <t>SYNC, Error Recovery</t>
  </si>
  <si>
    <t>External sync job fails during blocker import.</t>
  </si>
  <si>
    <t>No duplicate blockers. Sync resumes from checkpoint.</t>
  </si>
  <si>
    <t>BLK-TC-171</t>
  </si>
  <si>
    <t>Blocker for release in Blocked status</t>
  </si>
  <si>
    <t>Release already Blocked. Create another blocker.</t>
  </si>
  <si>
    <t>Save new blocker.</t>
  </si>
  <si>
    <t>Blocker created. Blocker count incremented. Release remains Blocked.</t>
  </si>
  <si>
    <t>BLK-TC-172</t>
  </si>
  <si>
    <t>Last blocker resolved during nightly job</t>
  </si>
  <si>
    <t>AV-23, CASC-02</t>
  </si>
  <si>
    <t>Release Blocked with 1 blocker. Blocker resolved via batch job.</t>
  </si>
  <si>
    <t>Nightly processing runs.</t>
  </si>
  <si>
    <t>Cascade triggers. Release auto-unblocked.</t>
  </si>
  <si>
    <t>(Automated) All blockers resolved via batch. Release unblocked.</t>
  </si>
  <si>
    <t>BLK-TC-173</t>
  </si>
  <si>
    <t>Blocker owner inactive/disabled</t>
  </si>
  <si>
    <t>Blocker owner account disabled.</t>
  </si>
  <si>
    <t>View blocker. Attempt status change.</t>
  </si>
  <si>
    <t>System handles gracefully. Prompt to reassign owner.</t>
  </si>
  <si>
    <t>Blocker owner is inactive. Please reassign.</t>
  </si>
  <si>
    <t>BLK-TC-174</t>
  </si>
  <si>
    <t>Blocker created during system maintenance</t>
  </si>
  <si>
    <t>User creates blocker during maintenance window.</t>
  </si>
  <si>
    <t>System in read-only mode.</t>
  </si>
  <si>
    <t>Graceful rejection with retry message.</t>
  </si>
  <si>
    <t>System in maintenance mode. Please try again later.</t>
  </si>
  <si>
    <t>BLOCKERS TEST SUITE SUMMARY</t>
  </si>
  <si>
    <t>VR-15 (Blocker Before Ready)</t>
  </si>
  <si>
    <t>VR-16 (Ready Gate Check)</t>
  </si>
  <si>
    <t>VR-35 (Blocker Creation Lock After Deploying)</t>
  </si>
  <si>
    <t>AV-01 (Open Blocker Detection)</t>
  </si>
  <si>
    <t>AV-03 (Stale Blocker Alert)</t>
  </si>
  <si>
    <t>AV-19 (Release Health Calculation)</t>
  </si>
  <si>
    <t>AV-20 (Readiness Percentage Update)</t>
  </si>
  <si>
    <t>AV-23 (Cascade Blocker Resolution)</t>
  </si>
  <si>
    <t>§1-09 (Blocker Description Required)</t>
  </si>
  <si>
    <t>§2-01 (Release Health)</t>
  </si>
  <si>
    <t>§2-09 (Blocker Count)</t>
  </si>
  <si>
    <t>§3-09 (Blocker Resolution Lock)</t>
  </si>
  <si>
    <t>CASC-01 (Blocker → Release Status)</t>
  </si>
  <si>
    <t>CASC-02 (All Blockers Resolved → Unblock)</t>
  </si>
  <si>
    <t>CASC-05 (Release Delete → Orphan Prevention)</t>
  </si>
  <si>
    <t>Blocker Lifecycle (All States)</t>
  </si>
  <si>
    <t>CON-TC-001</t>
  </si>
  <si>
    <t>1. Conflict Auto-Detection</t>
  </si>
  <si>
    <t>Auto-detect schedule conflict on same app</t>
  </si>
  <si>
    <t>Release A has Deploy Date set to 15 Jan. Release B (same app) exists.</t>
  </si>
  <si>
    <t>Set Release B Deploy Date to 15 Jan.</t>
  </si>
  <si>
    <t>Conflict record auto-created linking both releases.</t>
  </si>
  <si>
    <t>(Automated) Schedule conflict detected: Release A and Release B on same date.</t>
  </si>
  <si>
    <t>CON-TC-002</t>
  </si>
  <si>
    <t>Conflict ID auto-generated and read-only</t>
  </si>
  <si>
    <t>Conflict auto-created by system.</t>
  </si>
  <si>
    <t>View conflict details.</t>
  </si>
  <si>
    <t>Conflict ID is system-generated and read-only.</t>
  </si>
  <si>
    <t>CON-TC-003</t>
  </si>
  <si>
    <t>Auto-detect environment conflict</t>
  </si>
  <si>
    <t>AV-07, CASC-07</t>
  </si>
  <si>
    <t>Release A booked ENV-PROD 10:00-12:00. Release B exists.</t>
  </si>
  <si>
    <t>Book ENV-PROD 11:00-13:00 for Release B.</t>
  </si>
  <si>
    <t>Environment conflict detected. Booking blocked.</t>
  </si>
  <si>
    <t>Environment booking conflict: overlaps with Release A.</t>
  </si>
  <si>
    <t>CON-TC-004</t>
  </si>
  <si>
    <t>Auto-detect resource conflict (same environment)</t>
  </si>
  <si>
    <t>Release A uses ENV-UAT on 15 Jan. Release B targets same env.</t>
  </si>
  <si>
    <t>Set Release B to use ENV-UAT on 15 Jan.</t>
  </si>
  <si>
    <t>Resource conflict auto-created.</t>
  </si>
  <si>
    <t>(Automated) Resource conflict: ENV-UAT double-booked.</t>
  </si>
  <si>
    <t>CON-TC-005</t>
  </si>
  <si>
    <t>No conflict for different apps on same date</t>
  </si>
  <si>
    <t>Release A (App X) on 15 Jan. Release B (App Y) on 15 Jan.</t>
  </si>
  <si>
    <t>Save both releases.</t>
  </si>
  <si>
    <t>No conflict created. Different apps can deploy same day.</t>
  </si>
  <si>
    <t>CON-TC-006</t>
  </si>
  <si>
    <t>No conflict for different environments</t>
  </si>
  <si>
    <t>Release A uses ENV-PROD. Release B uses ENV-UAT.</t>
  </si>
  <si>
    <t>Both scheduled same date.</t>
  </si>
  <si>
    <t>No conflict. Different environments.</t>
  </si>
  <si>
    <t>CON-TC-007</t>
  </si>
  <si>
    <t>No conflict for non-overlapping time windows</t>
  </si>
  <si>
    <t>Release A: 08:00-10:00. Release B: 14:00-16:00.</t>
  </si>
  <si>
    <t>Both same date, same environment.</t>
  </si>
  <si>
    <t>No conflict. Time windows don't overlap.</t>
  </si>
  <si>
    <t>CON-TC-008</t>
  </si>
  <si>
    <t>Conflict detected for adjacent time windows</t>
  </si>
  <si>
    <t>Release A: 10:00-12:00. Release B: 12:00-14:00.</t>
  </si>
  <si>
    <t>Same date, same environment.</t>
  </si>
  <si>
    <t>CON-TC-009</t>
  </si>
  <si>
    <t>Conflict type set to Schedule for date overlap</t>
  </si>
  <si>
    <t>Two releases same app, same deploy date.</t>
  </si>
  <si>
    <t>Conflict auto-created.</t>
  </si>
  <si>
    <t>Conflict Type = Schedule.</t>
  </si>
  <si>
    <t>CON-TC-010</t>
  </si>
  <si>
    <t>Conflict type set to Resource for env overlap</t>
  </si>
  <si>
    <t>Two releases same environment slot.</t>
  </si>
  <si>
    <t>Conflict Type = Resource.</t>
  </si>
  <si>
    <t>CON-TC-011</t>
  </si>
  <si>
    <t>Conflict type set to Application for app collision</t>
  </si>
  <si>
    <t>Two releases same application, overlapping deploy window.</t>
  </si>
  <si>
    <t>Conflict Type = Application.</t>
  </si>
  <si>
    <t>CON-TC-012</t>
  </si>
  <si>
    <t>Conflict created with Status = Detected</t>
  </si>
  <si>
    <t>System detects new conflict.</t>
  </si>
  <si>
    <t>Verify conflict initial status.</t>
  </si>
  <si>
    <t>Status = Detected.</t>
  </si>
  <si>
    <t>CON-TC-013</t>
  </si>
  <si>
    <t>Both conflicting releases linked</t>
  </si>
  <si>
    <t>Conflict auto-created between Release A and B.</t>
  </si>
  <si>
    <t>Both releases referenced in conflict record.</t>
  </si>
  <si>
    <t>CON-TC-014</t>
  </si>
  <si>
    <t>Conflict count incremented on both releases</t>
  </si>
  <si>
    <t>Conflict created between Release A and B.</t>
  </si>
  <si>
    <t>View both releases.</t>
  </si>
  <si>
    <t>Conflict Count incremented on both Release A and B.</t>
  </si>
  <si>
    <t>CON-TC-015</t>
  </si>
  <si>
    <t>Warning displayed for conflict window</t>
  </si>
  <si>
    <t>Release Deploy Date set to overlap with another release.</t>
  </si>
  <si>
    <t>Save deploy date.</t>
  </si>
  <si>
    <t>Warning displayed to user about conflict.</t>
  </si>
  <si>
    <t>Deploy Date overlaps with Release [name] deploy window.</t>
  </si>
  <si>
    <t>CON-TC-016</t>
  </si>
  <si>
    <t>Multiple conflicts detected for same release</t>
  </si>
  <si>
    <t>Release A overlaps with Release B, C, and D.</t>
  </si>
  <si>
    <t>Set overlapping deploy dates.</t>
  </si>
  <si>
    <t>Three separate conflict records created.</t>
  </si>
  <si>
    <t>(Automated) 3 conflicts detected.</t>
  </si>
  <si>
    <t>CON-TC-017</t>
  </si>
  <si>
    <t>Conflict detected across freeze window boundary</t>
  </si>
  <si>
    <t>AV-05, VR-05</t>
  </si>
  <si>
    <t>Release scheduled just before freeze. Another crosses into freeze.</t>
  </si>
  <si>
    <t>System evaluates conflict.</t>
  </si>
  <si>
    <t>Conflict created. Additional freeze warning may apply.</t>
  </si>
  <si>
    <t>CON-TC-018</t>
  </si>
  <si>
    <t>No duplicate conflict created for same pair</t>
  </si>
  <si>
    <t>Conflict already exists between Release A and B.</t>
  </si>
  <si>
    <t>Modify Release A deploy date (still overlaps).</t>
  </si>
  <si>
    <t>Existing conflict updated, not duplicated.</t>
  </si>
  <si>
    <t>CON-TC-019</t>
  </si>
  <si>
    <t>2. Conflict Status Transitions - Happy Path</t>
  </si>
  <si>
    <t>Detected → Under Review transition</t>
  </si>
  <si>
    <t>Conflict exists with Status=Detected.</t>
  </si>
  <si>
    <t>RM clicks 'Review' on conflict.</t>
  </si>
  <si>
    <t>Status changes to Under Review.</t>
  </si>
  <si>
    <t>CON-TC-020</t>
  </si>
  <si>
    <t>Detected → Resolved transition (direct)</t>
  </si>
  <si>
    <t>Conflict exists with Status=Detected. Overlap removed.</t>
  </si>
  <si>
    <t>Click Resolve with resolution notes.</t>
  </si>
  <si>
    <t>Status changes to Resolved (FINAL).</t>
  </si>
  <si>
    <t>CON-TC-021</t>
  </si>
  <si>
    <t>Detected → Dismissed transition (false positive)</t>
  </si>
  <si>
    <t>Conflict exists with Status=Detected. Deemed false positive.</t>
  </si>
  <si>
    <t>Click Dismiss with justification.</t>
  </si>
  <si>
    <t>Status changes to Dismissed (FINAL).</t>
  </si>
  <si>
    <t>CON-TC-022</t>
  </si>
  <si>
    <t>Under Review → Resolved transition</t>
  </si>
  <si>
    <t>Conflict in Under Review. Resolution identified.</t>
  </si>
  <si>
    <t>CON-TC-023</t>
  </si>
  <si>
    <t>Under Review → Dismissed transition</t>
  </si>
  <si>
    <t>Conflict in Under Review. Determined to be acceptable.</t>
  </si>
  <si>
    <t>CON-TC-024</t>
  </si>
  <si>
    <t>Complete review path: Detected → Under Review → Resolved</t>
  </si>
  <si>
    <t>New conflict detected.</t>
  </si>
  <si>
    <t>Progress through review and resolution.</t>
  </si>
  <si>
    <t>All transitions successful. Final status=Resolved.</t>
  </si>
  <si>
    <t>CON-TC-025</t>
  </si>
  <si>
    <t>Auto-resolve when overlap removed</t>
  </si>
  <si>
    <t>Conflict exists between Release A and B.</t>
  </si>
  <si>
    <t>Change Release A deploy date to remove overlap.</t>
  </si>
  <si>
    <t>Conflict auto-resolved by system.</t>
  </si>
  <si>
    <t>(Automated) Conflict resolved: overlap no longer exists.</t>
  </si>
  <si>
    <t>CON-TC-026</t>
  </si>
  <si>
    <t>Resolve with rescheduled date</t>
  </si>
  <si>
    <t>Schedule conflict detected.</t>
  </si>
  <si>
    <t>Reschedule one release to different date.</t>
  </si>
  <si>
    <t>Conflict resolved. No more overlap.</t>
  </si>
  <si>
    <t>CON-TC-027</t>
  </si>
  <si>
    <t>Resolve with different environment</t>
  </si>
  <si>
    <t>Resource conflict for same environment.</t>
  </si>
  <si>
    <t>Change one release to different environment.</t>
  </si>
  <si>
    <t>Conflict resolved. No resource overlap.</t>
  </si>
  <si>
    <t>CON-TC-028</t>
  </si>
  <si>
    <t>Dismiss with business justification</t>
  </si>
  <si>
    <t>Conflict detected but business accepts risk.</t>
  </si>
  <si>
    <t>Dismiss with documented justification.</t>
  </si>
  <si>
    <t>Conflict dismissed. Justification recorded.</t>
  </si>
  <si>
    <t>CON-TC-029</t>
  </si>
  <si>
    <t>Resolve by cancelling one release</t>
  </si>
  <si>
    <t>Two releases conflict. One is deprioritized.</t>
  </si>
  <si>
    <t>Cancel one of the conflicting releases.</t>
  </si>
  <si>
    <t>Conflict auto-resolved when release cancelled.</t>
  </si>
  <si>
    <t>(Automated) Conflict resolved: Release cancelled.</t>
  </si>
  <si>
    <t>CON-TC-030</t>
  </si>
  <si>
    <t>Multiple conflicts resolved simultaneously</t>
  </si>
  <si>
    <t>Release A has conflicts with B, C, D. A is rescheduled.</t>
  </si>
  <si>
    <t>Change Release A date to resolve all.</t>
  </si>
  <si>
    <t>All three conflicts auto-resolved.</t>
  </si>
  <si>
    <t>(Automated) 3 conflicts resolved.</t>
  </si>
  <si>
    <t>CON-TC-031</t>
  </si>
  <si>
    <t>3. Conflict Status Transitions - Negative</t>
  </si>
  <si>
    <t>Reject Resolved → any status (FINAL)</t>
  </si>
  <si>
    <t>Conflict in Resolved status.</t>
  </si>
  <si>
    <t>Attempt to change status.</t>
  </si>
  <si>
    <t>Rejected. Resolved is FINAL.</t>
  </si>
  <si>
    <t>Resolved conflicts cannot be modified.</t>
  </si>
  <si>
    <t>CON-TC-032</t>
  </si>
  <si>
    <t>Reject Dismissed → any status (FINAL)</t>
  </si>
  <si>
    <t>Conflict in Dismissed status.</t>
  </si>
  <si>
    <t>Rejected. Dismissed is FINAL.</t>
  </si>
  <si>
    <t>Dismissed conflicts cannot be modified.</t>
  </si>
  <si>
    <t>CON-TC-033</t>
  </si>
  <si>
    <t>Reject Under Review → Detected (backward)</t>
  </si>
  <si>
    <t>Conflict in Under Review status.</t>
  </si>
  <si>
    <t>Attempt to change status back to Detected.</t>
  </si>
  <si>
    <t>Rejected. Cannot go backward.</t>
  </si>
  <si>
    <t>Invalid transition: Under Review → Detected not allowed.</t>
  </si>
  <si>
    <t>CON-TC-034</t>
  </si>
  <si>
    <t>Conflict in Detected status.</t>
  </si>
  <si>
    <t>Attempt to resolve without notes.</t>
  </si>
  <si>
    <t>Please provide resolution notes.</t>
  </si>
  <si>
    <t>CON-TC-035</t>
  </si>
  <si>
    <t>Reject Dismissed without justification</t>
  </si>
  <si>
    <t>Attempt to dismiss without justification.</t>
  </si>
  <si>
    <t>Rejected. Justification required.</t>
  </si>
  <si>
    <t>Please provide justification for dismissal.</t>
  </si>
  <si>
    <t>CON-TC-036</t>
  </si>
  <si>
    <t>Reject transition by non-authorized user</t>
  </si>
  <si>
    <t>User is not RM or conflict owner.</t>
  </si>
  <si>
    <t>Attempt to change conflict status.</t>
  </si>
  <si>
    <t>Only Release Manager can modify conflict status.</t>
  </si>
  <si>
    <t>CON-TC-037</t>
  </si>
  <si>
    <t>Cannot manually create conflict (system-only)</t>
  </si>
  <si>
    <t>User with edit access.</t>
  </si>
  <si>
    <t>Attempt to manually create conflict record.</t>
  </si>
  <si>
    <t>Rejected. Conflicts are system-generated only.</t>
  </si>
  <si>
    <t>Conflicts are automatically detected by the system.</t>
  </si>
  <si>
    <t>CON-TC-038</t>
  </si>
  <si>
    <t>Cannot delete conflict record</t>
  </si>
  <si>
    <t>Conflict exists.</t>
  </si>
  <si>
    <t>Attempt to delete conflict.</t>
  </si>
  <si>
    <t>Rejected. Conflicts cannot be deleted.</t>
  </si>
  <si>
    <t>Conflict records cannot be deleted. Resolve or dismiss instead.</t>
  </si>
  <si>
    <t>CON-TC-039</t>
  </si>
  <si>
    <t>Reject modification of conflicting releases link</t>
  </si>
  <si>
    <t>Conflict links Release A and B.</t>
  </si>
  <si>
    <t>Attempt to change linked releases.</t>
  </si>
  <si>
    <t>Rejected. Links are immutable.</t>
  </si>
  <si>
    <t>Conflicting release references cannot be modified.</t>
  </si>
  <si>
    <t>CON-TC-040</t>
  </si>
  <si>
    <t>Reject conflict type modification</t>
  </si>
  <si>
    <t>Attempt to change to Resource.</t>
  </si>
  <si>
    <t>Rejected. Type is system-determined.</t>
  </si>
  <si>
    <t>Conflict type cannot be manually changed.</t>
  </si>
  <si>
    <t>CON-TC-041</t>
  </si>
  <si>
    <t>Reject resolve when overlap still exists</t>
  </si>
  <si>
    <t>Conflict exists. Both releases still overlap.</t>
  </si>
  <si>
    <t>Attempt to resolve without changing dates.</t>
  </si>
  <si>
    <t>Warning/Rejection. Overlap still exists.</t>
  </si>
  <si>
    <t>Conflict cannot be resolved while overlap exists. Dismiss if acceptable.</t>
  </si>
  <si>
    <t>CON-TC-042</t>
  </si>
  <si>
    <t>Reject transition on locked conflict</t>
  </si>
  <si>
    <t>Release in Deploying status. Conflict locked.</t>
  </si>
  <si>
    <t>Rejected. Conflict locked during deployment.</t>
  </si>
  <si>
    <t>Conflict records locked during deployment.</t>
  </si>
  <si>
    <t>CON-TC-043</t>
  </si>
  <si>
    <t>4. Conflict Impact on Release Transitions</t>
  </si>
  <si>
    <t>Open conflict blocks Ready transition</t>
  </si>
  <si>
    <t>VR-32, VR-16</t>
  </si>
  <si>
    <t>Release has conflict with Status=Detected.</t>
  </si>
  <si>
    <t>Schedule conflicts must be resolved before Ready status.</t>
  </si>
  <si>
    <t>CON-TC-044</t>
  </si>
  <si>
    <t>Under Review conflict blocks Ready transition</t>
  </si>
  <si>
    <t>Release has conflict with Status=Under Review.</t>
  </si>
  <si>
    <t>Conflicts under review must be resolved before Ready status.</t>
  </si>
  <si>
    <t>CON-TC-045</t>
  </si>
  <si>
    <t>Resolved conflict allows Ready transition</t>
  </si>
  <si>
    <t>Release has conflict with Status=Resolved.</t>
  </si>
  <si>
    <t>Accepted. Conflict is resolved.</t>
  </si>
  <si>
    <t>CON-TC-046</t>
  </si>
  <si>
    <t>Dismissed conflict allows Ready transition</t>
  </si>
  <si>
    <t>Release has conflict with Status=Dismissed.</t>
  </si>
  <si>
    <t>Accepted. Conflict is acknowledged/dismissed.</t>
  </si>
  <si>
    <t>CON-TC-047</t>
  </si>
  <si>
    <t>Multiple conflicts - all must be resolved</t>
  </si>
  <si>
    <t>Release has 3 conflicts: 2 Resolved, 1 Detected.</t>
  </si>
  <si>
    <t>1 unresolved conflict remaining. All must be resolved.</t>
  </si>
  <si>
    <t>CON-TC-048</t>
  </si>
  <si>
    <t>Conflict warning displayed at Pending CAB</t>
  </si>
  <si>
    <t>Release has active conflict. Submitting to CAB.</t>
  </si>
  <si>
    <t>Transition to Pending CAB.</t>
  </si>
  <si>
    <t>Warning displayed about conflict. May proceed with acknowledgment.</t>
  </si>
  <si>
    <t>Warning: Unresolved conflict with Release [name].</t>
  </si>
  <si>
    <t>CON-TC-049</t>
  </si>
  <si>
    <t>Release Health shows YELLOW with conflict</t>
  </si>
  <si>
    <t>Release has active conflict.</t>
  </si>
  <si>
    <t>Release Health = YELLOW (at risk).</t>
  </si>
  <si>
    <t>CON-TC-050</t>
  </si>
  <si>
    <t>Release Health improves when conflict resolved</t>
  </si>
  <si>
    <t>Release had YELLOW health due to conflict. Conflict resolved.</t>
  </si>
  <si>
    <t>Release Health improves (GREEN if no other issues).</t>
  </si>
  <si>
    <t>CON-TC-051</t>
  </si>
  <si>
    <t>Conflict count decrements when resolved</t>
  </si>
  <si>
    <t>Release has Conflict Count = 3. One conflict resolved.</t>
  </si>
  <si>
    <t>View release after resolution.</t>
  </si>
  <si>
    <t>CON-TC-052</t>
  </si>
  <si>
    <t>Readiness % impacted by open conflicts</t>
  </si>
  <si>
    <t>Release has open conflict. All other gates complete.</t>
  </si>
  <si>
    <t>View Readiness Percentage.</t>
  </si>
  <si>
    <t>Readiness % reduced due to open conflict.</t>
  </si>
  <si>
    <t>CON-TC-053</t>
  </si>
  <si>
    <t>Warning at 75% readiness with conflicts</t>
  </si>
  <si>
    <t>Release at 70% readiness with open conflict. CAB in 2 days.</t>
  </si>
  <si>
    <t>Warning displayed showing gaps including conflict.</t>
  </si>
  <si>
    <t>Readiness below 75%. Gaps: unresolved conflict.</t>
  </si>
  <si>
    <t>CON-TC-054</t>
  </si>
  <si>
    <t>Environment booking blocked with conflict</t>
  </si>
  <si>
    <t>Release A has ENV-PROD booked. Release B tries same slot.</t>
  </si>
  <si>
    <t>Release B attempts to book ENV-PROD.</t>
  </si>
  <si>
    <t>Rejected. Environment conflict.</t>
  </si>
  <si>
    <t>Environment slot unavailable. Conflict with Release A.</t>
  </si>
  <si>
    <t>CON-TC-055</t>
  </si>
  <si>
    <t>Deploying transition blocked without environment</t>
  </si>
  <si>
    <t>Release Ready but no environment booking.</t>
  </si>
  <si>
    <t>Attempt to transition to Deploying.</t>
  </si>
  <si>
    <t>Rejected. Environment booking required.</t>
  </si>
  <si>
    <t>Cannot deploy: No environment booking exists.</t>
  </si>
  <si>
    <t>CON-TC-056</t>
  </si>
  <si>
    <t>Environment auto-release on expiry</t>
  </si>
  <si>
    <t>Environment booked for Release A. Booking expires.</t>
  </si>
  <si>
    <t>Booking end time passes. Release not Deploying.</t>
  </si>
  <si>
    <t>Environment slot auto-released.</t>
  </si>
  <si>
    <t>(Automated) Environment booking expired. Slot released.</t>
  </si>
  <si>
    <t>CON-TC-057</t>
  </si>
  <si>
    <t>Conflict on conflicting release also updated</t>
  </si>
  <si>
    <t>AV-05, §2-10</t>
  </si>
  <si>
    <t>Conflict between Release A and B.</t>
  </si>
  <si>
    <t>Resolve conflict.</t>
  </si>
  <si>
    <t>Both releases show conflict as resolved.</t>
  </si>
  <si>
    <t>CON-TC-058</t>
  </si>
  <si>
    <t>Release transition triggers conflict re-scan</t>
  </si>
  <si>
    <t>Release changes deploy date.</t>
  </si>
  <si>
    <t>Save new deploy date.</t>
  </si>
  <si>
    <t>System re-scans for conflicts.</t>
  </si>
  <si>
    <t>(Automated) Conflict scan triggered.</t>
  </si>
  <si>
    <t>CON-TC-059</t>
  </si>
  <si>
    <t>5. Environment Booking &amp; Double-Booking</t>
  </si>
  <si>
    <t>Book available environment slot</t>
  </si>
  <si>
    <t>ENV-PROD available 10:00-14:00 on 15 Jan.</t>
  </si>
  <si>
    <t>Book slot for Release A.</t>
  </si>
  <si>
    <t>Booking confirmed. Slot reserved.</t>
  </si>
  <si>
    <t>Environment slot booked successfully.</t>
  </si>
  <si>
    <t>CON-TC-060</t>
  </si>
  <si>
    <t>Double-booking detection - exact overlap</t>
  </si>
  <si>
    <t>ENV-PROD booked 10:00-14:00 by Release A.</t>
  </si>
  <si>
    <t>Release B attempts same slot.</t>
  </si>
  <si>
    <t>Rejected. Double-booking detected.</t>
  </si>
  <si>
    <t>Environment already booked by Release A.</t>
  </si>
  <si>
    <t>CON-TC-061</t>
  </si>
  <si>
    <t>Double-booking detection - partial overlap start</t>
  </si>
  <si>
    <t>Release B attempts 12:00-16:00.</t>
  </si>
  <si>
    <t>Rejected. Partial overlap detected.</t>
  </si>
  <si>
    <t>Environment booking overlaps with Release A (12:00-14:00).</t>
  </si>
  <si>
    <t>CON-TC-062</t>
  </si>
  <si>
    <t>Double-booking detection - partial overlap end</t>
  </si>
  <si>
    <t>Release B attempts 08:00-12:00.</t>
  </si>
  <si>
    <t>Environment booking overlaps with Release A (10:00-12:00).</t>
  </si>
  <si>
    <t>CON-TC-063</t>
  </si>
  <si>
    <t>Double-booking detection - contained overlap</t>
  </si>
  <si>
    <t>Release B attempts 11:00-13:00.</t>
  </si>
  <si>
    <t>Rejected. Contained within existing booking.</t>
  </si>
  <si>
    <t>Environment booking overlaps with Release A.</t>
  </si>
  <si>
    <t>CON-TC-064</t>
  </si>
  <si>
    <t>Double-booking detection - spanning overlap</t>
  </si>
  <si>
    <t>Release B attempts 08:00-16:00.</t>
  </si>
  <si>
    <t>Rejected. Spans existing booking.</t>
  </si>
  <si>
    <t>CON-TC-065</t>
  </si>
  <si>
    <t>No conflict for adjacent slots</t>
  </si>
  <si>
    <t>ENV-PROD booked 10:00-12:00 by Release A.</t>
  </si>
  <si>
    <t>Release B books 12:00-14:00.</t>
  </si>
  <si>
    <t>Accepted. No overlap (boundary is exclusive).</t>
  </si>
  <si>
    <t>CON-TC-066</t>
  </si>
  <si>
    <t>Different environments no conflict</t>
  </si>
  <si>
    <t>ENV-PROD booked by Release A.</t>
  </si>
  <si>
    <t>Release B books ENV-UAT same time.</t>
  </si>
  <si>
    <t>Accepted. Different environments.</t>
  </si>
  <si>
    <t>CON-TC-067</t>
  </si>
  <si>
    <t>Booking creates conflict record on overlap attempt</t>
  </si>
  <si>
    <t>Release A has ENV-PROD. Release B attempts overlap.</t>
  </si>
  <si>
    <t>System detects overlap.</t>
  </si>
  <si>
    <t>(Automated) Environment conflict detected.</t>
  </si>
  <si>
    <t>CON-TC-068</t>
  </si>
  <si>
    <t>Modify booking to remove conflict</t>
  </si>
  <si>
    <t>Conflict exists due to env booking overlap.</t>
  </si>
  <si>
    <t>Release A changes booking to non-overlapping slot.</t>
  </si>
  <si>
    <t>Conflict auto-resolved.</t>
  </si>
  <si>
    <t>(Automated) Conflict resolved: environment overlap removed.</t>
  </si>
  <si>
    <t>CON-TC-069</t>
  </si>
  <si>
    <t>Cancel booking releases slot</t>
  </si>
  <si>
    <t>Release A has ENV-PROD booked.</t>
  </si>
  <si>
    <t>Cancel the booking.</t>
  </si>
  <si>
    <t>Slot released. Available for other releases.</t>
  </si>
  <si>
    <t>Environment booking cancelled. Slot released.</t>
  </si>
  <si>
    <t>CON-TC-070</t>
  </si>
  <si>
    <t>Booking locked during deployment</t>
  </si>
  <si>
    <t>Release in Deploying status with ENV-PROD booked.</t>
  </si>
  <si>
    <t>Attempt to modify booking.</t>
  </si>
  <si>
    <t>Rejected. Booking locked during deployment.</t>
  </si>
  <si>
    <t>Environment booking locked during active deployment.</t>
  </si>
  <si>
    <t>CON-TC-071</t>
  </si>
  <si>
    <t>Booking confirmation required before Ready</t>
  </si>
  <si>
    <t>Release in Approved status. No environment booking.</t>
  </si>
  <si>
    <t>Check Ready transition prerequisites.</t>
  </si>
  <si>
    <t>Environment booking listed as requirement.</t>
  </si>
  <si>
    <t>Environment booking required before Ready.</t>
  </si>
  <si>
    <t>CON-TC-072</t>
  </si>
  <si>
    <t>Expired booking auto-releases slot</t>
  </si>
  <si>
    <t>Booking for 10:00-12:00. Current time is 12:30. Release not Deploying.</t>
  </si>
  <si>
    <t>System runs booking expiry check.</t>
  </si>
  <si>
    <t>Slot auto-released.</t>
  </si>
  <si>
    <t>(Automated) Booking expired. Slot released.</t>
  </si>
  <si>
    <t>CON-TC-073</t>
  </si>
  <si>
    <t>Expired booking does not release during Deploying</t>
  </si>
  <si>
    <t>Booking end time passed but Release is Deploying.</t>
  </si>
  <si>
    <t>Slot NOT released. Deployment in progress.</t>
  </si>
  <si>
    <t>CON-TC-074</t>
  </si>
  <si>
    <t>Re-book after expiry</t>
  </si>
  <si>
    <t>Previous booking expired. Slot now available.</t>
  </si>
  <si>
    <t>Book the same slot again.</t>
  </si>
  <si>
    <t>Booking confirmed.</t>
  </si>
  <si>
    <t>CON-TC-075</t>
  </si>
  <si>
    <t>6. Conflict Locking &amp; Immutability</t>
  </si>
  <si>
    <t>Resolved conflict becomes read-only</t>
  </si>
  <si>
    <t>Conflict transitioned to Resolved.</t>
  </si>
  <si>
    <t>Attempt to edit any field.</t>
  </si>
  <si>
    <t>All fields read-only.</t>
  </si>
  <si>
    <t>CON-TC-076</t>
  </si>
  <si>
    <t>Dismissed conflict becomes read-only</t>
  </si>
  <si>
    <t>Conflict transitioned to Dismissed.</t>
  </si>
  <si>
    <t>CON-TC-077</t>
  </si>
  <si>
    <t>Conflict locked when release reaches Deploying</t>
  </si>
  <si>
    <t>View associated conflicts.</t>
  </si>
  <si>
    <t>All conflict records become read-only.</t>
  </si>
  <si>
    <t>Conflicts locked during deployment.</t>
  </si>
  <si>
    <t>CON-TC-078</t>
  </si>
  <si>
    <t>Conflict remains editable in Detected status</t>
  </si>
  <si>
    <t>Add notes or change status.</t>
  </si>
  <si>
    <t>Edits allowed on non-locked fields.</t>
  </si>
  <si>
    <t>CON-TC-079</t>
  </si>
  <si>
    <t>Conflict remains editable in Under Review</t>
  </si>
  <si>
    <t>Add resolution notes or change status.</t>
  </si>
  <si>
    <t>CON-TC-080</t>
  </si>
  <si>
    <t>Conflicting release links always immutable</t>
  </si>
  <si>
    <t>Rejected. Links cannot be changed.</t>
  </si>
  <si>
    <t>Conflicting release references are immutable.</t>
  </si>
  <si>
    <t>CON-TC-081</t>
  </si>
  <si>
    <t>Conflict type always immutable</t>
  </si>
  <si>
    <t>Attempt to change type.</t>
  </si>
  <si>
    <t>Rejected. Type set by system.</t>
  </si>
  <si>
    <t>Conflict type is system-determined and immutable.</t>
  </si>
  <si>
    <t>CON-TC-082</t>
  </si>
  <si>
    <t>Detection timestamp immutable</t>
  </si>
  <si>
    <t>Conflict auto-created with timestamp.</t>
  </si>
  <si>
    <t>Detection timestamp displayed and cannot be changed.</t>
  </si>
  <si>
    <t>CON-TC-083</t>
  </si>
  <si>
    <t>Resolution timestamp set on resolve</t>
  </si>
  <si>
    <t>Resolution timestamp auto-set and immutable.</t>
  </si>
  <si>
    <t>CON-TC-084</t>
  </si>
  <si>
    <t>Audit history preserved on locked conflict</t>
  </si>
  <si>
    <t>Conflict is Resolved (locked).</t>
  </si>
  <si>
    <t>View conflict audit history.</t>
  </si>
  <si>
    <t>Complete history displayed read-only.</t>
  </si>
  <si>
    <t>CON-TC-085</t>
  </si>
  <si>
    <t>Cannot reopen resolved conflict</t>
  </si>
  <si>
    <t>Conflict was Resolved. Same overlap recurs.</t>
  </si>
  <si>
    <t>Attempt to reopen conflict.</t>
  </si>
  <si>
    <t>Rejected. New conflict would be created instead.</t>
  </si>
  <si>
    <t>Resolved conflicts cannot be reopened. System will detect new conflict if overlap recurs.</t>
  </si>
  <si>
    <t>CON-TC-086</t>
  </si>
  <si>
    <t>System can update resolved conflict internally</t>
  </si>
  <si>
    <t>Conflict Resolved. Overlap removed then re-added.</t>
  </si>
  <si>
    <t>Overlap re-detected.</t>
  </si>
  <si>
    <t>New conflict created, not reopened old one.</t>
  </si>
  <si>
    <t>(Automated) New conflict detected.</t>
  </si>
  <si>
    <t>CON-TC-087</t>
  </si>
  <si>
    <t>Deploy date change triggers conflict detection</t>
  </si>
  <si>
    <t>Release A has no conflicts. Changes deploy date.</t>
  </si>
  <si>
    <t>System scans for conflicts with new date.</t>
  </si>
  <si>
    <t>(Automated) Conflict scan initiated.</t>
  </si>
  <si>
    <t>CON-TC-088</t>
  </si>
  <si>
    <t>Deploy date change auto-resolves conflict</t>
  </si>
  <si>
    <t>Conflict exists between A and B. A changes date.</t>
  </si>
  <si>
    <t>A's new date doesn't overlap with B.</t>
  </si>
  <si>
    <t>CON-TC-089</t>
  </si>
  <si>
    <t>Environment booking triggers conflict detection</t>
  </si>
  <si>
    <t>Release A books ENV-PROD.</t>
  </si>
  <si>
    <t>System checks for overlapping bookings.</t>
  </si>
  <si>
    <t>Conflict created if overlap found.</t>
  </si>
  <si>
    <t>CON-TC-090</t>
  </si>
  <si>
    <t>Environment booking change resolves conflict</t>
  </si>
  <si>
    <t>Conflict due to env overlap. A changes booking.</t>
  </si>
  <si>
    <t>A's new booking doesn't overlap.</t>
  </si>
  <si>
    <t>CON-TC-091</t>
  </si>
  <si>
    <t>Release cancellation resolves associated conflicts</t>
  </si>
  <si>
    <t>CASC</t>
  </si>
  <si>
    <t>Conflict between A and B. Release A cancelled.</t>
  </si>
  <si>
    <t>(Automated) Conflict resolved: Release A cancelled.</t>
  </si>
  <si>
    <t>CON-TC-092</t>
  </si>
  <si>
    <t>Release deletion archives conflict records</t>
  </si>
  <si>
    <t>Release with conflicts is deleted.</t>
  </si>
  <si>
    <t>Admin deletes release.</t>
  </si>
  <si>
    <t>Conflicts archived (not orphaned).</t>
  </si>
  <si>
    <t>(audit) Conflicts archived on release deletion.</t>
  </si>
  <si>
    <t>CON-TC-093</t>
  </si>
  <si>
    <t>Conflict on both releases shows same record</t>
  </si>
  <si>
    <t>View conflicts on both releases.</t>
  </si>
  <si>
    <t>Same conflict record appears on both.</t>
  </si>
  <si>
    <t>CON-TC-094</t>
  </si>
  <si>
    <t>Cascade notification to both release managers</t>
  </si>
  <si>
    <t>NOTIF, CASC</t>
  </si>
  <si>
    <t>New conflict detected between A and B.</t>
  </si>
  <si>
    <t>System creates conflict.</t>
  </si>
  <si>
    <t>Notification sent to RM of A and RM of B.</t>
  </si>
  <si>
    <t>Schedule conflict detected between your release and [name].</t>
  </si>
  <si>
    <t>CON-TC-095</t>
  </si>
  <si>
    <t>Cascade audit trail on both releases</t>
  </si>
  <si>
    <t>View audit on both releases.</t>
  </si>
  <si>
    <t>Cascade event recorded on both release audit trails.</t>
  </si>
  <si>
    <t>CON-TC-096</t>
  </si>
  <si>
    <t>Multiple release date changes - cascade efficiency</t>
  </si>
  <si>
    <t>Release A has 5 conflicts. Changes date to resolve all.</t>
  </si>
  <si>
    <t>Save single date change.</t>
  </si>
  <si>
    <t>All 5 conflicts resolved in single cascade operation.</t>
  </si>
  <si>
    <t>(Automated) 5 conflicts resolved.</t>
  </si>
  <si>
    <t>CON-TC-097</t>
  </si>
  <si>
    <t>Cascade does not create duplicate conflicts</t>
  </si>
  <si>
    <t>Conflict exists. System re-scans.</t>
  </si>
  <si>
    <t>Overlap still exists.</t>
  </si>
  <si>
    <t>No duplicate conflict created.</t>
  </si>
  <si>
    <t>CON-TC-098</t>
  </si>
  <si>
    <t>Cascade handles partial overlap changes</t>
  </si>
  <si>
    <t>Conflict for 10:00-14:00 overlap. A changes to 10:00-12:00.</t>
  </si>
  <si>
    <t>Still overlaps but smaller window.</t>
  </si>
  <si>
    <t>Conflict NOT auto-resolved (overlap still exists).</t>
  </si>
  <si>
    <t>CON-TC-099</t>
  </si>
  <si>
    <t>Application change triggers conflict re-scan</t>
  </si>
  <si>
    <t>Release changes Application field.</t>
  </si>
  <si>
    <t>Save change.</t>
  </si>
  <si>
    <t>System re-scans for application conflicts.</t>
  </si>
  <si>
    <t>CON-TC-100</t>
  </si>
  <si>
    <t>Environment change triggers conflict re-scan</t>
  </si>
  <si>
    <t>AV-05, CASC-07</t>
  </si>
  <si>
    <t>Release changes target environment.</t>
  </si>
  <si>
    <t>System re-scans for environment conflicts.</t>
  </si>
  <si>
    <t>CON-TC-101</t>
  </si>
  <si>
    <t>Release Manager can resolve conflict</t>
  </si>
  <si>
    <t>User is RM for one of the conflicting releases.</t>
  </si>
  <si>
    <t>Resolve the conflict.</t>
  </si>
  <si>
    <t>Resolved successfully.</t>
  </si>
  <si>
    <t>CON-TC-102</t>
  </si>
  <si>
    <t>Admin can resolve any conflict</t>
  </si>
  <si>
    <t>Resolve conflict between any releases.</t>
  </si>
  <si>
    <t>CON-TC-103</t>
  </si>
  <si>
    <t>Team member cannot resolve conflict</t>
  </si>
  <si>
    <t>User is team member, not RM.</t>
  </si>
  <si>
    <t>Attempt to resolve conflict.</t>
  </si>
  <si>
    <t>Only Release Manager or Admin can resolve conflicts.</t>
  </si>
  <si>
    <t>CON-TC-104</t>
  </si>
  <si>
    <t>Read-only user can view conflict</t>
  </si>
  <si>
    <t>Conflict displayed. Action buttons disabled.</t>
  </si>
  <si>
    <t>CON-TC-105</t>
  </si>
  <si>
    <t>Read-only user cannot resolve conflict</t>
  </si>
  <si>
    <t>You do not have permission to modify conflicts.</t>
  </si>
  <si>
    <t>CON-TC-106</t>
  </si>
  <si>
    <t>RM of either release can act on conflict</t>
  </si>
  <si>
    <t>Conflict between Release A (RM = User X) and B (RM = User Y).</t>
  </si>
  <si>
    <t>User X resolves conflict.</t>
  </si>
  <si>
    <t>CON-TC-107</t>
  </si>
  <si>
    <t>RM of neither release cannot act</t>
  </si>
  <si>
    <t>Conflict between A and B. User is RM of Release C.</t>
  </si>
  <si>
    <t>User attempts to resolve conflict.</t>
  </si>
  <si>
    <t>Rejected. Not RM of conflicting releases.</t>
  </si>
  <si>
    <t>You must be Release Manager of a conflicting release.</t>
  </si>
  <si>
    <t>CON-TC-108</t>
  </si>
  <si>
    <t>Delegate can resolve with inherited authority</t>
  </si>
  <si>
    <t>User delegated authority from RM.</t>
  </si>
  <si>
    <t>Delegate resolves conflict.</t>
  </si>
  <si>
    <t>Resolved. Audit shows delegate action.</t>
  </si>
  <si>
    <t>CON-TC-109</t>
  </si>
  <si>
    <t>Cross-team conflict requires both RM agreement</t>
  </si>
  <si>
    <t>Conflict between Team A release and Team B release.</t>
  </si>
  <si>
    <t>Team A RM dismisses conflict.</t>
  </si>
  <si>
    <t>May require Team B acknowledgment based on policy.</t>
  </si>
  <si>
    <t>CON-TC-110</t>
  </si>
  <si>
    <t>Access revoked user loses conflict access</t>
  </si>
  <si>
    <t>User attempts to view conflict.</t>
  </si>
  <si>
    <t>Your access has been revoked.</t>
  </si>
  <si>
    <t>CON-TC-111</t>
  </si>
  <si>
    <t>Environment admin can manage booking conflicts</t>
  </si>
  <si>
    <t>User is environment administrator.</t>
  </si>
  <si>
    <t>View and assist with environment conflicts.</t>
  </si>
  <si>
    <t>Full access to environment booking details.</t>
  </si>
  <si>
    <t>CON-TC-112</t>
  </si>
  <si>
    <t>Conflict visible to all release stakeholders</t>
  </si>
  <si>
    <t>Conflict between A and B. Stakeholders on both.</t>
  </si>
  <si>
    <t>Stakeholders view conflict.</t>
  </si>
  <si>
    <t>Conflict visible to stakeholders of both releases.</t>
  </si>
  <si>
    <t>CON-TC-113</t>
  </si>
  <si>
    <t>Conflict creation logged in audit trail</t>
  </si>
  <si>
    <t>New conflict auto-detected.</t>
  </si>
  <si>
    <t>Creation event with timestamp, conflict type, and linked releases recorded.</t>
  </si>
  <si>
    <t>CON-TC-114</t>
  </si>
  <si>
    <t>Status transition logged</t>
  </si>
  <si>
    <t>Conflict changes from Detected to Under Review.</t>
  </si>
  <si>
    <t>Transition recorded with user, timestamp, previous/new status.</t>
  </si>
  <si>
    <t>CON-TC-115</t>
  </si>
  <si>
    <t>Resolution logged with notes</t>
  </si>
  <si>
    <t>RM resolves conflict with notes.</t>
  </si>
  <si>
    <t>Resolution event shows user, timestamp, resolution notes.</t>
  </si>
  <si>
    <t>CON-TC-116</t>
  </si>
  <si>
    <t>Dismissal logged with reason</t>
  </si>
  <si>
    <t>RM dismisses conflict with reason.</t>
  </si>
  <si>
    <t>Dismissal event shows user, timestamp, dismissal reason.</t>
  </si>
  <si>
    <t>CON-TC-117</t>
  </si>
  <si>
    <t>Auto-resolution cascade logged</t>
  </si>
  <si>
    <t>AUDIT, CASC-08</t>
  </si>
  <si>
    <t>System resolution event shows 'AUTO' user, trigger event.</t>
  </si>
  <si>
    <t>(AUTO) Conflict resolved: Deploy date changed.</t>
  </si>
  <si>
    <t>CON-TC-118</t>
  </si>
  <si>
    <t>Audit shows both releases affected</t>
  </si>
  <si>
    <t>Conflict event appears in both release audit trails.</t>
  </si>
  <si>
    <t>CON-TC-119</t>
  </si>
  <si>
    <t>Audit history cannot be modified</t>
  </si>
  <si>
    <t>User views conflict audit.</t>
  </si>
  <si>
    <t>Attempt to delete or edit audit entries.</t>
  </si>
  <si>
    <t>Rejected. Audit trail is immutable.</t>
  </si>
  <si>
    <t>Audit history cannot be modified.</t>
  </si>
  <si>
    <t>CON-TC-120</t>
  </si>
  <si>
    <t>Audit persists after conflict resolved</t>
  </si>
  <si>
    <t>Conflict resolved. Time passes.</t>
  </si>
  <si>
    <t>Full history retained and accessible.</t>
  </si>
  <si>
    <t>CON-TC-121</t>
  </si>
  <si>
    <t>Audit shows failed action attempts</t>
  </si>
  <si>
    <t>Unauthorized user attempts to resolve conflict.</t>
  </si>
  <si>
    <t>Failed attempt logged with rejection reason.</t>
  </si>
  <si>
    <t>CON-TC-122</t>
  </si>
  <si>
    <t>Notes changes tracked in audit</t>
  </si>
  <si>
    <t>User adds notes to conflict in Under Review.</t>
  </si>
  <si>
    <t>Notes addition tracked with timestamp.</t>
  </si>
  <si>
    <t>CON-TC-123</t>
  </si>
  <si>
    <t>Audit trail exportable</t>
  </si>
  <si>
    <t>User requests audit export.</t>
  </si>
  <si>
    <t>Export conflict audit history.</t>
  </si>
  <si>
    <t>Complete audit trail exported with all fields.</t>
  </si>
  <si>
    <t>CON-TC-124</t>
  </si>
  <si>
    <t>Timestamp shows correct timezone</t>
  </si>
  <si>
    <t>Conflict created in different timezone.</t>
  </si>
  <si>
    <t>View audit from another timezone.</t>
  </si>
  <si>
    <t>Timestamps display correctly for viewer's timezone.</t>
  </si>
  <si>
    <t>CON-TC-125</t>
  </si>
  <si>
    <t>Conflict detection notification sent to both RMs</t>
  </si>
  <si>
    <t>NOTIF, AV-05</t>
  </si>
  <si>
    <t>Email/notification sent to RM of both releases.</t>
  </si>
  <si>
    <t>Schedule conflict detected between [Release A] and [Release B].</t>
  </si>
  <si>
    <t>CON-TC-126</t>
  </si>
  <si>
    <t>Environment double-book notification</t>
  </si>
  <si>
    <t>NOTIF, AV-07</t>
  </si>
  <si>
    <t>Double-booking detected.</t>
  </si>
  <si>
    <t>System blocks second booking.</t>
  </si>
  <si>
    <t>Notification sent to user attempting booking.</t>
  </si>
  <si>
    <t>CON-TC-127</t>
  </si>
  <si>
    <t>Conflict resolution notification</t>
  </si>
  <si>
    <t>RM resolves conflict.</t>
  </si>
  <si>
    <t>Conflict status changes to Resolved.</t>
  </si>
  <si>
    <t>Notification sent to other RM and stakeholders.</t>
  </si>
  <si>
    <t>Conflict with [Release] has been resolved.</t>
  </si>
  <si>
    <t>CON-TC-128</t>
  </si>
  <si>
    <t>Conflict dismissal notification</t>
  </si>
  <si>
    <t>RM dismisses conflict.</t>
  </si>
  <si>
    <t>Conflict status changes to Dismissed.</t>
  </si>
  <si>
    <t>Notification sent to other RM.</t>
  </si>
  <si>
    <t>Conflict with [Release] has been dismissed. Reason: [reason].</t>
  </si>
  <si>
    <t>CON-TC-129</t>
  </si>
  <si>
    <t>Auto-resolution notification</t>
  </si>
  <si>
    <t>NOTIF, CASC-08</t>
  </si>
  <si>
    <t>System resolves conflict.</t>
  </si>
  <si>
    <t>Notification sent to both RMs.</t>
  </si>
  <si>
    <t>(Automated) Conflict automatically resolved: [reason].</t>
  </si>
  <si>
    <t>CON-TC-130</t>
  </si>
  <si>
    <t>Conflict escalation notification</t>
  </si>
  <si>
    <t>Conflict unresolved approaching deploy date.</t>
  </si>
  <si>
    <t>Escalation triggered.</t>
  </si>
  <si>
    <t>Notification sent to escalation recipients.</t>
  </si>
  <si>
    <t>Unresolved conflict escalation: [Release] deploys in 24 hours.</t>
  </si>
  <si>
    <t>CON-TC-131</t>
  </si>
  <si>
    <t>Ready blocked notification shows conflicts</t>
  </si>
  <si>
    <t>NOTIF, VR-32</t>
  </si>
  <si>
    <t>User attempts Ready transition with conflicts.</t>
  </si>
  <si>
    <t>Transition blocked.</t>
  </si>
  <si>
    <t>Notification shows specific conflicts blocking transition.</t>
  </si>
  <si>
    <t>Cannot transition to Ready: 2 open conflicts require resolution.</t>
  </si>
  <si>
    <t>CON-TC-132</t>
  </si>
  <si>
    <t>Notification includes conflict details</t>
  </si>
  <si>
    <t>New conflict created.</t>
  </si>
  <si>
    <t>RM receives notification.</t>
  </si>
  <si>
    <t>Notification includes type, other release, overlap details.</t>
  </si>
  <si>
    <t>CON-TC-133</t>
  </si>
  <si>
    <t>Notification links to conflict detail page</t>
  </si>
  <si>
    <t>RM receives conflict notification.</t>
  </si>
  <si>
    <t>Click notification link.</t>
  </si>
  <si>
    <t>Direct navigation to conflict detail page.</t>
  </si>
  <si>
    <t>CON-TC-134</t>
  </si>
  <si>
    <t>Batch notification for multiple conflicts</t>
  </si>
  <si>
    <t>Single date change creates 5 conflicts.</t>
  </si>
  <si>
    <t>System detects all conflicts.</t>
  </si>
  <si>
    <t>Single consolidated notification listing all 5.</t>
  </si>
  <si>
    <t>5 new conflicts detected for [Release].</t>
  </si>
  <si>
    <t>CON-TC-135</t>
  </si>
  <si>
    <t>No notification for own-release conflict creation</t>
  </si>
  <si>
    <t>User creates conflict by changing own release.</t>
  </si>
  <si>
    <t>Conflict created.</t>
  </si>
  <si>
    <t>Notification sent to other RM, not to triggering user.</t>
  </si>
  <si>
    <t>CON-TC-136</t>
  </si>
  <si>
    <t>Notification respects user preferences</t>
  </si>
  <si>
    <t>User disabled email notifications.</t>
  </si>
  <si>
    <t>No email sent. In-app notification shown.</t>
  </si>
  <si>
    <t>CON-TC-137</t>
  </si>
  <si>
    <t>11. Conflict Edge Cases</t>
  </si>
  <si>
    <t>Concurrent conflict resolution attempts</t>
  </si>
  <si>
    <t>Two users try to resolve same conflict simultaneously.</t>
  </si>
  <si>
    <t>Both click Resolve at same time.</t>
  </si>
  <si>
    <t>One succeeds. Other gets stale-data warning.</t>
  </si>
  <si>
    <t>CON-TC-138</t>
  </si>
  <si>
    <t>Concurrent conflict detection and resolution</t>
  </si>
  <si>
    <t>User resolves conflict while system detects new overlap.</t>
  </si>
  <si>
    <t>Simultaneous operations.</t>
  </si>
  <si>
    <t>Deterministic: resolution applies, new conflict created separately.</t>
  </si>
  <si>
    <t>CON-TC-139</t>
  </si>
  <si>
    <t>Conflict at exact same millisecond timestamp</t>
  </si>
  <si>
    <t>Two releases set identical deploy timestamps.</t>
  </si>
  <si>
    <t>Single conflict created (no duplicates).</t>
  </si>
  <si>
    <t>CON-TC-140</t>
  </si>
  <si>
    <t>Conflict spanning year boundary</t>
  </si>
  <si>
    <t>Release A: Dec 31 23:00 - Jan 1 02:00. Release B: Jan 1 00:00 - 04:00.</t>
  </si>
  <si>
    <t>Conflict detected correctly across year boundary.</t>
  </si>
  <si>
    <t>CON-TC-141</t>
  </si>
  <si>
    <t>Conflict on leap year date</t>
  </si>
  <si>
    <t>Release scheduled for Feb 29.</t>
  </si>
  <si>
    <t>Conflict with another release on same date.</t>
  </si>
  <si>
    <t>Leap year date handled correctly.</t>
  </si>
  <si>
    <t>CON-TC-142</t>
  </si>
  <si>
    <t>Chain of conflicts (A-B, B-C, C-D)</t>
  </si>
  <si>
    <t>4 releases with chained conflicts.</t>
  </si>
  <si>
    <t>View Release B.</t>
  </si>
  <si>
    <t>Shows conflicts with A and C correctly.</t>
  </si>
  <si>
    <t>CON-TC-143</t>
  </si>
  <si>
    <t>Release with maximum conflicts (100+)</t>
  </si>
  <si>
    <t>Release overlaps with 100 other releases.</t>
  </si>
  <si>
    <t>Load release page.</t>
  </si>
  <si>
    <t>Page loads within acceptable time. Conflicts paginated.</t>
  </si>
  <si>
    <t>CON-TC-144</t>
  </si>
  <si>
    <t>Conflict count computed correctly</t>
  </si>
  <si>
    <t>Release has 5 open conflicts.</t>
  </si>
  <si>
    <t>View Release details.</t>
  </si>
  <si>
    <t>Conflict Count shows 5.</t>
  </si>
  <si>
    <t>CON-TC-145</t>
  </si>
  <si>
    <t>Conflict count excludes resolved</t>
  </si>
  <si>
    <t>Release had 5 conflicts, 3 resolved.</t>
  </si>
  <si>
    <t>Conflict Count shows 2 (active only).</t>
  </si>
  <si>
    <t>CON-TC-146</t>
  </si>
  <si>
    <t>Conflict count excludes dismissed</t>
  </si>
  <si>
    <t>Release had 5 conflicts, 2 dismissed.</t>
  </si>
  <si>
    <t>Conflict Count shows 3 (active only).</t>
  </si>
  <si>
    <t>CON-TC-147</t>
  </si>
  <si>
    <t>Zero-minute overlap conflict</t>
  </si>
  <si>
    <t>Release A ends 14:00. Release B starts 14:00.</t>
  </si>
  <si>
    <t>System scans.</t>
  </si>
  <si>
    <t>No conflict (adjacent, not overlapping).</t>
  </si>
  <si>
    <t>CON-TC-148</t>
  </si>
  <si>
    <t>One-minute overlap conflict</t>
  </si>
  <si>
    <t>Release A ends 14:01. Release B starts 14:00.</t>
  </si>
  <si>
    <t>Conflict detected (1-minute overlap).</t>
  </si>
  <si>
    <t>Schedule conflict: 1-minute overlap detected.</t>
  </si>
  <si>
    <t>CON-TC-149</t>
  </si>
  <si>
    <t>Session expired during conflict resolution</t>
  </si>
  <si>
    <t>User editing conflict. Session expires.</t>
  </si>
  <si>
    <t>User clicks Resolve.</t>
  </si>
  <si>
    <t>Redirected to login. Action preserved.</t>
  </si>
  <si>
    <t>Session expired — log in to continue.</t>
  </si>
  <si>
    <t>CON-TC-150</t>
  </si>
  <si>
    <t>Permission revoked while viewing conflict</t>
  </si>
  <si>
    <t>User viewing conflict. Access revoked.</t>
  </si>
  <si>
    <t>User attempts to resolve.</t>
  </si>
  <si>
    <t>Access denied gracefully.</t>
  </si>
  <si>
    <t>CON-TC-151</t>
  </si>
  <si>
    <t>Conflict involving deleted/archived release</t>
  </si>
  <si>
    <t>Release B archived. Conflict exists with A.</t>
  </si>
  <si>
    <t>View conflict.</t>
  </si>
  <si>
    <t>Conflict shows archived release reference (read-only).</t>
  </si>
  <si>
    <t>CON-TC-152</t>
  </si>
  <si>
    <t>Network failure during conflict resolution</t>
  </si>
  <si>
    <t>Network drops during resolve action.</t>
  </si>
  <si>
    <t>User retries.</t>
  </si>
  <si>
    <t>Clean retry allowed. No partial state.</t>
  </si>
  <si>
    <t>Connection lost — please try again.</t>
  </si>
  <si>
    <t>CON-TC-153</t>
  </si>
  <si>
    <t>Database timeout during conflict query</t>
  </si>
  <si>
    <t>Database times out loading conflicts.</t>
  </si>
  <si>
    <t>User refreshes.</t>
  </si>
  <si>
    <t>Clean load with latest data.</t>
  </si>
  <si>
    <t>CON-TC-154</t>
  </si>
  <si>
    <t>Bulk conflict resolution</t>
  </si>
  <si>
    <t>RM selects 10 conflicts to resolve.</t>
  </si>
  <si>
    <t>Click Resolve All.</t>
  </si>
  <si>
    <t>All 10 resolved atomically.</t>
  </si>
  <si>
    <t>10 conflicts resolved.</t>
  </si>
  <si>
    <t>CON-TC-155</t>
  </si>
  <si>
    <t>XSS injection in resolution notes</t>
  </si>
  <si>
    <t>User resolving conflict.</t>
  </si>
  <si>
    <t>Enter: "&lt;script&gt;alert('XSS')&lt;/script&gt;" in notes.</t>
  </si>
  <si>
    <t>Script escaped. No execution.</t>
  </si>
  <si>
    <t>CON-TC-156</t>
  </si>
  <si>
    <t>SQL injection in dismissal reason</t>
  </si>
  <si>
    <t>User dismissing conflict.</t>
  </si>
  <si>
    <t>Enter: "'; DROP TABLE conflicts;--"</t>
  </si>
  <si>
    <t>SUMMARY</t>
  </si>
  <si>
    <t>Positive (P):</t>
  </si>
  <si>
    <t>Negative (N):</t>
  </si>
  <si>
    <t>Edge Cases (E):</t>
  </si>
  <si>
    <t>Priority P1:</t>
  </si>
  <si>
    <t>Priority P2:</t>
  </si>
  <si>
    <t>Priority P3:</t>
  </si>
  <si>
    <t>Sections:</t>
  </si>
  <si>
    <t>2. Conflict Status - Happy Path</t>
  </si>
  <si>
    <t>3. Conflict Status - Negative</t>
  </si>
  <si>
    <t>4. Impact on Release Transitions</t>
  </si>
  <si>
    <t>DFT-TC-001</t>
  </si>
  <si>
    <t>1. Drift Auto-Detection</t>
  </si>
  <si>
    <t>Daily scan detects config drift above threshold</t>
  </si>
  <si>
    <t>Daily scan job scheduled. Production config differs from baseline.</t>
  </si>
  <si>
    <t>Scan job executes.</t>
  </si>
  <si>
    <t>Drift record auto-created with Detected status.</t>
  </si>
  <si>
    <t>(Automated) Config drift detected. Delta exceeds threshold.</t>
  </si>
  <si>
    <t>DFT-TC-002</t>
  </si>
  <si>
    <t>Daily scan no drift detected (within threshold)</t>
  </si>
  <si>
    <t>Daily scan job scheduled. Config delta within acceptable threshold.</t>
  </si>
  <si>
    <t>No Drift record created. No notification.</t>
  </si>
  <si>
    <t>DFT-TC-003</t>
  </si>
  <si>
    <t>Drift record captures baseline configuration</t>
  </si>
  <si>
    <t>AV-13, Entity</t>
  </si>
  <si>
    <t>Config drift detected.</t>
  </si>
  <si>
    <t>View Drift record.</t>
  </si>
  <si>
    <t>Baseline field shows expected configuration.</t>
  </si>
  <si>
    <t>DFT-TC-004</t>
  </si>
  <si>
    <t>Drift record captures current configuration</t>
  </si>
  <si>
    <t>Current field shows actual production configuration.</t>
  </si>
  <si>
    <t>DFT-TC-005</t>
  </si>
  <si>
    <t>Drift record captures delta details</t>
  </si>
  <si>
    <t>Delta field shows specific differences between baseline and current.</t>
  </si>
  <si>
    <t>DFT-TC-006</t>
  </si>
  <si>
    <t>Drift record ID auto-generated</t>
  </si>
  <si>
    <t>New drift detected.</t>
  </si>
  <si>
    <t>System creates Drift record.</t>
  </si>
  <si>
    <t>Unique Drift ID auto-assigned (read-only).</t>
  </si>
  <si>
    <t>DFT-TC-007</t>
  </si>
  <si>
    <t>Drift notification sent to Release Manager</t>
  </si>
  <si>
    <t>AV-13, NOTIF</t>
  </si>
  <si>
    <t>Notification sent to RM.</t>
  </si>
  <si>
    <t>Config drift detected for [Application]. Please review.</t>
  </si>
  <si>
    <t>DFT-TC-008</t>
  </si>
  <si>
    <t>Drift detection timestamp recorded</t>
  </si>
  <si>
    <t>Detection timestamp auto-recorded.</t>
  </si>
  <si>
    <t>DFT-TC-009</t>
  </si>
  <si>
    <t>Multiple drifts detected in single scan</t>
  </si>
  <si>
    <t>Multiple applications have config drift.</t>
  </si>
  <si>
    <t>Separate Drift record created for each application.</t>
  </si>
  <si>
    <t>DFT-TC-010</t>
  </si>
  <si>
    <t>Drift threshold configurable in system settings</t>
  </si>
  <si>
    <t>Admin accesses system settings.</t>
  </si>
  <si>
    <t>Modify drift threshold value.</t>
  </si>
  <si>
    <t>New threshold applied to subsequent scans.</t>
  </si>
  <si>
    <t>DFT-TC-011</t>
  </si>
  <si>
    <t>Unauthorized change detected (outside deploy window)</t>
  </si>
  <si>
    <t>Config change detected. No active Deploying release.</t>
  </si>
  <si>
    <t>Real-time monitoring detects change.</t>
  </si>
  <si>
    <t>Drift flagged as unauthorized. Security team alerted.</t>
  </si>
  <si>
    <t>(Security Alert) Unauthorized configuration change detected.</t>
  </si>
  <si>
    <t>DFT-TC-012</t>
  </si>
  <si>
    <t>Change during deploy window not flagged unauthorized</t>
  </si>
  <si>
    <t>Config change detected. Release is in Deploying status.</t>
  </si>
  <si>
    <t>Change treated as expected deployment activity. Not flagged.</t>
  </si>
  <si>
    <t>DFT-TC-013</t>
  </si>
  <si>
    <t>Drift scan handles connection failure gracefully</t>
  </si>
  <si>
    <t>AV-13, Error</t>
  </si>
  <si>
    <t>Scan job cannot connect to production environment.</t>
  </si>
  <si>
    <t>Job fails gracefully. Error logged. Admin notified.</t>
  </si>
  <si>
    <t>Drift scan failed: Connection to [env] timed out.</t>
  </si>
  <si>
    <t>DFT-TC-014</t>
  </si>
  <si>
    <t>Drift scan handles partial environment access</t>
  </si>
  <si>
    <t>Scan can access some servers, not others.</t>
  </si>
  <si>
    <t>Partial scan completed. Inaccessible servers logged.</t>
  </si>
  <si>
    <t>Drift scan partial: 3 of 5 servers scanned.</t>
  </si>
  <si>
    <t>DFT-TC-015</t>
  </si>
  <si>
    <t>Drift excludes known temporary changes</t>
  </si>
  <si>
    <t>Admin marked certain config keys as excluded.</t>
  </si>
  <si>
    <t>Scan detects change in excluded key.</t>
  </si>
  <si>
    <t>No Drift record created for excluded items.</t>
  </si>
  <si>
    <t>DFT-TC-016</t>
  </si>
  <si>
    <t>Drift detection for specific application only</t>
  </si>
  <si>
    <t>Drift detected for App A only.</t>
  </si>
  <si>
    <t>Drift record linked to specific application.</t>
  </si>
  <si>
    <t>DFT-TC-017</t>
  </si>
  <si>
    <t>Drift linked to environment</t>
  </si>
  <si>
    <t>Drift detected in PROD environment.</t>
  </si>
  <si>
    <t>Environment field shows PROD.</t>
  </si>
  <si>
    <t>DFT-TC-018</t>
  </si>
  <si>
    <t>Compliance snapshot captures drift state</t>
  </si>
  <si>
    <t>Weekly compliance snapshot runs.</t>
  </si>
  <si>
    <t>Snapshot job executes.</t>
  </si>
  <si>
    <t>Current drift records included in compliance archive.</t>
  </si>
  <si>
    <t>DFT-TC-019</t>
  </si>
  <si>
    <t>2. Drift Status Transitions - Happy Path</t>
  </si>
  <si>
    <t>Detected → Investigating</t>
  </si>
  <si>
    <t>Drift in Detected status.</t>
  </si>
  <si>
    <t>RM clicks Start Investigation.</t>
  </si>
  <si>
    <t>Status changes to Investigating.</t>
  </si>
  <si>
    <t>DFT-TC-020</t>
  </si>
  <si>
    <t>Detected → Approved (intentional change)</t>
  </si>
  <si>
    <t>Drift in Detected status. Change was planned.</t>
  </si>
  <si>
    <t>RM approves drift.</t>
  </si>
  <si>
    <t>Status changes to Approved (FINAL).</t>
  </si>
  <si>
    <t>Drift approved. New baseline established.</t>
  </si>
  <si>
    <t>DFT-TC-021</t>
  </si>
  <si>
    <t>Detected → Reverted (restore baseline)</t>
  </si>
  <si>
    <t>Drift in Detected status. Change was unintended.</t>
  </si>
  <si>
    <t>RM reverts config.</t>
  </si>
  <si>
    <t>Status changes to Reverted (FINAL).</t>
  </si>
  <si>
    <t>Configuration restored to baseline.</t>
  </si>
  <si>
    <t>DFT-TC-022</t>
  </si>
  <si>
    <t>Investigating → Approved</t>
  </si>
  <si>
    <t>Drift in Investigating status. Investigation complete.</t>
  </si>
  <si>
    <t>RM approves drift as intentional.</t>
  </si>
  <si>
    <t>Drift approved after investigation.</t>
  </si>
  <si>
    <t>DFT-TC-023</t>
  </si>
  <si>
    <t>Investigating → Reverted</t>
  </si>
  <si>
    <t>Drift in Investigating status. Decision to restore.</t>
  </si>
  <si>
    <t>DFT-TC-024</t>
  </si>
  <si>
    <t>Investigating → Escalated</t>
  </si>
  <si>
    <t>Drift in Investigating. Unauthorized change suspected.</t>
  </si>
  <si>
    <t>RM escalates to security.</t>
  </si>
  <si>
    <t>Status changes to Escalated. Security notified.</t>
  </si>
  <si>
    <t>Drift escalated. Security team alerted.</t>
  </si>
  <si>
    <t>DFT-TC-025</t>
  </si>
  <si>
    <t>Escalated → Investigating (de-escalation)</t>
  </si>
  <si>
    <t>Drift in Escalated. Security clears concern.</t>
  </si>
  <si>
    <t>Security team de-escalates.</t>
  </si>
  <si>
    <t>Drift de-escalated. Continue investigation.</t>
  </si>
  <si>
    <t>DFT-TC-026</t>
  </si>
  <si>
    <t>Escalated → Approved</t>
  </si>
  <si>
    <t>Drift in Escalated. Security confirms change is valid.</t>
  </si>
  <si>
    <t>Security approves.</t>
  </si>
  <si>
    <t>Security-approved drift.</t>
  </si>
  <si>
    <t>DFT-TC-027</t>
  </si>
  <si>
    <t>Escalated → Reverted</t>
  </si>
  <si>
    <t>Drift in Escalated. Security requires rollback.</t>
  </si>
  <si>
    <t>Security orders revert.</t>
  </si>
  <si>
    <t>Security-mandated configuration restoration.</t>
  </si>
  <si>
    <t>DFT-TC-028</t>
  </si>
  <si>
    <t>Approval requires notes</t>
  </si>
  <si>
    <t>RM approving drift.</t>
  </si>
  <si>
    <t>Enter approval reason and submit.</t>
  </si>
  <si>
    <t>Approval recorded with notes.</t>
  </si>
  <si>
    <t>DFT-TC-029</t>
  </si>
  <si>
    <t>Revert requires confirmation</t>
  </si>
  <si>
    <t>RM reverting drift.</t>
  </si>
  <si>
    <t>Confirm revert action.</t>
  </si>
  <si>
    <t>Config restored. Status changes to Reverted.</t>
  </si>
  <si>
    <t>DFT-TC-030</t>
  </si>
  <si>
    <t>Escalation requires reason</t>
  </si>
  <si>
    <t>RM escalating drift.</t>
  </si>
  <si>
    <t>Enter escalation reason and submit.</t>
  </si>
  <si>
    <t>Escalation recorded with reason.</t>
  </si>
  <si>
    <t>DFT-TC-031</t>
  </si>
  <si>
    <t>Status history shows all transitions</t>
  </si>
  <si>
    <t>Drift went through multiple status changes.</t>
  </si>
  <si>
    <t>View status history.</t>
  </si>
  <si>
    <t>Complete transition history displayed.</t>
  </si>
  <si>
    <t>DFT-TC-032</t>
  </si>
  <si>
    <t>Baseline updated on approval</t>
  </si>
  <si>
    <t>Drift approved.</t>
  </si>
  <si>
    <t>View baseline configuration.</t>
  </si>
  <si>
    <t>Baseline updated to match current (new baseline).</t>
  </si>
  <si>
    <t>DFT-TC-033</t>
  </si>
  <si>
    <t>3. Drift Status Transitions - Negative</t>
  </si>
  <si>
    <t>Approved → any status (FINAL immutable)</t>
  </si>
  <si>
    <t>Drift in Approved status (FINAL).</t>
  </si>
  <si>
    <t>Rejected. Approved is final.</t>
  </si>
  <si>
    <t>Approved drifts cannot change status.</t>
  </si>
  <si>
    <t>DFT-TC-034</t>
  </si>
  <si>
    <t>Reverted → any status (FINAL immutable)</t>
  </si>
  <si>
    <t>Drift in Reverted status (FINAL).</t>
  </si>
  <si>
    <t>Rejected. Reverted is final.</t>
  </si>
  <si>
    <t>Reverted drifts cannot change status.</t>
  </si>
  <si>
    <t>DFT-TC-035</t>
  </si>
  <si>
    <t>Detected → Escalated directly (invalid)</t>
  </si>
  <si>
    <t>Attempt to escalate directly.</t>
  </si>
  <si>
    <t>Rejected. Must investigate first.</t>
  </si>
  <si>
    <t>Cannot escalate from Detected. Start investigation first.</t>
  </si>
  <si>
    <t>DFT-TC-036</t>
  </si>
  <si>
    <t>Escalated → Detected (invalid backwards)</t>
  </si>
  <si>
    <t>Drift in Escalated status.</t>
  </si>
  <si>
    <t>Attempt to return to Detected.</t>
  </si>
  <si>
    <t>Cannot return to Detected status.</t>
  </si>
  <si>
    <t>DFT-TC-037</t>
  </si>
  <si>
    <t>Investigating → Detected (invalid backwards)</t>
  </si>
  <si>
    <t>Drift in Investigating status.</t>
  </si>
  <si>
    <t>DFT-TC-038</t>
  </si>
  <si>
    <t>Approval without notes rejected</t>
  </si>
  <si>
    <t>Submit without entering notes.</t>
  </si>
  <si>
    <t>Rejected. Notes required.</t>
  </si>
  <si>
    <t>Approval reason is required.</t>
  </si>
  <si>
    <t>DFT-TC-039</t>
  </si>
  <si>
    <t>Escalation without reason rejected</t>
  </si>
  <si>
    <t>Submit without entering reason.</t>
  </si>
  <si>
    <t>Rejected. Reason required.</t>
  </si>
  <si>
    <t>Escalation reason is required.</t>
  </si>
  <si>
    <t>DFT-TC-040</t>
  </si>
  <si>
    <t>Revert without confirmation fails</t>
  </si>
  <si>
    <t>RM clicking revert.</t>
  </si>
  <si>
    <t>Cancel confirmation dialog.</t>
  </si>
  <si>
    <t>No change. Status remains.</t>
  </si>
  <si>
    <t>DFT-TC-041</t>
  </si>
  <si>
    <t>Transition button hidden for invalid paths</t>
  </si>
  <si>
    <t>View available actions.</t>
  </si>
  <si>
    <t>Escalate button hidden (only Investigate, Approve, Revert shown).</t>
  </si>
  <si>
    <t>DFT-TC-042</t>
  </si>
  <si>
    <t>No actions available on FINAL status</t>
  </si>
  <si>
    <t>Drift in Approved status.</t>
  </si>
  <si>
    <t>No transition buttons displayed.</t>
  </si>
  <si>
    <t>DFT-TC-043</t>
  </si>
  <si>
    <t>Empty notes field validation</t>
  </si>
  <si>
    <t>RM submitting with whitespace-only notes.</t>
  </si>
  <si>
    <t>Enter '   ' as notes.</t>
  </si>
  <si>
    <t>Rejected. Valid content required.</t>
  </si>
  <si>
    <t>Notes cannot be empty or whitespace only.</t>
  </si>
  <si>
    <t>DFT-TC-044</t>
  </si>
  <si>
    <t>Maximum notes length exceeded</t>
  </si>
  <si>
    <t>RM entering notes for approval.</t>
  </si>
  <si>
    <t>Enter notes exceeding max length (e.g., 5001 chars).</t>
  </si>
  <si>
    <t>Rejected. Max length exceeded.</t>
  </si>
  <si>
    <t>Notes cannot exceed 5000 characters.</t>
  </si>
  <si>
    <t>DFT-TC-045</t>
  </si>
  <si>
    <t>Status change during concurrent edit</t>
  </si>
  <si>
    <t>User A investigating. User B views same drift.</t>
  </si>
  <si>
    <t>User B tries to approve while A has pending changes.</t>
  </si>
  <si>
    <t>Conflict warning. Stale data.</t>
  </si>
  <si>
    <t>DFT-TC-046</t>
  </si>
  <si>
    <t>Revert fails if production inaccessible</t>
  </si>
  <si>
    <t>Error</t>
  </si>
  <si>
    <t>RM clicks revert. Production env unreachable.</t>
  </si>
  <si>
    <t>System attempts restoration.</t>
  </si>
  <si>
    <t>Revert fails. Error displayed.</t>
  </si>
  <si>
    <t>Cannot restore configuration: Production environment unreachable.</t>
  </si>
  <si>
    <t>DFT-TC-047</t>
  </si>
  <si>
    <t>Double-click prevention on status change</t>
  </si>
  <si>
    <t>RM clicks Approve.</t>
  </si>
  <si>
    <t>Rapidly click Approve again.</t>
  </si>
  <si>
    <t>Second click ignored. Only one transition processed.</t>
  </si>
  <si>
    <t>DFT-TC-048</t>
  </si>
  <si>
    <t>Cannot manually create Drift record</t>
  </si>
  <si>
    <t>User attempts to manually create Drift.</t>
  </si>
  <si>
    <t>Look for Create Drift button.</t>
  </si>
  <si>
    <t>No option available. Drifts are system-generated only.</t>
  </si>
  <si>
    <t>DFT-TC-049</t>
  </si>
  <si>
    <t>4. Security &amp; Unauthorized Changes</t>
  </si>
  <si>
    <t>Unauthorized change creates security alert</t>
  </si>
  <si>
    <t>Config change outside deploy window.</t>
  </si>
  <si>
    <t>Drift created. Security team alerted immediately.</t>
  </si>
  <si>
    <t>DFT-TC-050</t>
  </si>
  <si>
    <t>Security team notified via multiple channels</t>
  </si>
  <si>
    <t>AV-14, NOTIF</t>
  </si>
  <si>
    <t>Unauthorized change detected.</t>
  </si>
  <si>
    <t>System triggers alert.</t>
  </si>
  <si>
    <t>Email + dashboard notification + push (if enabled) sent to security.</t>
  </si>
  <si>
    <t>DFT-TC-051</t>
  </si>
  <si>
    <t>Unauthorized drift auto-escalated</t>
  </si>
  <si>
    <t>DFT-TC-052</t>
  </si>
  <si>
    <t>Security team can investigate escalated drift</t>
  </si>
  <si>
    <t>Permissions, AV-14</t>
  </si>
  <si>
    <t>Security team member opens drift.</t>
  </si>
  <si>
    <t>Full access to investigate, approve, or revert.</t>
  </si>
  <si>
    <t>DFT-TC-053</t>
  </si>
  <si>
    <t>Escalated drift locked from non-security users</t>
  </si>
  <si>
    <t>Regular RM attempts to approve.</t>
  </si>
  <si>
    <t>Rejected. Security clearance required.</t>
  </si>
  <si>
    <t>Escalated drifts require security team action.</t>
  </si>
  <si>
    <t>DFT-TC-054</t>
  </si>
  <si>
    <t>Security approval overrides normal workflow</t>
  </si>
  <si>
    <t>AV-14, Permissions</t>
  </si>
  <si>
    <t>Security team approves escalated drift.</t>
  </si>
  <si>
    <t>Security submits approval.</t>
  </si>
  <si>
    <t>Drift approved. Recorded as security-approved.</t>
  </si>
  <si>
    <t>DFT-TC-055</t>
  </si>
  <si>
    <t>Security-mandated revert executed immediately</t>
  </si>
  <si>
    <t>Security team orders revert on escalated drift.</t>
  </si>
  <si>
    <t>Security submits revert.</t>
  </si>
  <si>
    <t>Config restored immediately. Audit trail shows security action.</t>
  </si>
  <si>
    <t>DFT-TC-056</t>
  </si>
  <si>
    <t>After-hours change flagged as suspicious</t>
  </si>
  <si>
    <t>Config change detected at 2 AM (outside business hours).</t>
  </si>
  <si>
    <t>Real-time monitoring detects.</t>
  </si>
  <si>
    <t>Drift flagged with high suspicion. Security alerted.</t>
  </si>
  <si>
    <t>Suspicious after-hours change detected.</t>
  </si>
  <si>
    <t>DFT-TC-057</t>
  </si>
  <si>
    <t>Change by unknown user flagged</t>
  </si>
  <si>
    <t>Config change detected. User not in system.</t>
  </si>
  <si>
    <t>Drift flagged. Unknown actor alert.</t>
  </si>
  <si>
    <t>Configuration change by unrecognized account.</t>
  </si>
  <si>
    <t>DFT-TC-058</t>
  </si>
  <si>
    <t>Multiple unauthorized changes trigger priority alert</t>
  </si>
  <si>
    <t>3+ unauthorized changes detected within 1 hour.</t>
  </si>
  <si>
    <t>Real-time monitoring detects pattern.</t>
  </si>
  <si>
    <t>Priority 1 security incident created.</t>
  </si>
  <si>
    <t>Multiple unauthorized changes detected. Possible breach.</t>
  </si>
  <si>
    <t>DFT-TC-059</t>
  </si>
  <si>
    <t>Security can add investigation notes</t>
  </si>
  <si>
    <t>Security investigating escalated drift.</t>
  </si>
  <si>
    <t>Add security notes.</t>
  </si>
  <si>
    <t>Notes saved. Visible in drift details.</t>
  </si>
  <si>
    <t>DFT-TC-060</t>
  </si>
  <si>
    <t>Escalated drift requires security sign-off</t>
  </si>
  <si>
    <t>Escalated drift investigated. Ready to close.</t>
  </si>
  <si>
    <t>Security provides sign-off.</t>
  </si>
  <si>
    <t>Drift can proceed to Approved or Reverted.</t>
  </si>
  <si>
    <t>DFT-TC-061</t>
  </si>
  <si>
    <t>Security audit trail immutable</t>
  </si>
  <si>
    <t>AV-14, AUDIT</t>
  </si>
  <si>
    <t>Security actions on escalated drift.</t>
  </si>
  <si>
    <t>Attempt to modify audit entries.</t>
  </si>
  <si>
    <t>Rejected. Security audit is immutable.</t>
  </si>
  <si>
    <t>DFT-TC-062</t>
  </si>
  <si>
    <t>Compliance report includes security incidents</t>
  </si>
  <si>
    <t>AV-14, AV-15</t>
  </si>
  <si>
    <t>Snapshot includes escalated drifts.</t>
  </si>
  <si>
    <t>All security-related drifts included in compliance report.</t>
  </si>
  <si>
    <t>DFT-TC-063</t>
  </si>
  <si>
    <t>Rollback preserves forensic evidence</t>
  </si>
  <si>
    <t>Security orders revert on unauthorized change.</t>
  </si>
  <si>
    <t>System restores baseline.</t>
  </si>
  <si>
    <t>Original unauthorized config preserved in audit for forensics.</t>
  </si>
  <si>
    <t>DFT-TC-064</t>
  </si>
  <si>
    <t>Security dashboard shows all escalated drifts</t>
  </si>
  <si>
    <t>AV-14, UI</t>
  </si>
  <si>
    <t>Multiple escalated drifts exist.</t>
  </si>
  <si>
    <t>Security accesses dashboard.</t>
  </si>
  <si>
    <t>Consolidated view of all escalated drifts.</t>
  </si>
  <si>
    <t>DFT-TC-065</t>
  </si>
  <si>
    <t>5. Baseline Management</t>
  </si>
  <si>
    <t>Baseline established after successful deployment</t>
  </si>
  <si>
    <t>Baseline</t>
  </si>
  <si>
    <t>Release deploys successfully to production.</t>
  </si>
  <si>
    <t>Deployment completes.</t>
  </si>
  <si>
    <t>New baseline snapshot captured and stored.</t>
  </si>
  <si>
    <t>DFT-TC-066</t>
  </si>
  <si>
    <t>Approved drift updates baseline</t>
  </si>
  <si>
    <t>Lifecycle, Baseline</t>
  </si>
  <si>
    <t>Drift approved as intentional.</t>
  </si>
  <si>
    <t>Approval processed.</t>
  </si>
  <si>
    <t>Baseline updated to match current config.</t>
  </si>
  <si>
    <t>DFT-TC-067</t>
  </si>
  <si>
    <t>Reverted drift restores original baseline</t>
  </si>
  <si>
    <t>Drift reverted.</t>
  </si>
  <si>
    <t>Revert processed.</t>
  </si>
  <si>
    <t>Production config matches original baseline.</t>
  </si>
  <si>
    <t>DFT-TC-068</t>
  </si>
  <si>
    <t>Baseline history preserved</t>
  </si>
  <si>
    <t>Baseline, AUDIT</t>
  </si>
  <si>
    <t>Multiple baseline updates over time.</t>
  </si>
  <si>
    <t>View baseline history.</t>
  </si>
  <si>
    <t>All previous baselines accessible with timestamps.</t>
  </si>
  <si>
    <t>DFT-TC-069</t>
  </si>
  <si>
    <t>Baseline includes all configuration keys</t>
  </si>
  <si>
    <t>Application has 50 config keys.</t>
  </si>
  <si>
    <t>View baseline.</t>
  </si>
  <si>
    <t>All 50 keys captured in baseline.</t>
  </si>
  <si>
    <t>DFT-TC-070</t>
  </si>
  <si>
    <t>Baseline excludes sensitive data</t>
  </si>
  <si>
    <t>Baseline, Security</t>
  </si>
  <si>
    <t>Config includes passwords/secrets.</t>
  </si>
  <si>
    <t>Sensitive values masked or excluded.</t>
  </si>
  <si>
    <t>DFT-TC-071</t>
  </si>
  <si>
    <t>Compare baseline versions</t>
  </si>
  <si>
    <t>Two baseline versions exist.</t>
  </si>
  <si>
    <t>Compare v1 and v2.</t>
  </si>
  <si>
    <t>Diff view shows changes between versions.</t>
  </si>
  <si>
    <t>DFT-TC-072</t>
  </si>
  <si>
    <t>Baseline per environment</t>
  </si>
  <si>
    <t>App deployed to DEV, UAT, PROD.</t>
  </si>
  <si>
    <t>View baselines.</t>
  </si>
  <si>
    <t>Separate baseline for each environment.</t>
  </si>
  <si>
    <t>DFT-TC-073</t>
  </si>
  <si>
    <t>Baseline export for audit</t>
  </si>
  <si>
    <t>Baseline, AV-15</t>
  </si>
  <si>
    <t>Compliance audit requested.</t>
  </si>
  <si>
    <t>Export baseline.</t>
  </si>
  <si>
    <t>Full baseline exported in standard format.</t>
  </si>
  <si>
    <t>DFT-TC-074</t>
  </si>
  <si>
    <t>Manual baseline update (admin only)</t>
  </si>
  <si>
    <t>Baseline, Permissions</t>
  </si>
  <si>
    <t>Admin needs to update baseline manually.</t>
  </si>
  <si>
    <t>Admin updates baseline.</t>
  </si>
  <si>
    <t>Baseline updated. Audit trail shows admin action.</t>
  </si>
  <si>
    <t>DFT-TC-075</t>
  </si>
  <si>
    <t>Non-admin cannot update baseline</t>
  </si>
  <si>
    <t>RM attempts manual baseline update.</t>
  </si>
  <si>
    <t>RM tries to modify baseline.</t>
  </si>
  <si>
    <t>Rejected. Admin only.</t>
  </si>
  <si>
    <t>Only administrators can manually update baselines.</t>
  </si>
  <si>
    <t>DFT-TC-076</t>
  </si>
  <si>
    <t>Baseline locked during active deployment</t>
  </si>
  <si>
    <t>Release currently deploying.</t>
  </si>
  <si>
    <t>Attempt to modify baseline.</t>
  </si>
  <si>
    <t>Locked. Baseline cannot change during deployment.</t>
  </si>
  <si>
    <t>Baseline locked during active deployment.</t>
  </si>
  <si>
    <t>DFT-TC-077</t>
  </si>
  <si>
    <t>Baseline includes environment-specific settings</t>
  </si>
  <si>
    <t>App has env-specific config (connection strings).</t>
  </si>
  <si>
    <t>View PROD baseline.</t>
  </si>
  <si>
    <t>Environment-specific values captured correctly.</t>
  </si>
  <si>
    <t>DFT-TC-078</t>
  </si>
  <si>
    <t>Baseline validates schema on capture</t>
  </si>
  <si>
    <t>Config has defined schema.</t>
  </si>
  <si>
    <t>Capture baseline.</t>
  </si>
  <si>
    <t>Schema validation ensures complete capture.</t>
  </si>
  <si>
    <t>DFT-TC-079</t>
  </si>
  <si>
    <t>Baseline capture fails gracefully on error</t>
  </si>
  <si>
    <t>Baseline, Error</t>
  </si>
  <si>
    <t>Production inaccessible during capture.</t>
  </si>
  <si>
    <t>Deployment completes, capture fails.</t>
  </si>
  <si>
    <t>Error logged. Admin notified. Old baseline retained.</t>
  </si>
  <si>
    <t>Baseline capture failed. Previous baseline retained.</t>
  </si>
  <si>
    <t>DFT-TC-080</t>
  </si>
  <si>
    <t>Rollback to previous baseline</t>
  </si>
  <si>
    <t>Current baseline is corrupted.</t>
  </si>
  <si>
    <t>Admin selects previous baseline to restore.</t>
  </si>
  <si>
    <t>Rollback successful. Previous baseline active.</t>
  </si>
  <si>
    <t>DFT-TC-081</t>
  </si>
  <si>
    <t>6. Drift Locking &amp; Immutability</t>
  </si>
  <si>
    <t>Approved drift becomes read-only</t>
  </si>
  <si>
    <t>Drift transitioned to Approved.</t>
  </si>
  <si>
    <t>Approved drifts cannot be modified.</t>
  </si>
  <si>
    <t>DFT-TC-082</t>
  </si>
  <si>
    <t>Reverted drift becomes read-only</t>
  </si>
  <si>
    <t>Drift transitioned to Reverted.</t>
  </si>
  <si>
    <t>Reverted drifts cannot be modified.</t>
  </si>
  <si>
    <t>DFT-TC-083</t>
  </si>
  <si>
    <t>Drift ID always immutable</t>
  </si>
  <si>
    <t>Drift in any status.</t>
  </si>
  <si>
    <t>Attempt to change Drift ID.</t>
  </si>
  <si>
    <t>Rejected. ID is system-generated and immutable.</t>
  </si>
  <si>
    <t>Drift ID cannot be modified.</t>
  </si>
  <si>
    <t>DFT-TC-084</t>
  </si>
  <si>
    <t>Drift created.</t>
  </si>
  <si>
    <t>View detection timestamp.</t>
  </si>
  <si>
    <t>Timestamp displayed. Cannot be changed.</t>
  </si>
  <si>
    <t>DFT-TC-085</t>
  </si>
  <si>
    <t>Baseline snapshot immutable</t>
  </si>
  <si>
    <t>Attempt to modify captured baseline.</t>
  </si>
  <si>
    <t>Rejected. Baseline at detection is preserved.</t>
  </si>
  <si>
    <t>Detection-time baseline cannot be modified.</t>
  </si>
  <si>
    <t>DFT-TC-086</t>
  </si>
  <si>
    <t>Current config snapshot immutable</t>
  </si>
  <si>
    <t>Attempt to modify captured current config.</t>
  </si>
  <si>
    <t>Rejected. Current at detection is preserved.</t>
  </si>
  <si>
    <t>Detection-time current config cannot be modified.</t>
  </si>
  <si>
    <t>DFT-TC-087</t>
  </si>
  <si>
    <t>Delta computed automatically</t>
  </si>
  <si>
    <t>View delta field.</t>
  </si>
  <si>
    <t>Delta auto-computed from baseline vs current. Read-only.</t>
  </si>
  <si>
    <t>DFT-TC-088</t>
  </si>
  <si>
    <t>Notes editable before FINAL status</t>
  </si>
  <si>
    <t>Add/edit notes.</t>
  </si>
  <si>
    <t>Notes saved successfully.</t>
  </si>
  <si>
    <t>DFT-TC-089</t>
  </si>
  <si>
    <t>Notes locked on FINAL status</t>
  </si>
  <si>
    <t>Attempt to add notes.</t>
  </si>
  <si>
    <t>Rejected. Notes locked.</t>
  </si>
  <si>
    <t>Cannot modify notes on closed drifts.</t>
  </si>
  <si>
    <t>DFT-TC-090</t>
  </si>
  <si>
    <t>Application link immutable</t>
  </si>
  <si>
    <t>Drift linked to App A.</t>
  </si>
  <si>
    <t>Attempt to change application.</t>
  </si>
  <si>
    <t>Rejected. Application link is immutable.</t>
  </si>
  <si>
    <t>Application reference cannot be changed.</t>
  </si>
  <si>
    <t>DFT-TC-091</t>
  </si>
  <si>
    <t>Environment link immutable</t>
  </si>
  <si>
    <t>Drift detected in PROD.</t>
  </si>
  <si>
    <t>Attempt to change environment.</t>
  </si>
  <si>
    <t>Rejected. Environment link is immutable.</t>
  </si>
  <si>
    <t>Environment reference cannot be changed.</t>
  </si>
  <si>
    <t>DFT-TC-092</t>
  </si>
  <si>
    <t>Audit history preserved on locked drift</t>
  </si>
  <si>
    <t>Drift is Approved (locked).</t>
  </si>
  <si>
    <t>View drift audit history.</t>
  </si>
  <si>
    <t>DFT-TC-093</t>
  </si>
  <si>
    <t>Approval timestamp set and locked</t>
  </si>
  <si>
    <t>View approval timestamp.</t>
  </si>
  <si>
    <t>Timestamp auto-set and immutable.</t>
  </si>
  <si>
    <t>DFT-TC-094</t>
  </si>
  <si>
    <t>Revert timestamp set and locked</t>
  </si>
  <si>
    <t>View revert timestamp.</t>
  </si>
  <si>
    <t>DFT-TC-095</t>
  </si>
  <si>
    <t>7. Permissions &amp; Access Control</t>
  </si>
  <si>
    <t>Release Manager can investigate drift</t>
  </si>
  <si>
    <t>User is RM for the application.</t>
  </si>
  <si>
    <t>RM starts investigation.</t>
  </si>
  <si>
    <t>Investigation started successfully.</t>
  </si>
  <si>
    <t>DFT-TC-096</t>
  </si>
  <si>
    <t>Release Manager can approve drift</t>
  </si>
  <si>
    <t>User is RM. Drift in Detected/Investigating.</t>
  </si>
  <si>
    <t>Approved successfully.</t>
  </si>
  <si>
    <t>DFT-TC-097</t>
  </si>
  <si>
    <t>Release Manager can revert drift</t>
  </si>
  <si>
    <t>RM reverts drift.</t>
  </si>
  <si>
    <t>Reverted successfully.</t>
  </si>
  <si>
    <t>DFT-TC-098</t>
  </si>
  <si>
    <t>Admin can act on any drift</t>
  </si>
  <si>
    <t>Admin investigates drift for any app.</t>
  </si>
  <si>
    <t>Action successful.</t>
  </si>
  <si>
    <t>DFT-TC-099</t>
  </si>
  <si>
    <t>Security team can act on escalated drift</t>
  </si>
  <si>
    <t>User on security team. Drift escalated.</t>
  </si>
  <si>
    <t>Security investigates.</t>
  </si>
  <si>
    <t>Full access to escalated drift.</t>
  </si>
  <si>
    <t>DFT-TC-100</t>
  </si>
  <si>
    <t>Team member cannot modify drift</t>
  </si>
  <si>
    <t>Attempt to approve drift.</t>
  </si>
  <si>
    <t>Only Release Manager or Admin can modify drifts.</t>
  </si>
  <si>
    <t>DFT-TC-101</t>
  </si>
  <si>
    <t>Read-only user can view drift</t>
  </si>
  <si>
    <t>View drift details.</t>
  </si>
  <si>
    <t>Drift displayed. Action buttons disabled.</t>
  </si>
  <si>
    <t>DFT-TC-102</t>
  </si>
  <si>
    <t>Read-only user cannot modify drift</t>
  </si>
  <si>
    <t>You do not have permission to modify drifts.</t>
  </si>
  <si>
    <t>DFT-TC-103</t>
  </si>
  <si>
    <t>RM of different app cannot act</t>
  </si>
  <si>
    <t>RM of App B views drift for App A.</t>
  </si>
  <si>
    <t>RM attempts to approve.</t>
  </si>
  <si>
    <t>Rejected. Not RM of this application.</t>
  </si>
  <si>
    <t>You must be Release Manager of this application.</t>
  </si>
  <si>
    <t>DFT-TC-104</t>
  </si>
  <si>
    <t>Delegate inherits RM permissions</t>
  </si>
  <si>
    <t>ROLE-09, Permissions</t>
  </si>
  <si>
    <t>Delegate investigates drift.</t>
  </si>
  <si>
    <t>Action successful. Audit shows delegate.</t>
  </si>
  <si>
    <t>DFT-TC-105</t>
  </si>
  <si>
    <t>Access revoked user loses drift access</t>
  </si>
  <si>
    <t>User attempts to view drift.</t>
  </si>
  <si>
    <t>DFT-TC-106</t>
  </si>
  <si>
    <t>Environment admin can view all drifts</t>
  </si>
  <si>
    <t>View drifts across all apps in environment.</t>
  </si>
  <si>
    <t>All drifts for environment visible.</t>
  </si>
  <si>
    <t>DFT-TC-107</t>
  </si>
  <si>
    <t>Only RM can escalate drift</t>
  </si>
  <si>
    <t>Team member views drift in Investigating.</t>
  </si>
  <si>
    <t>Attempt to escalate.</t>
  </si>
  <si>
    <t>Rejected. RM required for escalation.</t>
  </si>
  <si>
    <t>Only Release Manager can escalate drifts.</t>
  </si>
  <si>
    <t>DFT-TC-108</t>
  </si>
  <si>
    <t>Security can de-escalate drift</t>
  </si>
  <si>
    <t>Security team member views escalated drift.</t>
  </si>
  <si>
    <t>De-escalate to Investigating.</t>
  </si>
  <si>
    <t>De-escalated successfully.</t>
  </si>
  <si>
    <t>DFT-TC-109</t>
  </si>
  <si>
    <t>8. Audit Trail &amp; Compliance</t>
  </si>
  <si>
    <t>Drift detection logged in audit trail</t>
  </si>
  <si>
    <t>AUDIT, AV-13</t>
  </si>
  <si>
    <t>New drift auto-detected.</t>
  </si>
  <si>
    <t>Detection event with timestamp, delta, and trigger recorded.</t>
  </si>
  <si>
    <t>DFT-TC-110</t>
  </si>
  <si>
    <t>Drift changes from Detected to Investigating.</t>
  </si>
  <si>
    <t>DFT-TC-111</t>
  </si>
  <si>
    <t>Approval logged with notes</t>
  </si>
  <si>
    <t>RM approves drift with notes.</t>
  </si>
  <si>
    <t>Approval event shows user, timestamp, approval notes.</t>
  </si>
  <si>
    <t>DFT-TC-112</t>
  </si>
  <si>
    <t>Revert logged with config details</t>
  </si>
  <si>
    <t>Revert event shows user, timestamp, restored baseline version.</t>
  </si>
  <si>
    <t>DFT-TC-113</t>
  </si>
  <si>
    <t>Escalation logged with reason</t>
  </si>
  <si>
    <t>RM escalates drift.</t>
  </si>
  <si>
    <t>Escalation event shows user, timestamp, reason.</t>
  </si>
  <si>
    <t>DFT-TC-114</t>
  </si>
  <si>
    <t>Security actions logged separately</t>
  </si>
  <si>
    <t>AUDIT, AV-14</t>
  </si>
  <si>
    <t>Security team acts on escalated drift.</t>
  </si>
  <si>
    <t>View security audit.</t>
  </si>
  <si>
    <t>Security-specific audit trail with all actions.</t>
  </si>
  <si>
    <t>DFT-TC-115</t>
  </si>
  <si>
    <t>User views drift audit.</t>
  </si>
  <si>
    <t>DFT-TC-116</t>
  </si>
  <si>
    <t>Weekly compliance snapshot includes drifts</t>
  </si>
  <si>
    <t>Weekly snapshot job runs.</t>
  </si>
  <si>
    <t>View compliance archive.</t>
  </si>
  <si>
    <t>All drift records included with status at snapshot time.</t>
  </si>
  <si>
    <t>DFT-TC-117</t>
  </si>
  <si>
    <t>Compliance snapshot shows resolution metrics</t>
  </si>
  <si>
    <t>AV-15, AUDIT</t>
  </si>
  <si>
    <t>Multiple drifts exist with various statuses.</t>
  </si>
  <si>
    <t>View compliance report.</t>
  </si>
  <si>
    <t>Metrics show: X detected, Y approved, Z reverted, W escalated.</t>
  </si>
  <si>
    <t>DFT-TC-118</t>
  </si>
  <si>
    <t>Unauthorized user attempts to approve drift.</t>
  </si>
  <si>
    <t>DFT-TC-119</t>
  </si>
  <si>
    <t>Drift age tracked for compliance</t>
  </si>
  <si>
    <t>Drift in Detected status for 7 days.</t>
  </si>
  <si>
    <t>View compliance dashboard.</t>
  </si>
  <si>
    <t>Drift age displayed. SLA warning if applicable.</t>
  </si>
  <si>
    <t>Drift open beyond SLA threshold.</t>
  </si>
  <si>
    <t>DFT-TC-120</t>
  </si>
  <si>
    <t>Compliance report exportable</t>
  </si>
  <si>
    <t>Export drift compliance report.</t>
  </si>
  <si>
    <t>Full report with audit trails exported.</t>
  </si>
  <si>
    <t>DFT-TC-121</t>
  </si>
  <si>
    <t>Baseline change history in compliance report</t>
  </si>
  <si>
    <t>AV-15, Baseline</t>
  </si>
  <si>
    <t>Weekly snapshot captures baseline changes.</t>
  </si>
  <si>
    <t>All baseline version changes included.</t>
  </si>
  <si>
    <t>DFT-TC-122</t>
  </si>
  <si>
    <t>Escalation SLA tracking</t>
  </si>
  <si>
    <t>Escalated drift unresolved for 24 hours.</t>
  </si>
  <si>
    <t>SLA breach warning displayed.</t>
  </si>
  <si>
    <t>Escalated drift exceeds response SLA.</t>
  </si>
  <si>
    <t>DFT-TC-123</t>
  </si>
  <si>
    <t>Audit includes config diff details</t>
  </si>
  <si>
    <t>Drift detected with specific changes.</t>
  </si>
  <si>
    <t>View detailed audit.</t>
  </si>
  <si>
    <t>Exact config keys changed shown in audit.</t>
  </si>
  <si>
    <t>DFT-TC-124</t>
  </si>
  <si>
    <t>Drift created in different timezone.</t>
  </si>
  <si>
    <t>DFT-TC-125</t>
  </si>
  <si>
    <t>9. Notifications</t>
  </si>
  <si>
    <t>Drift detection notification sent to RM</t>
  </si>
  <si>
    <t>NOTIF, AV-13</t>
  </si>
  <si>
    <t>System creates drift.</t>
  </si>
  <si>
    <t>DFT-TC-126</t>
  </si>
  <si>
    <t>Security alert for unauthorized change</t>
  </si>
  <si>
    <t>NOTIF, AV-14</t>
  </si>
  <si>
    <t>Notification sent to security team.</t>
  </si>
  <si>
    <t>DFT-TC-127</t>
  </si>
  <si>
    <t>Escalation notification to security</t>
  </si>
  <si>
    <t>Escalation processed.</t>
  </si>
  <si>
    <t>Drift escalated for security review: [Application].</t>
  </si>
  <si>
    <t>DFT-TC-128</t>
  </si>
  <si>
    <t>Approval notification to stakeholders</t>
  </si>
  <si>
    <t>Notification sent to stakeholders.</t>
  </si>
  <si>
    <t>Config drift approved for [Application]. New baseline established.</t>
  </si>
  <si>
    <t>DFT-TC-129</t>
  </si>
  <si>
    <t>Revert notification to stakeholders</t>
  </si>
  <si>
    <t>Configuration restored for [Application].</t>
  </si>
  <si>
    <t>DFT-TC-130</t>
  </si>
  <si>
    <t>De-escalation notification</t>
  </si>
  <si>
    <t>Security de-escalates drift.</t>
  </si>
  <si>
    <t>De-escalation processed.</t>
  </si>
  <si>
    <t>Drift de-escalated. Please continue investigation.</t>
  </si>
  <si>
    <t>DFT-TC-131</t>
  </si>
  <si>
    <t>Drift scan failure notification to admin</t>
  </si>
  <si>
    <t>Daily scan job fails.</t>
  </si>
  <si>
    <t>Job error occurs.</t>
  </si>
  <si>
    <t>Admin notified of scan failure.</t>
  </si>
  <si>
    <t>Drift scan failed. Check system connectivity.</t>
  </si>
  <si>
    <t>DFT-TC-132</t>
  </si>
  <si>
    <t>NOTIF, AV-15</t>
  </si>
  <si>
    <t>SLA timer expires.</t>
  </si>
  <si>
    <t>Notification sent to RM and escalation chain.</t>
  </si>
  <si>
    <t>Drift [ID] exceeds resolution SLA. Immediate action required.</t>
  </si>
  <si>
    <t>DFT-TC-133</t>
  </si>
  <si>
    <t>Notification includes drift details</t>
  </si>
  <si>
    <t>New drift created.</t>
  </si>
  <si>
    <t>Notification includes application, environment, and delta summary.</t>
  </si>
  <si>
    <t>DFT-TC-134</t>
  </si>
  <si>
    <t>Notification links to drift detail page</t>
  </si>
  <si>
    <t>RM receives drift notification.</t>
  </si>
  <si>
    <t>Direct navigation to drift detail page.</t>
  </si>
  <si>
    <t>DFT-TC-135</t>
  </si>
  <si>
    <t>Batch notification for multiple drifts</t>
  </si>
  <si>
    <t>Single scan detects 5 drifts.</t>
  </si>
  <si>
    <t>System creates drifts.</t>
  </si>
  <si>
    <t>5 config drifts detected. Review required.</t>
  </si>
  <si>
    <t>DFT-TC-136</t>
  </si>
  <si>
    <t>DFT-TC-137</t>
  </si>
  <si>
    <t>Security gets priority notification channel</t>
  </si>
  <si>
    <t>Security notification via all enabled channels (bypass preferences).</t>
  </si>
  <si>
    <t>DFT-TC-138</t>
  </si>
  <si>
    <t>Weekly compliance summary notification</t>
  </si>
  <si>
    <t>Weekly snapshot completes.</t>
  </si>
  <si>
    <t>Summary generated.</t>
  </si>
  <si>
    <t>Notification with drift statistics sent to stakeholders.</t>
  </si>
  <si>
    <t>Weekly drift summary: X detected, Y resolved, Z pending.</t>
  </si>
  <si>
    <t>DFT-TC-139</t>
  </si>
  <si>
    <t>10. Drift Edge Cases</t>
  </si>
  <si>
    <t>Concurrent drift resolution attempts</t>
  </si>
  <si>
    <t>Two users try to approve same drift simultaneously.</t>
  </si>
  <si>
    <t>Both click Approve at same time.</t>
  </si>
  <si>
    <t>DFT-TC-140</t>
  </si>
  <si>
    <t>Drift detection during active deployment</t>
  </si>
  <si>
    <t>Daily scan runs while release is deploying.</t>
  </si>
  <si>
    <t>Scan detects change.</t>
  </si>
  <si>
    <t>Change not flagged as drift (expected during deploy).</t>
  </si>
  <si>
    <t>DFT-TC-141</t>
  </si>
  <si>
    <t>Session expired during investigation</t>
  </si>
  <si>
    <t>User investigating drift. Session expires.</t>
  </si>
  <si>
    <t>User clicks action button.</t>
  </si>
  <si>
    <t>DFT-TC-142</t>
  </si>
  <si>
    <t>User viewing drift. Access revoked.</t>
  </si>
  <si>
    <t>User attempts to approve.</t>
  </si>
  <si>
    <t>DFT-TC-143</t>
  </si>
  <si>
    <t>Network failure during revert</t>
  </si>
  <si>
    <t>Network drops during revert operation.</t>
  </si>
  <si>
    <t>Clean retry allowed. Partial state handled.</t>
  </si>
  <si>
    <t>DFT-TC-144</t>
  </si>
  <si>
    <t>Database timeout during drift query</t>
  </si>
  <si>
    <t>Database times out loading drift.</t>
  </si>
  <si>
    <t>DFT-TC-145</t>
  </si>
  <si>
    <t>Large delta handling (1000+ keys)</t>
  </si>
  <si>
    <t>Config has 1000+ changed keys.</t>
  </si>
  <si>
    <t>Delta displayed with pagination. Page loads in &lt;5 seconds.</t>
  </si>
  <si>
    <t>DFT-TC-146</t>
  </si>
  <si>
    <t>Multiple concurrent scans prevented</t>
  </si>
  <si>
    <t>Manual scan triggered while daily scan running.</t>
  </si>
  <si>
    <t>Second scan attempted.</t>
  </si>
  <si>
    <t>Second scan queued or rejected.</t>
  </si>
  <si>
    <t>Scan already in progress. Please wait.</t>
  </si>
  <si>
    <t>DFT-TC-147</t>
  </si>
  <si>
    <t>Drift spanning maintenance window</t>
  </si>
  <si>
    <t>Drift detected. Maintenance window starts.</t>
  </si>
  <si>
    <t>RM attempts to revert.</t>
  </si>
  <si>
    <t>DFT-TC-148</t>
  </si>
  <si>
    <t>Drift on decommissioned application</t>
  </si>
  <si>
    <t>Application marked for decommission. Drift detected.</t>
  </si>
  <si>
    <t>View drift.</t>
  </si>
  <si>
    <t>Drift created but flagged as low priority.</t>
  </si>
  <si>
    <t>Application scheduled for decommission.</t>
  </si>
  <si>
    <t>DFT-TC-149</t>
  </si>
  <si>
    <t>Drift on application with no RM assigned</t>
  </si>
  <si>
    <t>Application has no RM. Drift detected.</t>
  </si>
  <si>
    <t>Drift created. Admin notified instead.</t>
  </si>
  <si>
    <t>No Release Manager assigned for [Application].</t>
  </si>
  <si>
    <t>DFT-TC-150</t>
  </si>
  <si>
    <t>Circular baseline issue prevention</t>
  </si>
  <si>
    <t>Approved drift creates new baseline. Next scan sees original as drift.</t>
  </si>
  <si>
    <t>Scan after approval.</t>
  </si>
  <si>
    <t>No circular drift detection. Baseline updated correctly.</t>
  </si>
  <si>
    <t>DFT-TC-151</t>
  </si>
  <si>
    <t>XSS injection in investigation notes</t>
  </si>
  <si>
    <t>User adds investigation notes.</t>
  </si>
  <si>
    <t>DFT-TC-152</t>
  </si>
  <si>
    <t>SQL injection in notes field</t>
  </si>
  <si>
    <t>User adds notes to drift.</t>
  </si>
  <si>
    <t>Enter: "'; DROP TABLE drifts;--"</t>
  </si>
  <si>
    <t>DFT-TC-153</t>
  </si>
  <si>
    <t>Drift for application with special characters</t>
  </si>
  <si>
    <t>Application name contains special chars: "App@#$%"</t>
  </si>
  <si>
    <t>Drift detected.</t>
  </si>
  <si>
    <t>Drift created correctly. Name displayed properly.</t>
  </si>
  <si>
    <t>DFT-TC-154</t>
  </si>
  <si>
    <t>Drift detection at midnight boundary</t>
  </si>
  <si>
    <t>Daily scan scheduled at 00:00:00.</t>
  </si>
  <si>
    <t>Scan runs at exactly midnight.</t>
  </si>
  <si>
    <t>Correct date assignment for drift.</t>
  </si>
  <si>
    <t>DFT-TC-155</t>
  </si>
  <si>
    <t>Drift spanning timezone boundaries</t>
  </si>
  <si>
    <t>Application in different timezone than ReleaseDesk.</t>
  </si>
  <si>
    <t>Timestamps correctly reflect both timezones.</t>
  </si>
  <si>
    <t>DFT-TC-156</t>
  </si>
  <si>
    <t>Drift on leap year date</t>
  </si>
  <si>
    <t>Drift detected on Feb 29.</t>
  </si>
  <si>
    <t>View drift record.</t>
  </si>
  <si>
    <t>Date handled correctly.</t>
  </si>
  <si>
    <t>DFT-TC-157</t>
  </si>
  <si>
    <t>Bulk drift resolution</t>
  </si>
  <si>
    <t>RM selects 10 drifts to approve.</t>
  </si>
  <si>
    <t>Click Approve All.</t>
  </si>
  <si>
    <t>All 10 approved atomically.</t>
  </si>
  <si>
    <t>10 drifts approved.</t>
  </si>
  <si>
    <t>DFT-TC-158</t>
  </si>
  <si>
    <t>Revert with partial config accessibility</t>
  </si>
  <si>
    <t>Some config keys inaccessible during revert.</t>
  </si>
  <si>
    <t>Revert attempted.</t>
  </si>
  <si>
    <t>Partial revert with errors logged.</t>
  </si>
  <si>
    <t>Revert partial: 3 of 5 keys restored. Manual intervention required.</t>
  </si>
  <si>
    <t>DFT-TC-159</t>
  </si>
  <si>
    <t>Drift links preserved on application rename</t>
  </si>
  <si>
    <t>Application renamed. Existing drifts exist.</t>
  </si>
  <si>
    <t>View old drifts.</t>
  </si>
  <si>
    <t>Drifts show new application name.</t>
  </si>
  <si>
    <t>DFT-TC-160</t>
  </si>
  <si>
    <t>Config encryption changes detected</t>
  </si>
  <si>
    <t>Config value encrypted differently (same plaintext).</t>
  </si>
  <si>
    <t>Scan compares values.</t>
  </si>
  <si>
    <t>No drift created (semantic equivalence).</t>
  </si>
  <si>
    <t>DFT-TC-161</t>
  </si>
  <si>
    <t>Whitespace-only config changes</t>
  </si>
  <si>
    <t>Config value has trailing whitespace added.</t>
  </si>
  <si>
    <t>Drift created only if whitespace is significant.</t>
  </si>
  <si>
    <t>DFT-TC-162</t>
  </si>
  <si>
    <t>Empty config value vs missing key</t>
  </si>
  <si>
    <t>Config key exists with empty value vs key missing.</t>
  </si>
  <si>
    <t>Scan compares.</t>
  </si>
  <si>
    <t>Drift correctly distinguishes empty vs missing.</t>
  </si>
  <si>
    <t>DEP-TC-001</t>
  </si>
  <si>
    <t>1. Dependency Creation</t>
  </si>
  <si>
    <t>Create hard dependency between two releases</t>
  </si>
  <si>
    <t>Release A and Release B exist. A depends on B.</t>
  </si>
  <si>
    <t>RM creates dependency: A depends on B, Type = Hard.</t>
  </si>
  <si>
    <t>Dependency created with Pending status.</t>
  </si>
  <si>
    <t>DEP-TC-002</t>
  </si>
  <si>
    <t>Create soft dependency between two releases</t>
  </si>
  <si>
    <t>Release A and Release B exist.</t>
  </si>
  <si>
    <t>RM creates dependency: A depends on B, Type = Soft.</t>
  </si>
  <si>
    <t>DEP-TC-003</t>
  </si>
  <si>
    <t>Dependency ID auto-generated</t>
  </si>
  <si>
    <t>Creating new dependency.</t>
  </si>
  <si>
    <t>Save dependency.</t>
  </si>
  <si>
    <t>Unique Dependency ID auto-assigned (read-only).</t>
  </si>
  <si>
    <t>DEP-TC-004</t>
  </si>
  <si>
    <t>Dependency links to dependent release</t>
  </si>
  <si>
    <t>Dependency created.</t>
  </si>
  <si>
    <t>View dependency details.</t>
  </si>
  <si>
    <t>Dependent Release field shows Release A.</t>
  </si>
  <si>
    <t>DEP-TC-005</t>
  </si>
  <si>
    <t>Dependency links to predecessor release</t>
  </si>
  <si>
    <t>Predecessor Release field shows Release B.</t>
  </si>
  <si>
    <t>DEP-TC-006</t>
  </si>
  <si>
    <t>Creation timestamp recorded</t>
  </si>
  <si>
    <t>Entity, AUDIT</t>
  </si>
  <si>
    <t>New dependency created.</t>
  </si>
  <si>
    <t>Creation timestamp auto-recorded.</t>
  </si>
  <si>
    <t>DEP-TC-007</t>
  </si>
  <si>
    <t>Creator recorded in audit</t>
  </si>
  <si>
    <t>RM creates dependency.</t>
  </si>
  <si>
    <t>Creator and timestamp recorded.</t>
  </si>
  <si>
    <t>DEP-TC-008</t>
  </si>
  <si>
    <t>Cannot create self-dependency</t>
  </si>
  <si>
    <t>Release A exists.</t>
  </si>
  <si>
    <t>Attempt to create: A depends on A.</t>
  </si>
  <si>
    <t>Rejected. Self-reference not allowed.</t>
  </si>
  <si>
    <t>A release cannot depend on itself.</t>
  </si>
  <si>
    <t>DEP-TC-009</t>
  </si>
  <si>
    <t>Cannot create duplicate dependency</t>
  </si>
  <si>
    <t>Dependency A→B already exists.</t>
  </si>
  <si>
    <t>Attempt to create another A→B dependency.</t>
  </si>
  <si>
    <t>Rejected. Duplicate dependency.</t>
  </si>
  <si>
    <t>Dependency already exists between these releases.</t>
  </si>
  <si>
    <t>DEP-TC-010</t>
  </si>
  <si>
    <t>Circular dependency blocked (2 releases)</t>
  </si>
  <si>
    <t>A depends on B.</t>
  </si>
  <si>
    <t>Attempt to create: B depends on A.</t>
  </si>
  <si>
    <t>Rejected. Circular chain detected.</t>
  </si>
  <si>
    <t>Circular dependency detected: B → A → B.</t>
  </si>
  <si>
    <t>DEP-TC-011</t>
  </si>
  <si>
    <t>Circular dependency blocked (3+ releases)</t>
  </si>
  <si>
    <t>A→B, B→C exist.</t>
  </si>
  <si>
    <t>Attempt to create: C depends on A.</t>
  </si>
  <si>
    <t>Circular dependency chain detected: C → A → B → C.</t>
  </si>
  <si>
    <t>DEP-TC-012</t>
  </si>
  <si>
    <t>Circular dependency blocked (long chain)</t>
  </si>
  <si>
    <t>A→B→C→D→E exist.</t>
  </si>
  <si>
    <t>Attempt to create: E depends on A.</t>
  </si>
  <si>
    <t>Circular dependency chain detected: E → A → B → C → D → E.</t>
  </si>
  <si>
    <t>DEP-TC-013</t>
  </si>
  <si>
    <t>Dependency on Cancelled release blocked</t>
  </si>
  <si>
    <t>Release B is Cancelled.</t>
  </si>
  <si>
    <t>Attempt to create: A depends on B.</t>
  </si>
  <si>
    <t>Rejected. Cannot depend on cancelled release.</t>
  </si>
  <si>
    <t>Cannot create dependency on cancelled release.</t>
  </si>
  <si>
    <t>DEP-TC-014</t>
  </si>
  <si>
    <t>Dependency on Closed release allowed</t>
  </si>
  <si>
    <t>Release B is Closed.</t>
  </si>
  <si>
    <t>Create: A depends on B.</t>
  </si>
  <si>
    <t>Allowed. Dependency created with Met status.</t>
  </si>
  <si>
    <t>DEP-TC-015</t>
  </si>
  <si>
    <t>Dependency on Deployed release allowed</t>
  </si>
  <si>
    <t>Release B is Deployed.</t>
  </si>
  <si>
    <t>DEP-TC-016</t>
  </si>
  <si>
    <t>Cannot create dependency on Draft release (&lt; Ready)</t>
  </si>
  <si>
    <t>Release B is in Draft status.</t>
  </si>
  <si>
    <t>DEP-TC-017</t>
  </si>
  <si>
    <t>Multiple dependencies on same predecessor allowed</t>
  </si>
  <si>
    <t>Release A and C both need B.</t>
  </si>
  <si>
    <t>Create: A→B and C→B.</t>
  </si>
  <si>
    <t>Both dependencies created successfully.</t>
  </si>
  <si>
    <t>DEP-TC-018</t>
  </si>
  <si>
    <t>Multiple dependencies from same dependent allowed</t>
  </si>
  <si>
    <t>Release A needs B and C.</t>
  </si>
  <si>
    <t>Create: A→B and A→C.</t>
  </si>
  <si>
    <t>DEP-TC-019</t>
  </si>
  <si>
    <t>Dependency type required field</t>
  </si>
  <si>
    <t>Leave Type field empty.</t>
  </si>
  <si>
    <t>Rejected. Type is required.</t>
  </si>
  <si>
    <t>Dependency Type is required.</t>
  </si>
  <si>
    <t>DEP-TC-020</t>
  </si>
  <si>
    <t>Notes field optional</t>
  </si>
  <si>
    <t>Leave Notes field empty.</t>
  </si>
  <si>
    <t>Dependency created without notes.</t>
  </si>
  <si>
    <t>DEP-TC-021</t>
  </si>
  <si>
    <t>2. Dependency Status Transitions - Happy Path</t>
  </si>
  <si>
    <t>Pending → Met (auto on deploy)</t>
  </si>
  <si>
    <t>AV-04, Lifecycle</t>
  </si>
  <si>
    <t>Dependency A→B in Pending. B deploys.</t>
  </si>
  <si>
    <t>B transitions to Deployed.</t>
  </si>
  <si>
    <t>Dependency auto-updated to Met.</t>
  </si>
  <si>
    <t>(Automated) Dependency satisfied.</t>
  </si>
  <si>
    <t>DEP-TC-022</t>
  </si>
  <si>
    <t>Pending → Met (auto on close)</t>
  </si>
  <si>
    <t>Dependency A→B in Pending. B closes.</t>
  </si>
  <si>
    <t>B transitions to Closed.</t>
  </si>
  <si>
    <t>DEP-TC-023</t>
  </si>
  <si>
    <t>Pending → Waived</t>
  </si>
  <si>
    <t>Dependency A→B in Pending. Business decides to proceed.</t>
  </si>
  <si>
    <t>RM waives dependency with approval.</t>
  </si>
  <si>
    <t>Status changes to Waived (FINAL).</t>
  </si>
  <si>
    <t>Dependency waived with documented approval.</t>
  </si>
  <si>
    <t>DEP-TC-024</t>
  </si>
  <si>
    <t>Pending → Removed</t>
  </si>
  <si>
    <t>Dependency A→B in Pending. No longer needed.</t>
  </si>
  <si>
    <t>RM removes dependency.</t>
  </si>
  <si>
    <t>Status changes to Removed (FINAL).</t>
  </si>
  <si>
    <t>DEP-TC-025</t>
  </si>
  <si>
    <t>Pending → At Risk</t>
  </si>
  <si>
    <t>Dependency A→B in Pending. B timeline slipping.</t>
  </si>
  <si>
    <t>RM marks dependency At Risk.</t>
  </si>
  <si>
    <t>Status changes to At Risk.</t>
  </si>
  <si>
    <t>Dependency at risk - timeline may not be met.</t>
  </si>
  <si>
    <t>DEP-TC-026</t>
  </si>
  <si>
    <t>At Risk → Met (auto on deploy)</t>
  </si>
  <si>
    <t>Dependency A→B At Risk. B deploys.</t>
  </si>
  <si>
    <t>DEP-TC-027</t>
  </si>
  <si>
    <t>At Risk → Pending (risk mitigated)</t>
  </si>
  <si>
    <t>Dependency A→B At Risk. Risk resolved.</t>
  </si>
  <si>
    <t>RM returns to Pending.</t>
  </si>
  <si>
    <t>Status changes to Pending.</t>
  </si>
  <si>
    <t>DEP-TC-028</t>
  </si>
  <si>
    <t>At Risk → Waived</t>
  </si>
  <si>
    <t>Dependency A→B At Risk. Business decides to proceed.</t>
  </si>
  <si>
    <t>RM waives dependency.</t>
  </si>
  <si>
    <t>DEP-TC-029</t>
  </si>
  <si>
    <t>Waive requires documented approval</t>
  </si>
  <si>
    <t>RM waiving dependency.</t>
  </si>
  <si>
    <t>Enter waiver reason and approval reference.</t>
  </si>
  <si>
    <t>Waiver recorded with documentation.</t>
  </si>
  <si>
    <t>DEP-TC-030</t>
  </si>
  <si>
    <t>Remove requires confirmation</t>
  </si>
  <si>
    <t>RM removing dependency.</t>
  </si>
  <si>
    <t>Confirm removal.</t>
  </si>
  <si>
    <t>Dependency removed.</t>
  </si>
  <si>
    <t>DEP-TC-031</t>
  </si>
  <si>
    <t>Dependency went through multiple changes.</t>
  </si>
  <si>
    <t>DEP-TC-032</t>
  </si>
  <si>
    <t>At Risk indicator visible on release</t>
  </si>
  <si>
    <t>Dependency A→B is At Risk.</t>
  </si>
  <si>
    <t>View Release A details.</t>
  </si>
  <si>
    <t>At Risk indicator displayed for dependency.</t>
  </si>
  <si>
    <t>DEP-TC-033</t>
  </si>
  <si>
    <t>Met timestamp auto-recorded</t>
  </si>
  <si>
    <t>AV-04, Entity</t>
  </si>
  <si>
    <t>Dependency transitions to Met.</t>
  </si>
  <si>
    <t>Met timestamp auto-set.</t>
  </si>
  <si>
    <t>DEP-TC-034</t>
  </si>
  <si>
    <t>Waived timestamp auto-recorded</t>
  </si>
  <si>
    <t>Dependency transitions to Waived.</t>
  </si>
  <si>
    <t>Waived timestamp auto-set.</t>
  </si>
  <si>
    <t>DEP-TC-035</t>
  </si>
  <si>
    <t>Multiple dependencies cascade update</t>
  </si>
  <si>
    <t>A→B, C→B, D→B all Pending. B deploys.</t>
  </si>
  <si>
    <t>All three dependencies auto-updated to Met.</t>
  </si>
  <si>
    <t>(Automated) 3 dependencies satisfied.</t>
  </si>
  <si>
    <t>DEP-TC-036</t>
  </si>
  <si>
    <t>Readiness % updated on dependency Met</t>
  </si>
  <si>
    <t>Dependency Met. Readiness was 60%.</t>
  </si>
  <si>
    <t>Dependency becomes Met.</t>
  </si>
  <si>
    <t>Readiness % recalculated and increased.</t>
  </si>
  <si>
    <t>DEP-TC-037</t>
  </si>
  <si>
    <t>3. Dependency Status Transitions - Negative</t>
  </si>
  <si>
    <t>Met → any status (FINAL immutable)</t>
  </si>
  <si>
    <t>Dependency in Met status (FINAL).</t>
  </si>
  <si>
    <t>Rejected. Met is final.</t>
  </si>
  <si>
    <t>Met dependencies cannot change status.</t>
  </si>
  <si>
    <t>DEP-TC-038</t>
  </si>
  <si>
    <t>Waived → any status (FINAL immutable)</t>
  </si>
  <si>
    <t>Dependency in Waived status (FINAL).</t>
  </si>
  <si>
    <t>Rejected. Waived is final.</t>
  </si>
  <si>
    <t>Waived dependencies cannot change status.</t>
  </si>
  <si>
    <t>DEP-TC-039</t>
  </si>
  <si>
    <t>Removed → any status (FINAL immutable)</t>
  </si>
  <si>
    <t>Dependency in Removed status (FINAL).</t>
  </si>
  <si>
    <t>Rejected. Removed is final.</t>
  </si>
  <si>
    <t>Removed dependencies cannot change status.</t>
  </si>
  <si>
    <t>DEP-TC-040</t>
  </si>
  <si>
    <t>Pending → Met manually (not allowed)</t>
  </si>
  <si>
    <t>Dependency in Pending status.</t>
  </si>
  <si>
    <t>RM attempts to manually set Met.</t>
  </si>
  <si>
    <t>Rejected. Met is system-controlled.</t>
  </si>
  <si>
    <t>Met status is auto-set when predecessor deploys.</t>
  </si>
  <si>
    <t>DEP-TC-041</t>
  </si>
  <si>
    <t>At Risk → Removed directly (invalid)</t>
  </si>
  <si>
    <t>Dependency in At Risk status.</t>
  </si>
  <si>
    <t>Attempt to remove directly.</t>
  </si>
  <si>
    <t>Rejected. Must return to Pending first.</t>
  </si>
  <si>
    <t>Cannot remove At Risk dependency directly.</t>
  </si>
  <si>
    <t>DEP-TC-042</t>
  </si>
  <si>
    <t>Waive without documented approval</t>
  </si>
  <si>
    <t>Submit without approval documentation.</t>
  </si>
  <si>
    <t>Rejected. Approval required.</t>
  </si>
  <si>
    <t>Documented approval is required to waive dependency.</t>
  </si>
  <si>
    <t>DEP-TC-043</t>
  </si>
  <si>
    <t>Waive with empty reason</t>
  </si>
  <si>
    <t>Submit with empty reason field.</t>
  </si>
  <si>
    <t>Waiver reason is required.</t>
  </si>
  <si>
    <t>DEP-TC-044</t>
  </si>
  <si>
    <t>Remove confirmation cancelled</t>
  </si>
  <si>
    <t>RM clicking remove.</t>
  </si>
  <si>
    <t>DEP-TC-045</t>
  </si>
  <si>
    <t>Dependency in Met status.</t>
  </si>
  <si>
    <t>DEP-TC-046</t>
  </si>
  <si>
    <t>User A editing. User B views same dependency.</t>
  </si>
  <si>
    <t>User B tries to waive while A has pending changes.</t>
  </si>
  <si>
    <t>DEP-TC-047</t>
  </si>
  <si>
    <t>Cannot manually create Met dependency</t>
  </si>
  <si>
    <t>Attempt to set status = Met.</t>
  </si>
  <si>
    <t>Cannot create dependency with Met status.</t>
  </si>
  <si>
    <t>DEP-TC-048</t>
  </si>
  <si>
    <t>Cannot manually create Waived dependency</t>
  </si>
  <si>
    <t>Attempt to set status = Waived.</t>
  </si>
  <si>
    <t>Rejected. Must go through waiver process.</t>
  </si>
  <si>
    <t>Waived status requires formal waiver process.</t>
  </si>
  <si>
    <t>DEP-TC-049</t>
  </si>
  <si>
    <t>RM clicks Waive.</t>
  </si>
  <si>
    <t>Rapidly click Waive again.</t>
  </si>
  <si>
    <t>DEP-TC-050</t>
  </si>
  <si>
    <t>Pending → At Risk without reason</t>
  </si>
  <si>
    <t>RM marking dependency At Risk.</t>
  </si>
  <si>
    <t>Submit without risk reason.</t>
  </si>
  <si>
    <t>Risk reason is required.</t>
  </si>
  <si>
    <t>DEP-TC-051</t>
  </si>
  <si>
    <t>At Risk → Pending without mitigation notes</t>
  </si>
  <si>
    <t>RM returning At Risk to Pending.</t>
  </si>
  <si>
    <t>Submit without mitigation notes.</t>
  </si>
  <si>
    <t>Rejected. Must document mitigation.</t>
  </si>
  <si>
    <t>Mitigation notes required to return to Pending.</t>
  </si>
  <si>
    <t>DEP-TC-052</t>
  </si>
  <si>
    <t>Waiver exceeds character limit</t>
  </si>
  <si>
    <t>RM entering waiver reason.</t>
  </si>
  <si>
    <t>Enter reason exceeding max length.</t>
  </si>
  <si>
    <t>Waiver reason cannot exceed 2000 characters.</t>
  </si>
  <si>
    <t>DEP-TC-053</t>
  </si>
  <si>
    <t>Met dependency cannot be re-waived</t>
  </si>
  <si>
    <t>Dependency already Met.</t>
  </si>
  <si>
    <t>Attempt to waive.</t>
  </si>
  <si>
    <t>Rejected. Already satisfied.</t>
  </si>
  <si>
    <t>Cannot waive a met dependency.</t>
  </si>
  <si>
    <t>DEP-TC-054</t>
  </si>
  <si>
    <t>Met button hidden (system-controlled).</t>
  </si>
  <si>
    <t>DEP-TC-055</t>
  </si>
  <si>
    <t>4. Hard vs Soft Dependencies</t>
  </si>
  <si>
    <t>Release A has hard dependency on B (Pending). A is Ready.</t>
  </si>
  <si>
    <t>Attempt to transition A to Deploying.</t>
  </si>
  <si>
    <t>Cannot deploy: Hard dependency [B] not yet deployed.</t>
  </si>
  <si>
    <t>DEP-TC-056</t>
  </si>
  <si>
    <t>Soft dependency does not block Deploying</t>
  </si>
  <si>
    <t>Release A has soft dependency on B (Pending). A is Ready.</t>
  </si>
  <si>
    <t>Transition A to Deploying.</t>
  </si>
  <si>
    <t>Allowed. Soft dependency is advisory only.</t>
  </si>
  <si>
    <t>DEP-TC-057</t>
  </si>
  <si>
    <t>Soft dependency shows warning on deploy</t>
  </si>
  <si>
    <t>Warning displayed but transition allowed.</t>
  </si>
  <si>
    <t>Warning: Soft dependency [B] not yet deployed.</t>
  </si>
  <si>
    <t>DEP-TC-058</t>
  </si>
  <si>
    <t>Multiple hard dependencies - all must be met</t>
  </si>
  <si>
    <t>Release A has hard deps on B, C, D. Only B is Deployed.</t>
  </si>
  <si>
    <t>Cannot deploy: Hard dependencies [C], [D] not yet deployed.</t>
  </si>
  <si>
    <t>DEP-TC-059</t>
  </si>
  <si>
    <t>Multiple hard deps met - deploy allowed</t>
  </si>
  <si>
    <t>Release A has hard deps on B, C, D. All are Deployed.</t>
  </si>
  <si>
    <t>Allowed. All hard dependencies satisfied.</t>
  </si>
  <si>
    <t>DEP-TC-060</t>
  </si>
  <si>
    <t>Mixed hard/soft - only hard blocks</t>
  </si>
  <si>
    <t>Release A: hard dep on B (Met), soft dep on C (Pending).</t>
  </si>
  <si>
    <t>Allowed. Hard satisfied, soft is advisory.</t>
  </si>
  <si>
    <t>Warning: Soft dependency [C] not yet deployed.</t>
  </si>
  <si>
    <t>DEP-TC-061</t>
  </si>
  <si>
    <t>Waived hard dependency does not block</t>
  </si>
  <si>
    <t>Release A has hard dependency on B (Waived).</t>
  </si>
  <si>
    <t>Allowed. Waived dependencies do not block.</t>
  </si>
  <si>
    <t>DEP-TC-062</t>
  </si>
  <si>
    <t>Removed hard dependency does not block</t>
  </si>
  <si>
    <t>Release A had hard dependency on B (Removed).</t>
  </si>
  <si>
    <t>Allowed. Removed dependencies do not block.</t>
  </si>
  <si>
    <t>DEP-TC-063</t>
  </si>
  <si>
    <t>At Risk hard dependency still blocks</t>
  </si>
  <si>
    <t>Release A has hard dependency on B (At Risk).</t>
  </si>
  <si>
    <t>Cannot deploy: Hard dependency [B] not yet deployed (At Risk).</t>
  </si>
  <si>
    <t>DEP-TC-064</t>
  </si>
  <si>
    <t>Dependency type cannot change after creation</t>
  </si>
  <si>
    <t>Hard dependency A→B exists.</t>
  </si>
  <si>
    <t>Attempt to change type to Soft.</t>
  </si>
  <si>
    <t>Rejected. Type is immutable.</t>
  </si>
  <si>
    <t>Dependency type cannot be changed after creation.</t>
  </si>
  <si>
    <t>DEP-TC-065</t>
  </si>
  <si>
    <t>Hard dependency shows blocking indicator</t>
  </si>
  <si>
    <t>Release has hard dependency in Pending.</t>
  </si>
  <si>
    <t>View release dependencies tab.</t>
  </si>
  <si>
    <t>Hard dependency shown with blocking icon.</t>
  </si>
  <si>
    <t>DEP-TC-066</t>
  </si>
  <si>
    <t>Soft dependency shows advisory indicator</t>
  </si>
  <si>
    <t>Release has soft dependency in Pending.</t>
  </si>
  <si>
    <t>Soft dependency shown with advisory icon.</t>
  </si>
  <si>
    <t>DEP-TC-067</t>
  </si>
  <si>
    <t>Ready gate considers unmet hard dependencies</t>
  </si>
  <si>
    <t>Release has unmet hard dependency.</t>
  </si>
  <si>
    <t>Attempt to transition to Ready.</t>
  </si>
  <si>
    <t>Cannot move to Ready: Unmet hard dependency.</t>
  </si>
  <si>
    <t>DEP-TC-068</t>
  </si>
  <si>
    <t>Ready gate ignores soft dependencies</t>
  </si>
  <si>
    <t>Release has unmet soft dependency only.</t>
  </si>
  <si>
    <t>Transition to Ready.</t>
  </si>
  <si>
    <t>DEP-TC-069</t>
  </si>
  <si>
    <t>Release has 2 hard and 2 soft dependencies.</t>
  </si>
  <si>
    <t>View readiness calculation.</t>
  </si>
  <si>
    <t>DEP-TC-070</t>
  </si>
  <si>
    <t>Hard dependency on At Risk shows warning</t>
  </si>
  <si>
    <t>Hard dep At Risk. CAB date within 2 days.</t>
  </si>
  <si>
    <t>System checks readiness.</t>
  </si>
  <si>
    <t>Warning shown to RM with dependency gap.</t>
  </si>
  <si>
    <t>Warning: Dependency [B] is at risk and may not be met.</t>
  </si>
  <si>
    <t>DEP-TC-071</t>
  </si>
  <si>
    <t>Convert hard to soft (not allowed)</t>
  </si>
  <si>
    <t>Hard dependency exists. Business wants flexibility.</t>
  </si>
  <si>
    <t>Rejected. Remove and recreate instead.</t>
  </si>
  <si>
    <t>Cannot change dependency type. Remove and create new dependency.</t>
  </si>
  <si>
    <t>DEP-TC-072</t>
  </si>
  <si>
    <t>All soft deps pending - no block</t>
  </si>
  <si>
    <t>Release has 5 soft dependencies, all Pending.</t>
  </si>
  <si>
    <t>Transition to Deploying.</t>
  </si>
  <si>
    <t>Allowed with warnings. No blocking.</t>
  </si>
  <si>
    <t>Warning: 5 soft dependencies not yet deployed.</t>
  </si>
  <si>
    <t>DEP-TC-073</t>
  </si>
  <si>
    <t>5. Dependency Locking (VR-36)</t>
  </si>
  <si>
    <t>Dependencies frozen at Ready status</t>
  </si>
  <si>
    <t>Release in Ready status.</t>
  </si>
  <si>
    <t>Attempt to add new dependency.</t>
  </si>
  <si>
    <t>Rejected. Dependencies frozen.</t>
  </si>
  <si>
    <t>Cannot add dependencies: Release is Ready or beyond.</t>
  </si>
  <si>
    <t>DEP-TC-074</t>
  </si>
  <si>
    <t>Dependencies frozen at Deploying status</t>
  </si>
  <si>
    <t>Release in Deploying status.</t>
  </si>
  <si>
    <t>Cannot add dependencies: Release is in deployment.</t>
  </si>
  <si>
    <t>DEP-TC-075</t>
  </si>
  <si>
    <t>Dependencies frozen at Deployed status</t>
  </si>
  <si>
    <t>Release in Deployed status.</t>
  </si>
  <si>
    <t>Cannot add dependencies: Release is deployed.</t>
  </si>
  <si>
    <t>DEP-TC-076</t>
  </si>
  <si>
    <t>Cannot remove dependency at Ready</t>
  </si>
  <si>
    <t>Release in Ready status with dependency.</t>
  </si>
  <si>
    <t>Attempt to remove dependency.</t>
  </si>
  <si>
    <t>Cannot remove dependencies: Release is Ready or beyond.</t>
  </si>
  <si>
    <t>DEP-TC-077</t>
  </si>
  <si>
    <t>Cannot waive dependency at Deploying</t>
  </si>
  <si>
    <t>Release in Deploying status with pending dependency.</t>
  </si>
  <si>
    <t>Attempt to waive dependency.</t>
  </si>
  <si>
    <t>Cannot waive dependencies during deployment.</t>
  </si>
  <si>
    <t>DEP-TC-078</t>
  </si>
  <si>
    <t>Can add dependency before Ready</t>
  </si>
  <si>
    <t>Release in CAB Approved status.</t>
  </si>
  <si>
    <t>Add new dependency.</t>
  </si>
  <si>
    <t>Allowed. Release not yet Ready.</t>
  </si>
  <si>
    <t>DEP-TC-079</t>
  </si>
  <si>
    <t>Can remove dependency before Ready</t>
  </si>
  <si>
    <t>Release in CAB Approved status with dependency.</t>
  </si>
  <si>
    <t>Remove dependency.</t>
  </si>
  <si>
    <t>DEP-TC-080</t>
  </si>
  <si>
    <t>Can waive dependency before Ready</t>
  </si>
  <si>
    <t>Release in Approved status with pending dependency.</t>
  </si>
  <si>
    <t>Waive dependency with approval.</t>
  </si>
  <si>
    <t>DEP-TC-081</t>
  </si>
  <si>
    <t>Lock applies to all dependency operations</t>
  </si>
  <si>
    <t>Attempt Add, Remove, Waive operations.</t>
  </si>
  <si>
    <t>All blocked. Structure frozen.</t>
  </si>
  <si>
    <t>Dependency structure is frozen for deployment.</t>
  </si>
  <si>
    <t>DEP-TC-082</t>
  </si>
  <si>
    <t>System can still auto-update Met status</t>
  </si>
  <si>
    <t>VR-36, AV-04</t>
  </si>
  <si>
    <t>Release in Ready. Dependency predecessor deploys.</t>
  </si>
  <si>
    <t>Predecessor transitions to Deployed.</t>
  </si>
  <si>
    <t>Dependency auto-updated to Met (system action allowed).</t>
  </si>
  <si>
    <t>DEP-TC-083</t>
  </si>
  <si>
    <t>Lock persists through deployment</t>
  </si>
  <si>
    <t>Release goes from Ready → Deploying → Deployed.</t>
  </si>
  <si>
    <t>Check dependency lock throughout.</t>
  </si>
  <si>
    <t>Lock maintained at all stages.</t>
  </si>
  <si>
    <t>DEP-TC-084</t>
  </si>
  <si>
    <t>Admin cannot override freeze</t>
  </si>
  <si>
    <t>Release in Ready. Admin attempts to add dependency.</t>
  </si>
  <si>
    <t>Admin uses admin tools.</t>
  </si>
  <si>
    <t>Rejected. Freeze applies to all users.</t>
  </si>
  <si>
    <t>Cannot modify dependencies on Ready release.</t>
  </si>
  <si>
    <t>DEP-TC-085</t>
  </si>
  <si>
    <t>Release returned to CAB Approved - lock released</t>
  </si>
  <si>
    <t>Release moved back to CAB Approved from Ready.</t>
  </si>
  <si>
    <t>Attempt to add dependency.</t>
  </si>
  <si>
    <t>Allowed. Lock released when status dropped.</t>
  </si>
  <si>
    <t>DEP-TC-086</t>
  </si>
  <si>
    <t>At Risk transition still allowed when locked</t>
  </si>
  <si>
    <t>Release in Ready. Dependency is Pending.</t>
  </si>
  <si>
    <t>Mark dependency At Risk.</t>
  </si>
  <si>
    <t>Rejected. Even status transitions frozen.</t>
  </si>
  <si>
    <t>Dependency modifications not allowed on Ready release.</t>
  </si>
  <si>
    <t>DEP-TC-087</t>
  </si>
  <si>
    <t>Notes editing blocked when locked</t>
  </si>
  <si>
    <t>Release in Ready. Dependency exists.</t>
  </si>
  <si>
    <t>Attempt to edit dependency notes.</t>
  </si>
  <si>
    <t>Rejected. Record is frozen.</t>
  </si>
  <si>
    <t>Cannot edit dependencies: Release is Ready.</t>
  </si>
  <si>
    <t>DEP-TC-088</t>
  </si>
  <si>
    <t>UI shows lock indicator</t>
  </si>
  <si>
    <t>VR-36, UI</t>
  </si>
  <si>
    <t>View dependencies tab.</t>
  </si>
  <si>
    <t>Lock icon displayed. Edit buttons disabled.</t>
  </si>
  <si>
    <t>DEP-TC-089</t>
  </si>
  <si>
    <t>6. Cascading Behaviors</t>
  </si>
  <si>
    <t>Predecessor deploy cascades Met status</t>
  </si>
  <si>
    <t>CASC-04, AV-04</t>
  </si>
  <si>
    <t>A→B, C→B, D→B all Pending.</t>
  </si>
  <si>
    <t>All dependencies cascade to Met.</t>
  </si>
  <si>
    <t>(Automated) Dependencies satisfied: A, C, D.</t>
  </si>
  <si>
    <t>DEP-TC-090</t>
  </si>
  <si>
    <t>Predecessor close cascades Met status</t>
  </si>
  <si>
    <t>A→B Pending. B closes.</t>
  </si>
  <si>
    <t>Dependency cascades to Met.</t>
  </si>
  <si>
    <t>DEP-TC-091</t>
  </si>
  <si>
    <t>Predecessor cancellation impacts dependents</t>
  </si>
  <si>
    <t>A→B Pending. B is cancelled.</t>
  </si>
  <si>
    <t>B transitions to Cancelled.</t>
  </si>
  <si>
    <t>Dependency status unchanged but flagged.</t>
  </si>
  <si>
    <t>Warning: Predecessor [B] has been cancelled.</t>
  </si>
  <si>
    <t>DEP-TC-092</t>
  </si>
  <si>
    <t>Release A has dependencies. A is cancelled.</t>
  </si>
  <si>
    <t>A transitions to Cancelled.</t>
  </si>
  <si>
    <t>Dependencies auto-removed or archived.</t>
  </si>
  <si>
    <t>(Automated) Dependencies archived on release cancellation.</t>
  </si>
  <si>
    <t>DEP-TC-093</t>
  </si>
  <si>
    <t>Cascade notification to dependent RM</t>
  </si>
  <si>
    <t>CASC-04, NOTIF</t>
  </si>
  <si>
    <t>A→B. B deploys.</t>
  </si>
  <si>
    <t>Notification sent to RM of A.</t>
  </si>
  <si>
    <t>Dependency on [B] has been satisfied.</t>
  </si>
  <si>
    <t>DEP-TC-094</t>
  </si>
  <si>
    <t>Cascade updates Readiness % on all dependents</t>
  </si>
  <si>
    <t>CASC-04, AV-20</t>
  </si>
  <si>
    <t>A, C, D all depend on B. B deploys.</t>
  </si>
  <si>
    <t>Readiness % recalculated for A, C, and D.</t>
  </si>
  <si>
    <t>DEP-TC-095</t>
  </si>
  <si>
    <t>Cascade handles chain dependencies</t>
  </si>
  <si>
    <t>A→B, B→C. C deploys.</t>
  </si>
  <si>
    <t>C transitions to Deployed.</t>
  </si>
  <si>
    <t>B's dependency Met. Then B can deploy to satisfy A.</t>
  </si>
  <si>
    <t>DEP-TC-096</t>
  </si>
  <si>
    <t>Cascade audit trail on all affected releases</t>
  </si>
  <si>
    <t>CASC-04, AUDIT</t>
  </si>
  <si>
    <t>Multiple releases depend on B. B deploys.</t>
  </si>
  <si>
    <t>View audit on all dependent releases.</t>
  </si>
  <si>
    <t>Cascade event recorded on each audit trail.</t>
  </si>
  <si>
    <t>DEP-TC-097</t>
  </si>
  <si>
    <t>Cascade does not affect soft dependencies differently</t>
  </si>
  <si>
    <t>A (hard→B), C (soft→B). B deploys.</t>
  </si>
  <si>
    <t>Both dependencies cascade to Met.</t>
  </si>
  <si>
    <t>DEP-TC-098</t>
  </si>
  <si>
    <t>Large cascade (50+ dependents) performs well</t>
  </si>
  <si>
    <t>CASC-04, Performance</t>
  </si>
  <si>
    <t>50 releases depend on B. B deploys.</t>
  </si>
  <si>
    <t>All 50 cascade within acceptable time (&lt;10 seconds).</t>
  </si>
  <si>
    <t>DEP-TC-099</t>
  </si>
  <si>
    <t>Cascade handles concurrent operations</t>
  </si>
  <si>
    <t>CASC-04, Concurrency</t>
  </si>
  <si>
    <t>A→B. B deploying while A being edited.</t>
  </si>
  <si>
    <t>B completes deployment.</t>
  </si>
  <si>
    <t>Cascade applies correctly. No conflict.</t>
  </si>
  <si>
    <t>DEP-TC-100</t>
  </si>
  <si>
    <t>Cascade rollback on partial failure</t>
  </si>
  <si>
    <t>10 dependents. Cascade fails at #5.</t>
  </si>
  <si>
    <t>System handles failure.</t>
  </si>
  <si>
    <t>Partial cascade rolled back. Clean state maintained.</t>
  </si>
  <si>
    <t>Cascade failed. No changes applied.</t>
  </si>
  <si>
    <t>DEP-TC-101</t>
  </si>
  <si>
    <t>Release deletion archives dependencies</t>
  </si>
  <si>
    <t>Release with dependencies is deleted.</t>
  </si>
  <si>
    <t>Dependencies archived (not orphaned).</t>
  </si>
  <si>
    <t>(audit) Dependencies archived on release deletion.</t>
  </si>
  <si>
    <t>DEP-TC-102</t>
  </si>
  <si>
    <t>Cascade respects At Risk status</t>
  </si>
  <si>
    <t>A→B (At Risk). B deploys.</t>
  </si>
  <si>
    <t>Dependency cascades to Met (regardless of At Risk).</t>
  </si>
  <si>
    <t>(Automated) At Risk dependency satisfied.</t>
  </si>
  <si>
    <t>DEP-TC-103</t>
  </si>
  <si>
    <t>No cascade on Waived dependencies</t>
  </si>
  <si>
    <t>A→B (Waived). B deploys.</t>
  </si>
  <si>
    <t>No cascade needed. Already Waived.</t>
  </si>
  <si>
    <t>DEP-TC-104</t>
  </si>
  <si>
    <t>No cascade on Removed dependencies</t>
  </si>
  <si>
    <t>A→B (Removed). B deploys.</t>
  </si>
  <si>
    <t>No cascade needed. Dependency removed.</t>
  </si>
  <si>
    <t>DEP-TC-105</t>
  </si>
  <si>
    <t>Cascade timing recorded in audit</t>
  </si>
  <si>
    <t>Cascade occurs when B deploys.</t>
  </si>
  <si>
    <t>View dependency audit.</t>
  </si>
  <si>
    <t>Exact cascade timestamp recorded.</t>
  </si>
  <si>
    <t>DEP-TC-106</t>
  </si>
  <si>
    <t>Cascade notification batched for multiple deps</t>
  </si>
  <si>
    <t>Release A has 10 dependencies all Met by cascade.</t>
  </si>
  <si>
    <t>10 predecessors deploy.</t>
  </si>
  <si>
    <t>Single consolidated notification.</t>
  </si>
  <si>
    <t>10 dependencies satisfied for [A].</t>
  </si>
  <si>
    <t>DEP-TC-107</t>
  </si>
  <si>
    <t>RM can create dependency on own release</t>
  </si>
  <si>
    <t>User is RM for Release A.</t>
  </si>
  <si>
    <t>RM creates dependency A→B.</t>
  </si>
  <si>
    <t>Created successfully.</t>
  </si>
  <si>
    <t>DEP-TC-108</t>
  </si>
  <si>
    <t>RM can waive dependency on own release</t>
  </si>
  <si>
    <t>User is RM for Release A. A→B Pending.</t>
  </si>
  <si>
    <t>Waived successfully.</t>
  </si>
  <si>
    <t>DEP-TC-109</t>
  </si>
  <si>
    <t>RM can remove dependency on own release</t>
  </si>
  <si>
    <t>Removed successfully.</t>
  </si>
  <si>
    <t>DEP-TC-110</t>
  </si>
  <si>
    <t>Admin can manage any dependency</t>
  </si>
  <si>
    <t>Admin manages dependency on any release.</t>
  </si>
  <si>
    <t>DEP-TC-111</t>
  </si>
  <si>
    <t>Team member cannot create dependency</t>
  </si>
  <si>
    <t>Attempt to create dependency.</t>
  </si>
  <si>
    <t>Only Release Manager can create dependencies.</t>
  </si>
  <si>
    <t>DEP-TC-112</t>
  </si>
  <si>
    <t>Team member cannot waive dependency</t>
  </si>
  <si>
    <t>Only Release Manager can waive dependencies.</t>
  </si>
  <si>
    <t>DEP-TC-113</t>
  </si>
  <si>
    <t>Read-only user can view dependencies</t>
  </si>
  <si>
    <t>View release dependencies.</t>
  </si>
  <si>
    <t>Dependencies displayed. Action buttons disabled.</t>
  </si>
  <si>
    <t>DEP-TC-114</t>
  </si>
  <si>
    <t>Read-only user cannot modify dependencies</t>
  </si>
  <si>
    <t>Attempt to create/waive/remove dependency.</t>
  </si>
  <si>
    <t>You do not have permission to modify dependencies.</t>
  </si>
  <si>
    <t>DEP-TC-115</t>
  </si>
  <si>
    <t>RM of predecessor cannot modify dependency</t>
  </si>
  <si>
    <t>A→B. User is RM of B (predecessor).</t>
  </si>
  <si>
    <t>Rejected. Must be RM of dependent release.</t>
  </si>
  <si>
    <t>Only RM of dependent release can manage dependency.</t>
  </si>
  <si>
    <t>DEP-TC-116</t>
  </si>
  <si>
    <t>Delegate creates dependency.</t>
  </si>
  <si>
    <t>DEP-TC-117</t>
  </si>
  <si>
    <t>Access revoked user loses dependency access</t>
  </si>
  <si>
    <t>User attempts to view dependencies.</t>
  </si>
  <si>
    <t>DEP-TC-118</t>
  </si>
  <si>
    <t>Cross-team dependency visible to both teams</t>
  </si>
  <si>
    <t>A (Team X) → B (Team Y).</t>
  </si>
  <si>
    <t>Users from both teams view dependency.</t>
  </si>
  <si>
    <t>Dependency visible to both.</t>
  </si>
  <si>
    <t>DEP-TC-119</t>
  </si>
  <si>
    <t>Waiver requires higher approval for cross-team</t>
  </si>
  <si>
    <t>A (Team X) → B (Team Y). RM of A wants to waive.</t>
  </si>
  <si>
    <t>Submit waiver request.</t>
  </si>
  <si>
    <t>Requires acknowledgment from Team Y RM.</t>
  </si>
  <si>
    <t>Cross-team dependency waiver requires both RM acknowledgment.</t>
  </si>
  <si>
    <t>DEP-TC-120</t>
  </si>
  <si>
    <t>Predecessor RM notified of dependency creation</t>
  </si>
  <si>
    <t>Permissions, NOTIF</t>
  </si>
  <si>
    <t>A→B created. User is RM of B.</t>
  </si>
  <si>
    <t>Dependency saved.</t>
  </si>
  <si>
    <t>Notification sent to RM of B.</t>
  </si>
  <si>
    <t>Your release [B] is now a dependency for [A].</t>
  </si>
  <si>
    <t>DEP-TC-121</t>
  </si>
  <si>
    <t>8. Impact on Readiness %</t>
  </si>
  <si>
    <t>Pending dependency reduces Readiness %</t>
  </si>
  <si>
    <t>Release has 10 checkpoints. 1 pending dependency.</t>
  </si>
  <si>
    <t>View Readiness %.</t>
  </si>
  <si>
    <t>Readiness reflects pending dependency (e.g., 90%).</t>
  </si>
  <si>
    <t>DEP-TC-122</t>
  </si>
  <si>
    <t>Met dependency contributes to Readiness %</t>
  </si>
  <si>
    <t>Release has 10 checkpoints. 1 dependency now Met.</t>
  </si>
  <si>
    <t>Full checkpoint contribution.</t>
  </si>
  <si>
    <t>DEP-TC-123</t>
  </si>
  <si>
    <t>Waived dependency treated as satisfied</t>
  </si>
  <si>
    <t>Release has 10 checkpoints. 1 waived dependency.</t>
  </si>
  <si>
    <t>Waived treated as Met for Readiness calculation.</t>
  </si>
  <si>
    <t>DEP-TC-124</t>
  </si>
  <si>
    <t>Removed dependency excluded from calculation</t>
  </si>
  <si>
    <t>Release had dependency, now removed.</t>
  </si>
  <si>
    <t>Readiness recalculated without removed dependency.</t>
  </si>
  <si>
    <t>DEP-TC-125</t>
  </si>
  <si>
    <t>At Risk dependency still counts as Pending</t>
  </si>
  <si>
    <t>Dependency marked At Risk.</t>
  </si>
  <si>
    <t>At Risk treated as Pending (not satisfied).</t>
  </si>
  <si>
    <t>DEP-TC-126</t>
  </si>
  <si>
    <t>Multiple dependencies weighted equally</t>
  </si>
  <si>
    <t>Release has 3 dependencies, 1 Met, 2 Pending.</t>
  </si>
  <si>
    <t>Each dependency contributes equally to checkpoint.</t>
  </si>
  <si>
    <t>DEP-TC-127</t>
  </si>
  <si>
    <t>Hard dependency has same weight as soft</t>
  </si>
  <si>
    <t>1 hard dependency Pending, 1 soft Pending.</t>
  </si>
  <si>
    <t>Both weighted equally for Readiness calculation.</t>
  </si>
  <si>
    <t>DEP-TC-128</t>
  </si>
  <si>
    <t>Readiness recalculated on status change</t>
  </si>
  <si>
    <t>Dependency changes from Pending to Met.</t>
  </si>
  <si>
    <t>Check Readiness % immediately after.</t>
  </si>
  <si>
    <t>Readiness auto-updated to reflect change.</t>
  </si>
  <si>
    <t>DEP-TC-129</t>
  </si>
  <si>
    <t>Readiness below 75% triggers VR-17 warning</t>
  </si>
  <si>
    <t>VR-17, AV-20</t>
  </si>
  <si>
    <t>Readiness at 70%. CAB within 2 days.</t>
  </si>
  <si>
    <t>Check alerts.</t>
  </si>
  <si>
    <t>Warning displayed about low readiness.</t>
  </si>
  <si>
    <t>Readiness below 75% with CAB approaching.</t>
  </si>
  <si>
    <t>DEP-TC-130</t>
  </si>
  <si>
    <t>Readiness at 75% no warning</t>
  </si>
  <si>
    <t>Readiness at exactly 75%. CAB within 2 days.</t>
  </si>
  <si>
    <t>No warning. At threshold.</t>
  </si>
  <si>
    <t>DEP-TC-131</t>
  </si>
  <si>
    <t>Readiness shown on dashboard</t>
  </si>
  <si>
    <t>AV-20, UI</t>
  </si>
  <si>
    <t>Release with various dependency states.</t>
  </si>
  <si>
    <t>View release dashboard.</t>
  </si>
  <si>
    <t>Readiness % displayed prominently.</t>
  </si>
  <si>
    <t>DEP-TC-132</t>
  </si>
  <si>
    <t>Readiness breakdown available</t>
  </si>
  <si>
    <t>Release has multiple dependencies.</t>
  </si>
  <si>
    <t>Expand Readiness details.</t>
  </si>
  <si>
    <t>Breakdown shows dependency contributions.</t>
  </si>
  <si>
    <t>DEP-TC-133</t>
  </si>
  <si>
    <t>100% Readiness with all dependencies Met</t>
  </si>
  <si>
    <t>All dependencies Met. All checkpoints done.</t>
  </si>
  <si>
    <t>100% Readiness achieved.</t>
  </si>
  <si>
    <t>DEP-TC-134</t>
  </si>
  <si>
    <t>0% Readiness when all pending</t>
  </si>
  <si>
    <t>New release with no checkpoints, all deps Pending.</t>
  </si>
  <si>
    <t>0% Readiness displayed.</t>
  </si>
  <si>
    <t>DEP-TC-135</t>
  </si>
  <si>
    <t>Readiness export includes dependency status</t>
  </si>
  <si>
    <t>AV-20, Export</t>
  </si>
  <si>
    <t>Release with dependencies.</t>
  </si>
  <si>
    <t>Export Readiness report.</t>
  </si>
  <si>
    <t>Export includes dependency breakdown.</t>
  </si>
  <si>
    <t>DEP-TC-136</t>
  </si>
  <si>
    <t>Readiness history tracks dependency changes</t>
  </si>
  <si>
    <t>AV-20, AUDIT</t>
  </si>
  <si>
    <t>Multiple dependency status changes over time.</t>
  </si>
  <si>
    <t>View Readiness history.</t>
  </si>
  <si>
    <t>History shows Readiness at each point.</t>
  </si>
  <si>
    <t>DEP-TC-137</t>
  </si>
  <si>
    <t>Dependency creation recorded in audit</t>
  </si>
  <si>
    <t>Creation event logged with user, timestamp, details.</t>
  </si>
  <si>
    <t>DEP-TC-138</t>
  </si>
  <si>
    <t>Dependency status change recorded</t>
  </si>
  <si>
    <t>Dependency changes Pending → Met.</t>
  </si>
  <si>
    <t>Status change logged with old/new values.</t>
  </si>
  <si>
    <t>DEP-TC-139</t>
  </si>
  <si>
    <t>Dependency waiver recorded with reason</t>
  </si>
  <si>
    <t>Dependency waived with reason.</t>
  </si>
  <si>
    <t>Waiver logged with approval and reason text.</t>
  </si>
  <si>
    <t>DEP-TC-140</t>
  </si>
  <si>
    <t>Dependency removal recorded</t>
  </si>
  <si>
    <t>Removal event logged.</t>
  </si>
  <si>
    <t>DEP-TC-141</t>
  </si>
  <si>
    <t>Cascade event logged on dependent releases</t>
  </si>
  <si>
    <t>AUDIT-01, CASC-04</t>
  </si>
  <si>
    <t>Cascade occurs when predecessor deploys.</t>
  </si>
  <si>
    <t>View audit on dependent release.</t>
  </si>
  <si>
    <t>Cascade event recorded with source release.</t>
  </si>
  <si>
    <t>DEP-TC-142</t>
  </si>
  <si>
    <t>At Risk transition logged</t>
  </si>
  <si>
    <t>At Risk event with reason logged.</t>
  </si>
  <si>
    <t>DEP-TC-143</t>
  </si>
  <si>
    <t>Type change logged (if allowed)</t>
  </si>
  <si>
    <t>Dependency changed from Hard to Soft.</t>
  </si>
  <si>
    <t>Type change logged.</t>
  </si>
  <si>
    <t>DEP-TC-144</t>
  </si>
  <si>
    <t>Audit shows full dependency history</t>
  </si>
  <si>
    <t>Multiple changes to dependency over time.</t>
  </si>
  <si>
    <t>View full audit history.</t>
  </si>
  <si>
    <t>Complete history displayed chronologically.</t>
  </si>
  <si>
    <t>DEP-TC-145</t>
  </si>
  <si>
    <t>Audit filterable by dependency</t>
  </si>
  <si>
    <t>AUDIT-01, UI</t>
  </si>
  <si>
    <t>Filter audit by specific dependency.</t>
  </si>
  <si>
    <t>Only selected dependency events shown.</t>
  </si>
  <si>
    <t>DEP-TC-146</t>
  </si>
  <si>
    <t>Audit searchable by predecessor</t>
  </si>
  <si>
    <t>Audit contains dependency events.</t>
  </si>
  <si>
    <t>Search by predecessor release name.</t>
  </si>
  <si>
    <t>Relevant events returned.</t>
  </si>
  <si>
    <t>DEP-TC-147</t>
  </si>
  <si>
    <t>Audit immutable</t>
  </si>
  <si>
    <t>AUDIT-01, Security</t>
  </si>
  <si>
    <t>Audit entries exist.</t>
  </si>
  <si>
    <t>Attempt to modify audit record.</t>
  </si>
  <si>
    <t>Rejected. Audit is read-only.</t>
  </si>
  <si>
    <t>Audit records cannot be modified.</t>
  </si>
  <si>
    <t>DEP-TC-148</t>
  </si>
  <si>
    <t>Audit retained per policy</t>
  </si>
  <si>
    <t>AUDIT-01, Policy</t>
  </si>
  <si>
    <t>Old dependency audit entries.</t>
  </si>
  <si>
    <t>Check retention after policy period.</t>
  </si>
  <si>
    <t>Retained per data retention policy.</t>
  </si>
  <si>
    <t>DEP-TC-149</t>
  </si>
  <si>
    <t>Audit export includes dependencies</t>
  </si>
  <si>
    <t>AUDIT-01, Export</t>
  </si>
  <si>
    <t>Release with dependency history.</t>
  </si>
  <si>
    <t>Export full audit.</t>
  </si>
  <si>
    <t>Dependency events included in export.</t>
  </si>
  <si>
    <t>DEP-TC-150</t>
  </si>
  <si>
    <t>System-generated events identified</t>
  </si>
  <si>
    <t>Cascade updates dependency.</t>
  </si>
  <si>
    <t>View audit.</t>
  </si>
  <si>
    <t>System user identified for automated changes.</t>
  </si>
  <si>
    <t>(System) Dependency status updated via cascade.</t>
  </si>
  <si>
    <t>LV-TC-001</t>
  </si>
  <si>
    <t>1. Leave Record Sync (AV-12)</t>
  </si>
  <si>
    <t>Daily HR sync imports new leave records</t>
  </si>
  <si>
    <t>HR system has new approved leave entry.</t>
  </si>
  <si>
    <t>Nightly sync job runs.</t>
  </si>
  <si>
    <t>Leave record created in ReleaseDesk.</t>
  </si>
  <si>
    <t>LV-TC-002</t>
  </si>
  <si>
    <t>Sync updates modified leave records</t>
  </si>
  <si>
    <t>Leave dates changed in HR system.</t>
  </si>
  <si>
    <t>Leave record updated in ReleaseDesk.</t>
  </si>
  <si>
    <t>LV-TC-003</t>
  </si>
  <si>
    <t>Sync removes cancelled leave</t>
  </si>
  <si>
    <t>Leave cancelled in HR system.</t>
  </si>
  <si>
    <t>Leave record removed/marked inactive.</t>
  </si>
  <si>
    <t>LV-TC-004</t>
  </si>
  <si>
    <t>Sync handles multiple leave entries per user</t>
  </si>
  <si>
    <t>User has 3 approved leave periods.</t>
  </si>
  <si>
    <t>All 3 leave records imported correctly.</t>
  </si>
  <si>
    <t>LV-TC-005</t>
  </si>
  <si>
    <t>Sync handles overlapping leave dates</t>
  </si>
  <si>
    <t>User has overlapping leave entries in HR.</t>
  </si>
  <si>
    <t>Entries merged or flagged for review.</t>
  </si>
  <si>
    <t>LV-TC-006</t>
  </si>
  <si>
    <t>Sync failure does not corrupt existing data</t>
  </si>
  <si>
    <t>AV-12, Error</t>
  </si>
  <si>
    <t>Sync job fails mid-way.</t>
  </si>
  <si>
    <t>Job restarts.</t>
  </si>
  <si>
    <t>No duplicate or corrupt records.</t>
  </si>
  <si>
    <t>Sync resumed from checkpoint.</t>
  </si>
  <si>
    <t>LV-TC-007</t>
  </si>
  <si>
    <t>Sync handles HR system timeout</t>
  </si>
  <si>
    <t>HR system times out during sync.</t>
  </si>
  <si>
    <t>Sync job retries.</t>
  </si>
  <si>
    <t>Graceful retry. Data integrity maintained.</t>
  </si>
  <si>
    <t>LV-TC-008</t>
  </si>
  <si>
    <t>Sync audit trail created</t>
  </si>
  <si>
    <t>AV-12, AUDIT</t>
  </si>
  <si>
    <t>Sync job completes.</t>
  </si>
  <si>
    <t>View sync logs.</t>
  </si>
  <si>
    <t>Audit shows records imported/updated/removed.</t>
  </si>
  <si>
    <t>LV-TC-009</t>
  </si>
  <si>
    <t>Sync handles partial day leave</t>
  </si>
  <si>
    <t>User has half-day leave in HR.</t>
  </si>
  <si>
    <t>Partial day leave imported with start/end times.</t>
  </si>
  <si>
    <t>LV-TC-010</t>
  </si>
  <si>
    <t>Sync imports leave type correctly</t>
  </si>
  <si>
    <t>HR has leave types: Annual, Sick, Personal.</t>
  </si>
  <si>
    <t>Leave type preserved in ReleaseDesk.</t>
  </si>
  <si>
    <t>LV-TC-011</t>
  </si>
  <si>
    <t>Sync handles unknown user gracefully</t>
  </si>
  <si>
    <t>HR has leave for user not in ReleaseDesk.</t>
  </si>
  <si>
    <t>Record skipped or user created if auto-provision enabled.</t>
  </si>
  <si>
    <t>LV-TC-012</t>
  </si>
  <si>
    <t>Sync handles future leave dates</t>
  </si>
  <si>
    <t>Leave scheduled 3 months ahead.</t>
  </si>
  <si>
    <t>Future leave imported correctly.</t>
  </si>
  <si>
    <t>LV-TC-013</t>
  </si>
  <si>
    <t>Sync handles past leave dates</t>
  </si>
  <si>
    <t>Leave taken last week.</t>
  </si>
  <si>
    <t>Historical leave imported for reporting.</t>
  </si>
  <si>
    <t>LV-TC-014</t>
  </si>
  <si>
    <t>Large sync (1000+ records) performs well</t>
  </si>
  <si>
    <t>AV-12, Performance</t>
  </si>
  <si>
    <t>HR exports 1000 leave records.</t>
  </si>
  <si>
    <t>Sync completes within acceptable time.</t>
  </si>
  <si>
    <t>LV-TC-015</t>
  </si>
  <si>
    <t>Sync runs on schedule</t>
  </si>
  <si>
    <t>Sync scheduled for 2 AM.</t>
  </si>
  <si>
    <t>Clock reaches 2 AM.</t>
  </si>
  <si>
    <t>Sync job triggers automatically.</t>
  </si>
  <si>
    <t>LV-TC-016</t>
  </si>
  <si>
    <t>Manual sync trigger available</t>
  </si>
  <si>
    <t>AV-12, Admin</t>
  </si>
  <si>
    <t>Admin needs immediate sync.</t>
  </si>
  <si>
    <t>Admin clicks manual sync.</t>
  </si>
  <si>
    <t>Sync runs immediately.</t>
  </si>
  <si>
    <t>LV-TC-017</t>
  </si>
  <si>
    <t>2. Owner On Leave Warning (VR-10)</t>
  </si>
  <si>
    <t>Warning when owner on leave during release window</t>
  </si>
  <si>
    <t>RM John has leave 15-20 Jan. Release window 10-25 Jan.</t>
  </si>
  <si>
    <t>Assign John as Release Owner.</t>
  </si>
  <si>
    <t>Warning displayed. Suggest backup owner.</t>
  </si>
  <si>
    <t>Release Owner John Smith is on leave 15-20 Jan during release window.</t>
  </si>
  <si>
    <t>LV-TC-018</t>
  </si>
  <si>
    <t>No warning when owner available</t>
  </si>
  <si>
    <t>RM John has no leave during release window.</t>
  </si>
  <si>
    <t>No warning. Assignment accepted.</t>
  </si>
  <si>
    <t>LV-TC-019</t>
  </si>
  <si>
    <t>Warning when leave starts mid-release</t>
  </si>
  <si>
    <t>Release window 10-25 Jan. Owner leave starts 20 Jan.</t>
  </si>
  <si>
    <t>View release.</t>
  </si>
  <si>
    <t>Warning shown for partial overlap.</t>
  </si>
  <si>
    <t>Release Owner will be on leave from 20 Jan during release window.</t>
  </si>
  <si>
    <t>LV-TC-020</t>
  </si>
  <si>
    <t>Warning when leave ends mid-release</t>
  </si>
  <si>
    <t>Release window 10-25 Jan. Owner leave 5-15 Jan.</t>
  </si>
  <si>
    <t>Release Owner on leave until 15 Jan during release window.</t>
  </si>
  <si>
    <t>LV-TC-021</t>
  </si>
  <si>
    <t>Warning persists until resolved</t>
  </si>
  <si>
    <t>Owner on leave warning active.</t>
  </si>
  <si>
    <t>Navigate away and return.</t>
  </si>
  <si>
    <t>Warning still displayed.</t>
  </si>
  <si>
    <t>LV-TC-022</t>
  </si>
  <si>
    <t>Warning clears when owner changed</t>
  </si>
  <si>
    <t>Warning active for owner on leave.</t>
  </si>
  <si>
    <t>Change to available owner.</t>
  </si>
  <si>
    <t>Warning cleared.</t>
  </si>
  <si>
    <t>LV-TC-023</t>
  </si>
  <si>
    <t>Warning clears when leave cancelled</t>
  </si>
  <si>
    <t>VR-10, CASC-09</t>
  </si>
  <si>
    <t>Leave cancelled in HR. Sync runs.</t>
  </si>
  <si>
    <t>Warning cleared after sync.</t>
  </si>
  <si>
    <t>LV-TC-024</t>
  </si>
  <si>
    <t>Backup owner suggested is available</t>
  </si>
  <si>
    <t>Owner on leave. Team has backup RM.</t>
  </si>
  <si>
    <t>View warning details.</t>
  </si>
  <si>
    <t>Suggested backup is not on leave.</t>
  </si>
  <si>
    <t>Suggested backup: Jane Doe (available).</t>
  </si>
  <si>
    <t>LV-TC-025</t>
  </si>
  <si>
    <t>No backup suggested if none available</t>
  </si>
  <si>
    <t>Owner on leave. All team RMs also on leave.</t>
  </si>
  <si>
    <t>Warning escalated. No backup available.</t>
  </si>
  <si>
    <t>No available backup owner. Escalate to management.</t>
  </si>
  <si>
    <t>LV-TC-026</t>
  </si>
  <si>
    <t>Warning triggered on release date change</t>
  </si>
  <si>
    <t>Owner available. Release dates changed to overlap leave.</t>
  </si>
  <si>
    <t>Save new release dates.</t>
  </si>
  <si>
    <t>Warning now displayed.</t>
  </si>
  <si>
    <t>Release Owner on leave during updated window.</t>
  </si>
  <si>
    <t>LV-TC-027</t>
  </si>
  <si>
    <t>Warning on single-day overlap</t>
  </si>
  <si>
    <t>Release window 10-25 Jan. Owner leave only 15 Jan.</t>
  </si>
  <si>
    <t>Warning shown for single day overlap.</t>
  </si>
  <si>
    <t>Release Owner on leave 15 Jan during release window.</t>
  </si>
  <si>
    <t>LV-TC-028</t>
  </si>
  <si>
    <t>Warning considers half-day leave</t>
  </si>
  <si>
    <t>Owner has half-day leave PM on 15 Jan.</t>
  </si>
  <si>
    <t>Deploy scheduled 15 Jan PM.</t>
  </si>
  <si>
    <t>Warning shown for time overlap.</t>
  </si>
  <si>
    <t>Release Owner on half-day leave during deployment.</t>
  </si>
  <si>
    <t>LV-TC-029</t>
  </si>
  <si>
    <t>Warning does not block assignment</t>
  </si>
  <si>
    <t>Owner on leave during release.</t>
  </si>
  <si>
    <t>Complete owner assignment.</t>
  </si>
  <si>
    <t>Assignment accepted with warning. Not blocked.</t>
  </si>
  <si>
    <t>LV-TC-030</t>
  </si>
  <si>
    <t>Warning visible on dashboard</t>
  </si>
  <si>
    <t>VR-10, UI</t>
  </si>
  <si>
    <t>Release has owner on leave warning.</t>
  </si>
  <si>
    <t>Warning icon/indicator visible.</t>
  </si>
  <si>
    <t>LV-TC-031</t>
  </si>
  <si>
    <t>Warning in release summary report</t>
  </si>
  <si>
    <t>VR-10, Export</t>
  </si>
  <si>
    <t>Generate release report.</t>
  </si>
  <si>
    <t>Warning included in report.</t>
  </si>
  <si>
    <t>LV-TC-032</t>
  </si>
  <si>
    <t>Multiple overlapping leave periods</t>
  </si>
  <si>
    <t>Owner has leave 10-12 Jan AND 18-20 Jan. Release 5-25 Jan.</t>
  </si>
  <si>
    <t>Warning shows both leave periods.</t>
  </si>
  <si>
    <t>Release Owner on leave: 10-12 Jan, 18-20 Jan.</t>
  </si>
  <si>
    <t>LV-TC-033</t>
  </si>
  <si>
    <t>3. Approver On Leave Warning (VR-11)</t>
  </si>
  <si>
    <t>Warning when CAB approver on leave at CAB date</t>
  </si>
  <si>
    <t>Required approver on leave 15 Jan. CAB Date = 15 Jan.</t>
  </si>
  <si>
    <t>Set CAB Date.</t>
  </si>
  <si>
    <t>Warning displayed. Suggest delegate.</t>
  </si>
  <si>
    <t>CAB Approver Sarah Lee is on leave at CAB Date.</t>
  </si>
  <si>
    <t>LV-TC-034</t>
  </si>
  <si>
    <t>No warning when approver available at CAB</t>
  </si>
  <si>
    <t>Required approver available on CAB Date.</t>
  </si>
  <si>
    <t>No warning. CAB Date accepted.</t>
  </si>
  <si>
    <t>LV-TC-035</t>
  </si>
  <si>
    <t>Warning when multiple approvers on leave</t>
  </si>
  <si>
    <t>2 of 3 required approvers on leave at CAB.</t>
  </si>
  <si>
    <t>Warning lists both unavailable approvers.</t>
  </si>
  <si>
    <t>CAB Approvers unavailable: Sarah Lee, Mike Chen.</t>
  </si>
  <si>
    <t>LV-TC-036</t>
  </si>
  <si>
    <t>Warning triggered when approver changed</t>
  </si>
  <si>
    <t>New approver assigned who is on leave at CAB.</t>
  </si>
  <si>
    <t>Assign new approver.</t>
  </si>
  <si>
    <t>Warning displayed for new approver.</t>
  </si>
  <si>
    <t>New approver on leave at CAB Date.</t>
  </si>
  <si>
    <t>LV-TC-037</t>
  </si>
  <si>
    <t>Warning cleared when CAB date changed</t>
  </si>
  <si>
    <t>Warning active. CAB moved to date when approver available.</t>
  </si>
  <si>
    <t>Change CAB Date.</t>
  </si>
  <si>
    <t>LV-TC-038</t>
  </si>
  <si>
    <t>Delegate approver suggested</t>
  </si>
  <si>
    <t>Approver on leave. Has configured delegate.</t>
  </si>
  <si>
    <t>Delegate suggested.</t>
  </si>
  <si>
    <t>Suggested delegate: Tom Wilson (available).</t>
  </si>
  <si>
    <t>LV-TC-039</t>
  </si>
  <si>
    <t>No delegate if none configured</t>
  </si>
  <si>
    <t>Approver on leave. No delegate configured.</t>
  </si>
  <si>
    <t>No delegate suggestion. Escalation recommended.</t>
  </si>
  <si>
    <t>No delegate configured. Contact CAB coordinator.</t>
  </si>
  <si>
    <t>LV-TC-040</t>
  </si>
  <si>
    <t>Warning for each required approver role</t>
  </si>
  <si>
    <t>Release requires Tech Lead + Business approver. Both on leave.</t>
  </si>
  <si>
    <t>Warnings for both roles.</t>
  </si>
  <si>
    <t>Tech Lead and Business approvers unavailable.</t>
  </si>
  <si>
    <t>LV-TC-041</t>
  </si>
  <si>
    <t>Warning does not block CAB date setting</t>
  </si>
  <si>
    <t>Approver on leave at CAB.</t>
  </si>
  <si>
    <t>Complete CAB Date setting.</t>
  </si>
  <si>
    <t>Date accepted with warning. Not blocked.</t>
  </si>
  <si>
    <t>LV-TC-042</t>
  </si>
  <si>
    <t>Warning recalculated on leave sync</t>
  </si>
  <si>
    <t>VR-11, CASC-09</t>
  </si>
  <si>
    <t>No warning. Approver leave approved in HR.</t>
  </si>
  <si>
    <t>LV-TC-043</t>
  </si>
  <si>
    <t>Warning considers CAB time, not just date</t>
  </si>
  <si>
    <t>CAB at 10 AM. Approver on half-day leave PM.</t>
  </si>
  <si>
    <t>Set CAB time.</t>
  </si>
  <si>
    <t>No warning. Approver available at CAB time.</t>
  </si>
  <si>
    <t>LV-TC-044</t>
  </si>
  <si>
    <t>Warning for optional vs required approvers</t>
  </si>
  <si>
    <t>Required approver available. Optional approver on leave.</t>
  </si>
  <si>
    <t>View warnings.</t>
  </si>
  <si>
    <t>Warning only for optional (info level).</t>
  </si>
  <si>
    <t>Optional approver on leave (FYI).</t>
  </si>
  <si>
    <t>LV-TC-045</t>
  </si>
  <si>
    <t>Email notification with leave warning</t>
  </si>
  <si>
    <t>VR-11, NOTIF</t>
  </si>
  <si>
    <t>CAB date set with approver on leave.</t>
  </si>
  <si>
    <t>Email sent to RM.</t>
  </si>
  <si>
    <t>Email includes approver availability warning.</t>
  </si>
  <si>
    <t>LV-TC-046</t>
  </si>
  <si>
    <t>Dashboard shows approver availability</t>
  </si>
  <si>
    <t>VR-11, UI</t>
  </si>
  <si>
    <t>Release approaching CAB with approver issues.</t>
  </si>
  <si>
    <t>View dashboard.</t>
  </si>
  <si>
    <t>Availability indicator shown.</t>
  </si>
  <si>
    <t>LV-TC-047</t>
  </si>
  <si>
    <t>Approver delegate on leave too</t>
  </si>
  <si>
    <t>Approver and their delegate both on leave.</t>
  </si>
  <si>
    <t>View warning.</t>
  </si>
  <si>
    <t>Both listed. Recommend CAB date change.</t>
  </si>
  <si>
    <t>Approver and delegate both unavailable. Consider rescheduling.</t>
  </si>
  <si>
    <t>LV-TC-048</t>
  </si>
  <si>
    <t>Warning persists through status changes</t>
  </si>
  <si>
    <t>Warning active. Release advances to Pending CAB.</t>
  </si>
  <si>
    <t>Warning still displayed until CAB Date passed.</t>
  </si>
  <si>
    <t>LV-TC-049</t>
  </si>
  <si>
    <t>4. Env Owner On Leave Warning (VR-12)</t>
  </si>
  <si>
    <t>Warning when env owner on leave during booking</t>
  </si>
  <si>
    <t>Env owner on leave 15-17 Jan. Booking 15-16 Jan.</t>
  </si>
  <si>
    <t>Book environment slot.</t>
  </si>
  <si>
    <t>Warning displayed. Suggest escalation contact.</t>
  </si>
  <si>
    <t>Environment owner on leave during booking. Escalation: ops-team@...</t>
  </si>
  <si>
    <t>LV-TC-050</t>
  </si>
  <si>
    <t>No warning when env owner available</t>
  </si>
  <si>
    <t>Env owner available during booking slot.</t>
  </si>
  <si>
    <t>No warning. Booking accepted.</t>
  </si>
  <si>
    <t>LV-TC-051</t>
  </si>
  <si>
    <t>Warning for partial leave overlap</t>
  </si>
  <si>
    <t>Env owner leave ends mid-booking slot.</t>
  </si>
  <si>
    <t>Warning shows partial overlap.</t>
  </si>
  <si>
    <t>Environment owner on leave until 2 PM during booking.</t>
  </si>
  <si>
    <t>LV-TC-052</t>
  </si>
  <si>
    <t>Escalation contact provided</t>
  </si>
  <si>
    <t>Env owner on leave. Escalation contact configured.</t>
  </si>
  <si>
    <t>Escalation contact displayed.</t>
  </si>
  <si>
    <t>Escalation contact: John Doe (john.doe@company.com).</t>
  </si>
  <si>
    <t>LV-TC-053</t>
  </si>
  <si>
    <t>No escalation contact configured</t>
  </si>
  <si>
    <t>Env owner on leave. No escalation configured.</t>
  </si>
  <si>
    <t>Warning recommends contacting IT support.</t>
  </si>
  <si>
    <t>No escalation contact configured. Contact IT support.</t>
  </si>
  <si>
    <t>LV-TC-054</t>
  </si>
  <si>
    <t>Warning does not block booking</t>
  </si>
  <si>
    <t>Env owner on leave during slot.</t>
  </si>
  <si>
    <t>Complete booking.</t>
  </si>
  <si>
    <t>Booking accepted with warning. Not blocked.</t>
  </si>
  <si>
    <t>LV-TC-055</t>
  </si>
  <si>
    <t>VR-12, CASC-09</t>
  </si>
  <si>
    <t>Booking exists. Env owner leave approved in HR.</t>
  </si>
  <si>
    <t>Warning now displayed on existing booking.</t>
  </si>
  <si>
    <t>LV-TC-056</t>
  </si>
  <si>
    <t>Warning cleared when booking dates changed</t>
  </si>
  <si>
    <t>Warning active. Booking moved to non-leave period.</t>
  </si>
  <si>
    <t>Update booking dates.</t>
  </si>
  <si>
    <t>LV-TC-057</t>
  </si>
  <si>
    <t>Warning for multiple environments</t>
  </si>
  <si>
    <t>Release books 3 environments. 2 owners on leave.</t>
  </si>
  <si>
    <t>View release environment bookings.</t>
  </si>
  <si>
    <t>Warnings shown for both affected bookings.</t>
  </si>
  <si>
    <t>LV-TC-058</t>
  </si>
  <si>
    <t>Notification to RM about env owner leave</t>
  </si>
  <si>
    <t>VR-12, NOTIF</t>
  </si>
  <si>
    <t>Booking created with env owner on leave.</t>
  </si>
  <si>
    <t>Email includes environment owner availability warning.</t>
  </si>
  <si>
    <t>LV-TC-059</t>
  </si>
  <si>
    <t>Warning visible in deployment checklist</t>
  </si>
  <si>
    <t>VR-12, UI</t>
  </si>
  <si>
    <t>Release ready for deployment. Env owner on leave.</t>
  </si>
  <si>
    <t>View deployment checklist.</t>
  </si>
  <si>
    <t>Warning included in pre-deployment checks.</t>
  </si>
  <si>
    <t>LV-TC-060</t>
  </si>
  <si>
    <t>Multiple env owners for shared environment</t>
  </si>
  <si>
    <t>Environment has 2 co-owners. One on leave.</t>
  </si>
  <si>
    <t>Book environment.</t>
  </si>
  <si>
    <t>Warning if primary owner on leave. Info if secondary.</t>
  </si>
  <si>
    <t>Primary environment owner on leave.</t>
  </si>
  <si>
    <t>LV-TC-061</t>
  </si>
  <si>
    <t>Warning severity based on leave duration</t>
  </si>
  <si>
    <t>Env owner on leave for entire booking vs partial.</t>
  </si>
  <si>
    <t>Longer overlap = higher severity warning.</t>
  </si>
  <si>
    <t>LV-TC-062</t>
  </si>
  <si>
    <t>Warning for weekend/holiday booking</t>
  </si>
  <si>
    <t>Booking on weekend. Env owner doesn't work weekends.</t>
  </si>
  <si>
    <t>Book weekend slot.</t>
  </si>
  <si>
    <t>Warning shown (standard availability check).</t>
  </si>
  <si>
    <t>Environment owner unavailable during weekend booking.</t>
  </si>
  <si>
    <t>LV-TC-063</t>
  </si>
  <si>
    <t>Leave type affects warning severity</t>
  </si>
  <si>
    <t>Env owner on sick leave (unplanned) vs annual leave.</t>
  </si>
  <si>
    <t>Sick leave may indicate no backup prepared.</t>
  </si>
  <si>
    <t>Unplanned leave - verify backup support available.</t>
  </si>
  <si>
    <t>LV-TC-064</t>
  </si>
  <si>
    <t>Warning audit trail recorded</t>
  </si>
  <si>
    <t>VR-12, AUDIT</t>
  </si>
  <si>
    <t>Booking with env owner leave warning.</t>
  </si>
  <si>
    <t>Warning generation logged.</t>
  </si>
  <si>
    <t>LV-TC-065</t>
  </si>
  <si>
    <t>5. Cascade Availability (CASC-09)</t>
  </si>
  <si>
    <t>Leave create triggers availability recalculation</t>
  </si>
  <si>
    <t>User is RM for 3 releases.</t>
  </si>
  <si>
    <t>Leave record created for user.</t>
  </si>
  <si>
    <t>All 3 releases recalculate owner availability warnings.</t>
  </si>
  <si>
    <t>LV-TC-066</t>
  </si>
  <si>
    <t>Leave modify triggers availability recalculation</t>
  </si>
  <si>
    <t>User has leave 15-17 Jan. Changes to 15-20 Jan.</t>
  </si>
  <si>
    <t>Leave record modified.</t>
  </si>
  <si>
    <t>Affected releases recalculate warnings.</t>
  </si>
  <si>
    <t>LV-TC-067</t>
  </si>
  <si>
    <t>Leave delete clears warnings</t>
  </si>
  <si>
    <t>User has leave causing warnings. Leave cancelled.</t>
  </si>
  <si>
    <t>Leave record deleted.</t>
  </si>
  <si>
    <t>Warnings cleared on all affected releases.</t>
  </si>
  <si>
    <t>LV-TC-068</t>
  </si>
  <si>
    <t>Cascade handles large number of affected releases</t>
  </si>
  <si>
    <t>CASC-09, Performance</t>
  </si>
  <si>
    <t>User is owner/approver for 50 releases.</t>
  </si>
  <si>
    <t>Leave record created.</t>
  </si>
  <si>
    <t>All 50 releases updated within acceptable time.</t>
  </si>
  <si>
    <t>LV-TC-069</t>
  </si>
  <si>
    <t>Cascade recalculates for multiple roles</t>
  </si>
  <si>
    <t>User is RM on Release A, Approver on Release B.</t>
  </si>
  <si>
    <t>Both releases recalculate relevant warnings.</t>
  </si>
  <si>
    <t>LV-TC-070</t>
  </si>
  <si>
    <t>Cascade only affects overlapping releases</t>
  </si>
  <si>
    <t>User has leave 15-17 Jan. Some releases don't overlap.</t>
  </si>
  <si>
    <t>Only overlapping releases show warnings.</t>
  </si>
  <si>
    <t>LV-TC-071</t>
  </si>
  <si>
    <t>Cascade audit trail on affected releases</t>
  </si>
  <si>
    <t>CASC-09, AUDIT</t>
  </si>
  <si>
    <t>Leave triggers warning on multiple releases.</t>
  </si>
  <si>
    <t>View release audit trails.</t>
  </si>
  <si>
    <t>Leave sync event logged on each affected release.</t>
  </si>
  <si>
    <t>LV-TC-072</t>
  </si>
  <si>
    <t>Cascade handles user with no releases</t>
  </si>
  <si>
    <t>User is not assigned to any releases.</t>
  </si>
  <si>
    <t>No cascade needed. No errors.</t>
  </si>
  <si>
    <t>LV-TC-073</t>
  </si>
  <si>
    <t>Cascade handles deleted releases gracefully</t>
  </si>
  <si>
    <t>User assigned to release that's deleted during cascade.</t>
  </si>
  <si>
    <t>Leave triggers cascade.</t>
  </si>
  <si>
    <t>Cascade skips deleted release. No errors.</t>
  </si>
  <si>
    <t>LV-TC-074</t>
  </si>
  <si>
    <t>Cascade notification batching</t>
  </si>
  <si>
    <t>CASC-09, NOTIF</t>
  </si>
  <si>
    <t>Leave affects 10 releases. All need notifications.</t>
  </si>
  <si>
    <t>Leave created.</t>
  </si>
  <si>
    <t>Single batch notification or summarized email.</t>
  </si>
  <si>
    <t>LV-TC-075</t>
  </si>
  <si>
    <t>Cascade timing recorded</t>
  </si>
  <si>
    <t>Cascade executes.</t>
  </si>
  <si>
    <t>View system logs.</t>
  </si>
  <si>
    <t>Cascade start/end times recorded.</t>
  </si>
  <si>
    <t>LV-TC-076</t>
  </si>
  <si>
    <t>CASC-09, Error</t>
  </si>
  <si>
    <t>Cascade fails mid-way.</t>
  </si>
  <si>
    <t>Partial updates rolled back or flagged for retry.</t>
  </si>
  <si>
    <t>LV-TC-077</t>
  </si>
  <si>
    <t>Cascade handles concurrent leave changes</t>
  </si>
  <si>
    <t>CASC-09, Concurrency</t>
  </si>
  <si>
    <t>Two leave records modified simultaneously.</t>
  </si>
  <si>
    <t>Both cascades execute.</t>
  </si>
  <si>
    <t>No conflicts. Both complete correctly.</t>
  </si>
  <si>
    <t>LV-TC-078</t>
  </si>
  <si>
    <t>Cascade respects release status</t>
  </si>
  <si>
    <t>Leave affects Deployed release (closed).</t>
  </si>
  <si>
    <t>No warning needed for completed releases.</t>
  </si>
  <si>
    <t>LV-TC-079</t>
  </si>
  <si>
    <t>Cascade priority for in-flight releases</t>
  </si>
  <si>
    <t>Leave affects Draft and Deploying releases.</t>
  </si>
  <si>
    <t>Deploying release flagged with higher priority.</t>
  </si>
  <si>
    <t>LV-TC-080</t>
  </si>
  <si>
    <t>Cascade handles timezone differences</t>
  </si>
  <si>
    <t>User leave in one timezone. Releases in another.</t>
  </si>
  <si>
    <t>Overlap calculated correctly with timezone conversion.</t>
  </si>
  <si>
    <t>LV-TC-081</t>
  </si>
  <si>
    <t>6. Leave Record Management</t>
  </si>
  <si>
    <t>View own leave records</t>
  </si>
  <si>
    <t>User has leave records in system.</t>
  </si>
  <si>
    <t>User views their leave tab.</t>
  </si>
  <si>
    <t>Own leave records displayed.</t>
  </si>
  <si>
    <t>LV-TC-082</t>
  </si>
  <si>
    <t>Cannot manually create leave record</t>
  </si>
  <si>
    <t>User attempts to create leave manually.</t>
  </si>
  <si>
    <t>Click Add Leave.</t>
  </si>
  <si>
    <t>Blocked. Leave synced from HR only.</t>
  </si>
  <si>
    <t>Leave records are imported from HR system.</t>
  </si>
  <si>
    <t>LV-TC-083</t>
  </si>
  <si>
    <t>Cannot manually modify leave record</t>
  </si>
  <si>
    <t>User attempts to edit leave dates.</t>
  </si>
  <si>
    <t>Edit leave record.</t>
  </si>
  <si>
    <t>Blocked. Leave managed by HR.</t>
  </si>
  <si>
    <t>Leave records cannot be modified manually.</t>
  </si>
  <si>
    <t>LV-TC-084</t>
  </si>
  <si>
    <t>Cannot manually delete leave record</t>
  </si>
  <si>
    <t>User attempts to delete leave.</t>
  </si>
  <si>
    <t>Delete leave record.</t>
  </si>
  <si>
    <t>Leave records cannot be deleted manually.</t>
  </si>
  <si>
    <t>LV-TC-085</t>
  </si>
  <si>
    <t>Admin can view all leave records</t>
  </si>
  <si>
    <t>Admin, Permissions</t>
  </si>
  <si>
    <t>Admin user.</t>
  </si>
  <si>
    <t>View leave records for all users.</t>
  </si>
  <si>
    <t>All leave records accessible.</t>
  </si>
  <si>
    <t>LV-TC-086</t>
  </si>
  <si>
    <t>Manager can view team leave records</t>
  </si>
  <si>
    <t>User is team manager.</t>
  </si>
  <si>
    <t>View team leave records.</t>
  </si>
  <si>
    <t>Team members' leave visible.</t>
  </si>
  <si>
    <t>LV-TC-087</t>
  </si>
  <si>
    <t>Cannot view other users' leave without permission</t>
  </si>
  <si>
    <t>User is not manager or admin.</t>
  </si>
  <si>
    <t>Attempt to view colleague's leave.</t>
  </si>
  <si>
    <t>Blocked. Insufficient permissions.</t>
  </si>
  <si>
    <t>You don't have permission to view this user's leave.</t>
  </si>
  <si>
    <t>LV-TC-088</t>
  </si>
  <si>
    <t>Leave calendar view available</t>
  </si>
  <si>
    <t>Users have leave records.</t>
  </si>
  <si>
    <t>Open leave calendar view.</t>
  </si>
  <si>
    <t>Calendar shows leave periods visually.</t>
  </si>
  <si>
    <t>LV-TC-089</t>
  </si>
  <si>
    <t>Leave conflict highlighting</t>
  </si>
  <si>
    <t>Multiple team members on leave same period.</t>
  </si>
  <si>
    <t>View team calendar.</t>
  </si>
  <si>
    <t>Overlapping leave highlighted.</t>
  </si>
  <si>
    <t>LV-TC-090</t>
  </si>
  <si>
    <t>Leave export functionality</t>
  </si>
  <si>
    <t>Leave records exist.</t>
  </si>
  <si>
    <t>Export leave report.</t>
  </si>
  <si>
    <t>CSV/Excel export generated.</t>
  </si>
  <si>
    <t>LV-TC-091</t>
  </si>
  <si>
    <t>Leave search/filter by date range</t>
  </si>
  <si>
    <t>Multiple leave records.</t>
  </si>
  <si>
    <t>Filter by date range.</t>
  </si>
  <si>
    <t>Only matching leave displayed.</t>
  </si>
  <si>
    <t>LV-TC-092</t>
  </si>
  <si>
    <t>Leave search/filter by type</t>
  </si>
  <si>
    <t>Leave of different types exist.</t>
  </si>
  <si>
    <t>Filter by type (Annual, Sick).</t>
  </si>
  <si>
    <t>LV-TC-093</t>
  </si>
  <si>
    <t>Leave search/filter by user</t>
  </si>
  <si>
    <t>UI, Permissions</t>
  </si>
  <si>
    <t>Admin viewing leave records.</t>
  </si>
  <si>
    <t>Filter by specific user.</t>
  </si>
  <si>
    <t>Only that user's leave displayed.</t>
  </si>
  <si>
    <t>LV-TC-094</t>
  </si>
  <si>
    <t>Leave record detail view</t>
  </si>
  <si>
    <t>Leave record exists.</t>
  </si>
  <si>
    <t>Click on leave record.</t>
  </si>
  <si>
    <t>Detail view shows all fields.</t>
  </si>
  <si>
    <t>LV-TC-095</t>
  </si>
  <si>
    <t>Leave type display (Annual, Sick, etc.)</t>
  </si>
  <si>
    <t>Different leave types exist.</t>
  </si>
  <si>
    <t>View leave records.</t>
  </si>
  <si>
    <t>Leave type clearly displayed.</t>
  </si>
  <si>
    <t>LV-TC-096</t>
  </si>
  <si>
    <t>Leave duration calculation display</t>
  </si>
  <si>
    <t>View leave record.</t>
  </si>
  <si>
    <t>Duration calculated and displayed.</t>
  </si>
  <si>
    <t>LV-TC-097</t>
  </si>
  <si>
    <t>7. Edge Cases</t>
  </si>
  <si>
    <t>Leave spanning year boundary</t>
  </si>
  <si>
    <t>Leave from 28 Dec to 3 Jan.</t>
  </si>
  <si>
    <t>Leave imported correctly across year boundary.</t>
  </si>
  <si>
    <t>LV-TC-098</t>
  </si>
  <si>
    <t>Leave on leap year date (29 Feb)</t>
  </si>
  <si>
    <t>Leave on 29 Feb.</t>
  </si>
  <si>
    <t>Leave date handled correctly.</t>
  </si>
  <si>
    <t>LV-TC-099</t>
  </si>
  <si>
    <t>Very long leave period (6+ months)</t>
  </si>
  <si>
    <t>Leave for 6 months (sabbatical).</t>
  </si>
  <si>
    <t>Long leave imported. Affects multiple releases.</t>
  </si>
  <si>
    <t>LV-TC-100</t>
  </si>
  <si>
    <t>Single-day leave</t>
  </si>
  <si>
    <t>Leave for exactly one day.</t>
  </si>
  <si>
    <t>Single day leave handled correctly.</t>
  </si>
  <si>
    <t>LV-TC-101</t>
  </si>
  <si>
    <t>Concurrent leave record changes in HR</t>
  </si>
  <si>
    <t>AV-12, Concurrency</t>
  </si>
  <si>
    <t>HR admin modifies two users' leave simultaneously.</t>
  </si>
  <si>
    <t>Both changes captured correctly.</t>
  </si>
  <si>
    <t>LV-TC-102</t>
  </si>
  <si>
    <t>Leave for inactive/terminated user</t>
  </si>
  <si>
    <t>HR has leave for terminated employee.</t>
  </si>
  <si>
    <t>Record skipped or archived appropriately.</t>
  </si>
  <si>
    <t>LV-TC-103</t>
  </si>
  <si>
    <t>Leave with retroactive approval</t>
  </si>
  <si>
    <t>Leave taken last week, approved today.</t>
  </si>
  <si>
    <t>Past leave imported with correct dates.</t>
  </si>
  <si>
    <t>LV-TC-104</t>
  </si>
  <si>
    <t>Leave timezone edge case</t>
  </si>
  <si>
    <t>User in different timezone. Leave crosses midnight.</t>
  </si>
  <si>
    <t>Dates calculated correctly for user's timezone.</t>
  </si>
  <si>
    <t>LV-TC-105</t>
  </si>
  <si>
    <t>Duplicate leave records in HR</t>
  </si>
  <si>
    <t>HR has duplicate entries for same leave.</t>
  </si>
  <si>
    <t>Duplicates merged or one ignored.</t>
  </si>
  <si>
    <t>LV-TC-106</t>
  </si>
  <si>
    <t>Leave affects 100+ releases</t>
  </si>
  <si>
    <t>Key user on leave affects many releases.</t>
  </si>
  <si>
    <t>All releases processed within acceptable time.</t>
  </si>
  <si>
    <t>LV-TC-107</t>
  </si>
  <si>
    <t>Leave for user with multiple roles</t>
  </si>
  <si>
    <t>VR-10, VR-11, VR-12</t>
  </si>
  <si>
    <t>User is RM, Approver, and Env Owner.</t>
  </si>
  <si>
    <t>User goes on leave.</t>
  </si>
  <si>
    <t>All three warning types triggered appropriately.</t>
  </si>
  <si>
    <t>LV-TC-108</t>
  </si>
  <si>
    <t>Leave cancelled day-of</t>
  </si>
  <si>
    <t>AV-12, CASC-09</t>
  </si>
  <si>
    <t>Leave cancelled on the actual leave date.</t>
  </si>
  <si>
    <t>Sync runs same day.</t>
  </si>
  <si>
    <t>Leave removed. Warnings cleared immediately.</t>
  </si>
  <si>
    <t>LV-TC-109</t>
  </si>
  <si>
    <t>HR system returns malformed data</t>
  </si>
  <si>
    <t>HR API returns invalid date format.</t>
  </si>
  <si>
    <t>Error logged. Good records still processed.</t>
  </si>
  <si>
    <t>LV-TC-110</t>
  </si>
  <si>
    <t>Zero-duration leave (same start and end)</t>
  </si>
  <si>
    <t>HR has leave with same start and end time.</t>
  </si>
  <si>
    <t>Treated as single-day or rejected as invalid.</t>
  </si>
  <si>
    <t>LV-TC-111</t>
  </si>
  <si>
    <t>Leave ends before it starts (data error)</t>
  </si>
  <si>
    <t>HR has leave with end date before start.</t>
  </si>
  <si>
    <t>Record rejected as invalid. Error logged.</t>
  </si>
  <si>
    <t>Invalid leave record skipped: end before start.</t>
  </si>
  <si>
    <t>LV-TC-112</t>
  </si>
  <si>
    <t>Public holiday combined with leave</t>
  </si>
  <si>
    <t>Leave includes public holiday.</t>
  </si>
  <si>
    <t>View leave and release.</t>
  </si>
  <si>
    <t>Holiday not double-counted for availability.</t>
  </si>
  <si>
    <t>LV-TC-113</t>
  </si>
  <si>
    <t>Leave type changes mid-period</t>
  </si>
  <si>
    <t>Leave started as Sick, changed to Annual.</t>
  </si>
  <si>
    <t>Type updated correctly.</t>
  </si>
  <si>
    <t>LV-TC-114</t>
  </si>
  <si>
    <t>Multiple HR syncs in one day</t>
  </si>
  <si>
    <t>Manual sync + scheduled sync same day.</t>
  </si>
  <si>
    <t>Both syncs run.</t>
  </si>
  <si>
    <t>No duplicates. Latest data prevails.</t>
  </si>
  <si>
    <t>LV-TC-115</t>
  </si>
  <si>
    <t>Leave for user being added to system</t>
  </si>
  <si>
    <t>New user with existing leave in HR.</t>
  </si>
  <si>
    <t>User created. Sync runs.</t>
  </si>
  <si>
    <t>LV-TC-116</t>
  </si>
  <si>
    <t>Release created during active leave</t>
  </si>
  <si>
    <t>RM currently on leave creates release.</t>
  </si>
  <si>
    <t>Self-assign warning may apply.</t>
  </si>
  <si>
    <t>Total Test Cases</t>
  </si>
  <si>
    <t>Edge Cases (E)</t>
  </si>
  <si>
    <t>Priority P1</t>
  </si>
  <si>
    <t>Priority P2</t>
  </si>
  <si>
    <t>Priority P3</t>
  </si>
  <si>
    <t>MW-TC-001</t>
  </si>
  <si>
    <t>1. Maintenance Window Creation</t>
  </si>
  <si>
    <t>Create maintenance window with valid data</t>
  </si>
  <si>
    <t>Admin user. All required fields available.</t>
  </si>
  <si>
    <t>Enter Start, End, Affected Systems. Save.</t>
  </si>
  <si>
    <t>Maintenance window created successfully.</t>
  </si>
  <si>
    <t>Maintenance window created.</t>
  </si>
  <si>
    <t>MW-TC-002</t>
  </si>
  <si>
    <t>Maintenance window ID auto-generated</t>
  </si>
  <si>
    <t>New maintenance window created.</t>
  </si>
  <si>
    <t>Check ID field.</t>
  </si>
  <si>
    <t>System-generated unique ID assigned.</t>
  </si>
  <si>
    <t>MW-TC-003</t>
  </si>
  <si>
    <t>Create recurring maintenance window</t>
  </si>
  <si>
    <t>Admin creates weekly maintenance window.</t>
  </si>
  <si>
    <t>Set recurrence pattern. Save.</t>
  </si>
  <si>
    <t>Recurring windows created for pattern.</t>
  </si>
  <si>
    <t>MW-TC-004</t>
  </si>
  <si>
    <t>Start time required</t>
  </si>
  <si>
    <t>No Start time entered.</t>
  </si>
  <si>
    <t>Attempt to save.</t>
  </si>
  <si>
    <t>Blocked. Start time required.</t>
  </si>
  <si>
    <t>Start time is required.</t>
  </si>
  <si>
    <t>MW-TC-005</t>
  </si>
  <si>
    <t>End time required</t>
  </si>
  <si>
    <t>No End time entered.</t>
  </si>
  <si>
    <t>Blocked. End time required.</t>
  </si>
  <si>
    <t>End time is required.</t>
  </si>
  <si>
    <t>MW-TC-006</t>
  </si>
  <si>
    <t>End time must be after Start time</t>
  </si>
  <si>
    <t>End time before Start time.</t>
  </si>
  <si>
    <t>Blocked. Invalid time range.</t>
  </si>
  <si>
    <t>End time must be after Start time.</t>
  </si>
  <si>
    <t>MW-TC-007</t>
  </si>
  <si>
    <t>Affected Systems required</t>
  </si>
  <si>
    <t>No Affected Systems selected.</t>
  </si>
  <si>
    <t>Blocked. At least one system required.</t>
  </si>
  <si>
    <t>Select at least one affected system.</t>
  </si>
  <si>
    <t>MW-TC-008</t>
  </si>
  <si>
    <t>Select multiple affected systems</t>
  </si>
  <si>
    <t>Multiple systems need maintenance.</t>
  </si>
  <si>
    <t>Select System A, B, C. Save.</t>
  </si>
  <si>
    <t>All selected systems linked to window.</t>
  </si>
  <si>
    <t>MW-TC-009</t>
  </si>
  <si>
    <t>Description/notes field optional</t>
  </si>
  <si>
    <t>Description field empty.</t>
  </si>
  <si>
    <t>Save without description.</t>
  </si>
  <si>
    <t>Accepted. Description is optional.</t>
  </si>
  <si>
    <t>MW-TC-010</t>
  </si>
  <si>
    <t>Minimum duration requirement</t>
  </si>
  <si>
    <t>Duration less than minimum (e.g., 15 min).</t>
  </si>
  <si>
    <t>Save window.</t>
  </si>
  <si>
    <t>Maintenance window must be at least 30 minutes.</t>
  </si>
  <si>
    <t>MW-TC-011</t>
  </si>
  <si>
    <t>Maximum duration limit</t>
  </si>
  <si>
    <t>Duration exceeds maximum (e.g., 72 hours).</t>
  </si>
  <si>
    <t>Maintenance window exceeds maximum duration.</t>
  </si>
  <si>
    <t>MW-TC-012</t>
  </si>
  <si>
    <t>Create maintenance window in past</t>
  </si>
  <si>
    <t>Start time is in the past.</t>
  </si>
  <si>
    <t>Blocked. Cannot create past windows.</t>
  </si>
  <si>
    <t>Cannot create maintenance window in the past.</t>
  </si>
  <si>
    <t>MW-TC-013</t>
  </si>
  <si>
    <t>Create overlapping maintenance windows</t>
  </si>
  <si>
    <t>Existing window 10-12 PM. New window 11-1 PM.</t>
  </si>
  <si>
    <t>Save new window.</t>
  </si>
  <si>
    <t>Allowed. Multiple windows can overlap.</t>
  </si>
  <si>
    <t>MW-TC-014</t>
  </si>
  <si>
    <t>Create maintenance for all environments</t>
  </si>
  <si>
    <t>System-wide maintenance needed.</t>
  </si>
  <si>
    <t>Select 'All Environments'. Save.</t>
  </si>
  <si>
    <t>Window applies to all environments.</t>
  </si>
  <si>
    <t>MW-TC-015</t>
  </si>
  <si>
    <t>Maintenance window type selection</t>
  </si>
  <si>
    <t>Different types: Planned, Emergency, Upgrade.</t>
  </si>
  <si>
    <t>Select type. Save.</t>
  </si>
  <si>
    <t>Type recorded correctly.</t>
  </si>
  <si>
    <t>MW-TC-016</t>
  </si>
  <si>
    <t>REF, AUDIT</t>
  </si>
  <si>
    <t>Admin creates maintenance window.</t>
  </si>
  <si>
    <t>Creator username and timestamp recorded.</t>
  </si>
  <si>
    <t>MW-TC-017</t>
  </si>
  <si>
    <t>Non-admin cannot create maintenance window</t>
  </si>
  <si>
    <t>Regular user (not admin).</t>
  </si>
  <si>
    <t>Attempt to create maintenance window.</t>
  </si>
  <si>
    <t>Only administrators can create maintenance windows.</t>
  </si>
  <si>
    <t>MW-TC-018</t>
  </si>
  <si>
    <t>Create window far in future</t>
  </si>
  <si>
    <t>Maintenance scheduled 6 months ahead.</t>
  </si>
  <si>
    <t>Accepted. Future windows allowed.</t>
  </si>
  <si>
    <t>MW-TC-019</t>
  </si>
  <si>
    <t>2. Maintenance Window Alert (AV-09)</t>
  </si>
  <si>
    <t>24-hour warning for overlapping releases</t>
  </si>
  <si>
    <t>Maintenance 15 Jan 10-12 PM. Release deploy 15 Jan.</t>
  </si>
  <si>
    <t>T-minus 24 hours reached.</t>
  </si>
  <si>
    <t>Warning notification sent to RM.</t>
  </si>
  <si>
    <t>Scheduled maintenance window may affect your release.</t>
  </si>
  <si>
    <t>MW-TC-020</t>
  </si>
  <si>
    <t>No warning if no overlap</t>
  </si>
  <si>
    <t>Maintenance 15 Jan. Release deploy 16 Jan.</t>
  </si>
  <si>
    <t>No warning. No overlap.</t>
  </si>
  <si>
    <t>MW-TC-021</t>
  </si>
  <si>
    <t>Warning for partial time overlap</t>
  </si>
  <si>
    <t>Maintenance 10-12 PM. Release deploy window 11 AM-1 PM.</t>
  </si>
  <si>
    <t>Warning for time overlap.</t>
  </si>
  <si>
    <t>Maintenance window 10:00-12:00 overlaps deployment.</t>
  </si>
  <si>
    <t>MW-TC-022</t>
  </si>
  <si>
    <t>Warning for multiple affected releases</t>
  </si>
  <si>
    <t>Maintenance affects 5 releases.</t>
  </si>
  <si>
    <t>Warning sent to all 5 RMs.</t>
  </si>
  <si>
    <t>MW-TC-023</t>
  </si>
  <si>
    <t>Warning includes maintenance details</t>
  </si>
  <si>
    <t>Maintenance window details.</t>
  </si>
  <si>
    <t>Warning sent.</t>
  </si>
  <si>
    <t>Email includes start, end, affected systems.</t>
  </si>
  <si>
    <t>MW-TC-024</t>
  </si>
  <si>
    <t>Warning visible on release dashboard</t>
  </si>
  <si>
    <t>AV-09, UI</t>
  </si>
  <si>
    <t>Release overlaps maintenance window.</t>
  </si>
  <si>
    <t>Maintenance warning indicator displayed.</t>
  </si>
  <si>
    <t>MW-TC-025</t>
  </si>
  <si>
    <t>Warning for environment-specific maintenance</t>
  </si>
  <si>
    <t>Maintenance on PROD only. Release deploys to PROD.</t>
  </si>
  <si>
    <t>Warning sent. Environment match detected.</t>
  </si>
  <si>
    <t>Maintenance on PROD may affect deployment.</t>
  </si>
  <si>
    <t>MW-TC-026</t>
  </si>
  <si>
    <t>No warning for unrelated environment</t>
  </si>
  <si>
    <t>Maintenance on UAT. Release deploys to PROD.</t>
  </si>
  <si>
    <t>No warning. Different environments.</t>
  </si>
  <si>
    <t>MW-TC-027</t>
  </si>
  <si>
    <t>Warning for all-environment maintenance</t>
  </si>
  <si>
    <t>Maintenance on All Environments.</t>
  </si>
  <si>
    <t>Warning sent to all releases that day.</t>
  </si>
  <si>
    <t>MW-TC-028</t>
  </si>
  <si>
    <t>Repeat warning if not acknowledged</t>
  </si>
  <si>
    <t>Warning sent. Not acknowledged after 12 hours.</t>
  </si>
  <si>
    <t>T-minus 12 hours.</t>
  </si>
  <si>
    <t>Reminder notification sent.</t>
  </si>
  <si>
    <t>Reminder: Maintenance window approaching.</t>
  </si>
  <si>
    <t>MW-TC-029</t>
  </si>
  <si>
    <t>Warning includes reschedule suggestion</t>
  </si>
  <si>
    <t>Overlap detected.</t>
  </si>
  <si>
    <t>Suggested alternative deploy windows shown.</t>
  </si>
  <si>
    <t>MW-TC-030</t>
  </si>
  <si>
    <t>Alert for emergency maintenance</t>
  </si>
  <si>
    <t>Emergency maintenance created &lt;24 hours ahead.</t>
  </si>
  <si>
    <t>Maintenance saved.</t>
  </si>
  <si>
    <t>Immediate alert sent (no 24-hour wait).</t>
  </si>
  <si>
    <t>URGENT: Emergency maintenance may affect release.</t>
  </si>
  <si>
    <t>MW-TC-031</t>
  </si>
  <si>
    <t>Alert timing configurable</t>
  </si>
  <si>
    <t>AV-09, Config</t>
  </si>
  <si>
    <t>Alert configured for 48 hours instead of 24.</t>
  </si>
  <si>
    <t>T-minus 48 hours reached.</t>
  </si>
  <si>
    <t>Alert sent at configured time.</t>
  </si>
  <si>
    <t>MW-TC-032</t>
  </si>
  <si>
    <t>Alert includes contact information</t>
  </si>
  <si>
    <t>Maintenance owner configured.</t>
  </si>
  <si>
    <t>View alert.</t>
  </si>
  <si>
    <t>Maintenance contact displayed.</t>
  </si>
  <si>
    <t>Contact: ops-team@company.com.</t>
  </si>
  <si>
    <t>MW-TC-033</t>
  </si>
  <si>
    <t>Alert cleared when overlap resolved</t>
  </si>
  <si>
    <t>Release deploy date moved to non-overlap.</t>
  </si>
  <si>
    <t>Save new date.</t>
  </si>
  <si>
    <t>Maintenance warning cleared.</t>
  </si>
  <si>
    <t>MW-TC-034</t>
  </si>
  <si>
    <t>Alert persists until maintenance ends</t>
  </si>
  <si>
    <t>Warning active. Overlap not resolved.</t>
  </si>
  <si>
    <t>Check throughout period.</t>
  </si>
  <si>
    <t>Warning remains until maintenance window ends.</t>
  </si>
  <si>
    <t>MW-TC-035</t>
  </si>
  <si>
    <t>Batch alerts for multiple windows</t>
  </si>
  <si>
    <t>Release overlaps 3 maintenance windows.</t>
  </si>
  <si>
    <t>Alerts triggered.</t>
  </si>
  <si>
    <t>Single consolidated alert listing all windows.</t>
  </si>
  <si>
    <t>MW-TC-036</t>
  </si>
  <si>
    <t>AV-09, AUDIT</t>
  </si>
  <si>
    <t>Alerts sent.</t>
  </si>
  <si>
    <t>Alert send times and recipients logged.</t>
  </si>
  <si>
    <t>MW-TC-037</t>
  </si>
  <si>
    <t>3. Cascade Notification (CASC-10)</t>
  </si>
  <si>
    <t>Creating maintenance notifies affected releases</t>
  </si>
  <si>
    <t>Maintenance window created overlapping releases.</t>
  </si>
  <si>
    <t>Save maintenance window.</t>
  </si>
  <si>
    <t>All affected releases notified immediately.</t>
  </si>
  <si>
    <t>MW-TC-038</t>
  </si>
  <si>
    <t>Extending maintenance re-notifies releases</t>
  </si>
  <si>
    <t>Maintenance extended. New releases now overlap.</t>
  </si>
  <si>
    <t>Save extended window.</t>
  </si>
  <si>
    <t>Newly affected releases notified.</t>
  </si>
  <si>
    <t>MW-TC-039</t>
  </si>
  <si>
    <t>Shortening maintenance clears some warnings</t>
  </si>
  <si>
    <t>Maintenance shortened. Some releases no longer overlap.</t>
  </si>
  <si>
    <t>Save shortened window.</t>
  </si>
  <si>
    <t>No-longer-affected releases have warnings cleared.</t>
  </si>
  <si>
    <t>MW-TC-040</t>
  </si>
  <si>
    <t>Deleting maintenance clears all warnings</t>
  </si>
  <si>
    <t>Maintenance window deleted.</t>
  </si>
  <si>
    <t>Confirm deletion.</t>
  </si>
  <si>
    <t>All related warnings cleared from releases.</t>
  </si>
  <si>
    <t>MW-TC-041</t>
  </si>
  <si>
    <t>Cascade handles large number of releases</t>
  </si>
  <si>
    <t>CASC-10, Performance</t>
  </si>
  <si>
    <t>Maintenance affects 100 releases.</t>
  </si>
  <si>
    <t>Save maintenance.</t>
  </si>
  <si>
    <t>All 100 notified within acceptable time.</t>
  </si>
  <si>
    <t>MW-TC-042</t>
  </si>
  <si>
    <t>Cascade only affects relevant environments</t>
  </si>
  <si>
    <t>Maintenance on UAT only.</t>
  </si>
  <si>
    <t>Only UAT-deployed releases notified.</t>
  </si>
  <si>
    <t>MW-TC-043</t>
  </si>
  <si>
    <t>Cascade updates release readiness view</t>
  </si>
  <si>
    <t>Maintenance overlap affects readiness.</t>
  </si>
  <si>
    <t>Maintenance warning reflected in readiness.</t>
  </si>
  <si>
    <t>MW-TC-044</t>
  </si>
  <si>
    <t>Cascade audit trail on releases</t>
  </si>
  <si>
    <t>CASC-10, AUDIT</t>
  </si>
  <si>
    <t>Cascade occurs.</t>
  </si>
  <si>
    <t>View release audit.</t>
  </si>
  <si>
    <t>Maintenance overlap event logged.</t>
  </si>
  <si>
    <t>MW-TC-045</t>
  </si>
  <si>
    <t>Cascade timing when window moved</t>
  </si>
  <si>
    <t>Maintenance rescheduled to different dates.</t>
  </si>
  <si>
    <t>Save changes.</t>
  </si>
  <si>
    <t>Old-overlap releases cleared. New-overlap notified.</t>
  </si>
  <si>
    <t>MW-TC-046</t>
  </si>
  <si>
    <t>Cascade for recurring maintenance</t>
  </si>
  <si>
    <t>Recurring weekly maintenance created.</t>
  </si>
  <si>
    <t>Save recurrence.</t>
  </si>
  <si>
    <t>All instances cascade to relevant releases.</t>
  </si>
  <si>
    <t>MW-TC-047</t>
  </si>
  <si>
    <t>Cascade respects notification preferences</t>
  </si>
  <si>
    <t>CASC-10, NOTIF</t>
  </si>
  <si>
    <t>RM has maintenance alerts disabled.</t>
  </si>
  <si>
    <t>Cascade triggers.</t>
  </si>
  <si>
    <t>No notification sent (preference respected).</t>
  </si>
  <si>
    <t>MW-TC-048</t>
  </si>
  <si>
    <t>Cascade handles deleted releases</t>
  </si>
  <si>
    <t>Release deleted after maintenance created.</t>
  </si>
  <si>
    <t>Maintenance modified.</t>
  </si>
  <si>
    <t>Deleted release skipped. No errors.</t>
  </si>
  <si>
    <t>MW-TC-049</t>
  </si>
  <si>
    <t>Cascade rollback on failure</t>
  </si>
  <si>
    <t>CASC-10, Error</t>
  </si>
  <si>
    <t>System handles error.</t>
  </si>
  <si>
    <t>Partial notifications rolled back or flagged.</t>
  </si>
  <si>
    <t>MW-TC-050</t>
  </si>
  <si>
    <t>Cascade handles concurrent modifications</t>
  </si>
  <si>
    <t>CASC-10, Concurrency</t>
  </si>
  <si>
    <t>Maintenance modified while release updated.</t>
  </si>
  <si>
    <t>Both save simultaneously.</t>
  </si>
  <si>
    <t>MW-TC-051</t>
  </si>
  <si>
    <t>Cascade for emergency maintenance</t>
  </si>
  <si>
    <t>Emergency maintenance added with short notice.</t>
  </si>
  <si>
    <t>Save emergency maintenance.</t>
  </si>
  <si>
    <t>High-priority cascade executes immediately.</t>
  </si>
  <si>
    <t>MW-TC-052</t>
  </si>
  <si>
    <t>Cascade includes maintenance type</t>
  </si>
  <si>
    <t>Maintenance type is Upgrade vs Planned.</t>
  </si>
  <si>
    <t>View notification.</t>
  </si>
  <si>
    <t>Maintenance type included in notification.</t>
  </si>
  <si>
    <t>MW-TC-053</t>
  </si>
  <si>
    <t>4. Maintenance Window Modification</t>
  </si>
  <si>
    <t>Modify maintenance window start time</t>
  </si>
  <si>
    <t>Existing maintenance window.</t>
  </si>
  <si>
    <t>Change start time. Save.</t>
  </si>
  <si>
    <t>Start time updated. Cascade triggered.</t>
  </si>
  <si>
    <t>MW-TC-054</t>
  </si>
  <si>
    <t>Modify maintenance window end time</t>
  </si>
  <si>
    <t>Change end time. Save.</t>
  </si>
  <si>
    <t>End time updated. Cascade triggered.</t>
  </si>
  <si>
    <t>MW-TC-055</t>
  </si>
  <si>
    <t>Modify affected systems</t>
  </si>
  <si>
    <t>Add/remove affected systems. Save.</t>
  </si>
  <si>
    <t>Systems updated. Cascade triggered.</t>
  </si>
  <si>
    <t>MW-TC-056</t>
  </si>
  <si>
    <t>Cannot modify past maintenance window</t>
  </si>
  <si>
    <t>Maintenance window already ended.</t>
  </si>
  <si>
    <t>Attempt to modify.</t>
  </si>
  <si>
    <t>Blocked. Cannot edit past windows.</t>
  </si>
  <si>
    <t>Cannot modify completed maintenance windows.</t>
  </si>
  <si>
    <t>MW-TC-057</t>
  </si>
  <si>
    <t>Cannot modify in-progress window start time</t>
  </si>
  <si>
    <t>Maintenance window currently active.</t>
  </si>
  <si>
    <t>Attempt to change start time.</t>
  </si>
  <si>
    <t>Blocked. Window already started.</t>
  </si>
  <si>
    <t>Cannot change start time of active window.</t>
  </si>
  <si>
    <t>MW-TC-058</t>
  </si>
  <si>
    <t>Can extend in-progress window end time</t>
  </si>
  <si>
    <t>Extend end time. Save.</t>
  </si>
  <si>
    <t>End time extended. New overlaps notified.</t>
  </si>
  <si>
    <t>MW-TC-059</t>
  </si>
  <si>
    <t>Audit trail for all modifications</t>
  </si>
  <si>
    <t>Maintenance window modified.</t>
  </si>
  <si>
    <t>All changes logged with user and timestamp.</t>
  </si>
  <si>
    <t>MW-TC-060</t>
  </si>
  <si>
    <t>Version history available</t>
  </si>
  <si>
    <t>Multiple modifications made.</t>
  </si>
  <si>
    <t>View version history.</t>
  </si>
  <si>
    <t>All versions accessible.</t>
  </si>
  <si>
    <t>MW-TC-061</t>
  </si>
  <si>
    <t>Only admin can modify</t>
  </si>
  <si>
    <t>Regular user attempts modification.</t>
  </si>
  <si>
    <t>Edit maintenance window.</t>
  </si>
  <si>
    <t>Only administrators can modify maintenance windows.</t>
  </si>
  <si>
    <t>MW-TC-062</t>
  </si>
  <si>
    <t>Modification requires reason (optional)</t>
  </si>
  <si>
    <t>Change reason field available.</t>
  </si>
  <si>
    <t>Enter reason. Save.</t>
  </si>
  <si>
    <t>Reason recorded in audit.</t>
  </si>
  <si>
    <t>MW-TC-063</t>
  </si>
  <si>
    <t>Cancel recurring instance</t>
  </si>
  <si>
    <t>Recurring maintenance. Cancel single instance.</t>
  </si>
  <si>
    <t>Cancel one occurrence.</t>
  </si>
  <si>
    <t>Single instance cancelled. Series continues.</t>
  </si>
  <si>
    <t>MW-TC-064</t>
  </si>
  <si>
    <t>Modify entire recurring series</t>
  </si>
  <si>
    <t>Recurring maintenance.</t>
  </si>
  <si>
    <t>Edit recurrence pattern. Save.</t>
  </si>
  <si>
    <t>All future instances updated.</t>
  </si>
  <si>
    <t>MW-TC-065</t>
  </si>
  <si>
    <t>Convert recurring to one-time</t>
  </si>
  <si>
    <t>Remove recurrence. Save.</t>
  </si>
  <si>
    <t>Remaining instances deleted. Current kept.</t>
  </si>
  <si>
    <t>MW-TC-066</t>
  </si>
  <si>
    <t>Modification notification to stakeholders</t>
  </si>
  <si>
    <t>REF, NOTIF</t>
  </si>
  <si>
    <t>Notification sent to affected stakeholders.</t>
  </si>
  <si>
    <t>Maintenance window has been updated.</t>
  </si>
  <si>
    <t>MW-TC-067</t>
  </si>
  <si>
    <t>Lock modification close to start time</t>
  </si>
  <si>
    <t>REF, Policy</t>
  </si>
  <si>
    <t>Modification attempted &lt;2 hours before start.</t>
  </si>
  <si>
    <t>Modifications restricted close to maintenance start.</t>
  </si>
  <si>
    <t>MW-TC-068</t>
  </si>
  <si>
    <t>Description update does not trigger cascade</t>
  </si>
  <si>
    <t>REF, CASC-10</t>
  </si>
  <si>
    <t>Only description changed.</t>
  </si>
  <si>
    <t>Save.</t>
  </si>
  <si>
    <t>No cascade needed. Timing unchanged.</t>
  </si>
  <si>
    <t>MW-TC-069</t>
  </si>
  <si>
    <t>5. Maintenance Window Deletion</t>
  </si>
  <si>
    <t>Delete future maintenance window</t>
  </si>
  <si>
    <t>Maintenance window scheduled for future.</t>
  </si>
  <si>
    <t>Delete window.</t>
  </si>
  <si>
    <t>Window deleted. Warnings cleared.</t>
  </si>
  <si>
    <t>MW-TC-070</t>
  </si>
  <si>
    <t>Cannot delete past maintenance window</t>
  </si>
  <si>
    <t>Maintenance window already completed.</t>
  </si>
  <si>
    <t>Attempt to delete.</t>
  </si>
  <si>
    <t>Blocked. Historical record retained.</t>
  </si>
  <si>
    <t>Cannot delete completed maintenance windows.</t>
  </si>
  <si>
    <t>MW-TC-071</t>
  </si>
  <si>
    <t>Cannot delete in-progress window</t>
  </si>
  <si>
    <t>Blocked. Window in progress.</t>
  </si>
  <si>
    <t>Cannot delete active maintenance window.</t>
  </si>
  <si>
    <t>MW-TC-072</t>
  </si>
  <si>
    <t>Deletion requires confirmation</t>
  </si>
  <si>
    <t>User clicks delete.</t>
  </si>
  <si>
    <t>Confirmation dialog appears.</t>
  </si>
  <si>
    <t>User must confirm before deletion.</t>
  </si>
  <si>
    <t>Are you sure you want to delete this maintenance window?</t>
  </si>
  <si>
    <t>MW-TC-073</t>
  </si>
  <si>
    <t>Deletion clears all related warnings</t>
  </si>
  <si>
    <t>Maintenance had overlap warnings on releases.</t>
  </si>
  <si>
    <t>All related warnings cleared.</t>
  </si>
  <si>
    <t>MW-TC-074</t>
  </si>
  <si>
    <t>Deletion audit trail</t>
  </si>
  <si>
    <t>Window deleted.</t>
  </si>
  <si>
    <t>View audit log.</t>
  </si>
  <si>
    <t>Deletion logged with user and reason.</t>
  </si>
  <si>
    <t>MW-TC-075</t>
  </si>
  <si>
    <t>Delete single recurring instance</t>
  </si>
  <si>
    <t>Recurring maintenance series.</t>
  </si>
  <si>
    <t>Delete single instance.</t>
  </si>
  <si>
    <t>Only that instance deleted. Series continues.</t>
  </si>
  <si>
    <t>MW-TC-076</t>
  </si>
  <si>
    <t>Delete entire recurring series</t>
  </si>
  <si>
    <t>Delete entire series.</t>
  </si>
  <si>
    <t>All instances deleted.</t>
  </si>
  <si>
    <t>MW-TC-077</t>
  </si>
  <si>
    <t>Deletion notification to stakeholders</t>
  </si>
  <si>
    <t>Maintenance window with known overlaps.</t>
  </si>
  <si>
    <t>Notification sent that maintenance cancelled.</t>
  </si>
  <si>
    <t>Maintenance window has been cancelled.</t>
  </si>
  <si>
    <t>MW-TC-078</t>
  </si>
  <si>
    <t>Only admin can delete</t>
  </si>
  <si>
    <t>Regular user attempts deletion.</t>
  </si>
  <si>
    <t>Click delete.</t>
  </si>
  <si>
    <t>Only administrators can delete maintenance windows.</t>
  </si>
  <si>
    <t>MW-TC-079</t>
  </si>
  <si>
    <t>Soft delete vs hard delete</t>
  </si>
  <si>
    <t>Check database/archive.</t>
  </si>
  <si>
    <t>Record soft-deleted (archived) for compliance.</t>
  </si>
  <si>
    <t>MW-TC-080</t>
  </si>
  <si>
    <t>Restore deleted window (if supported)</t>
  </si>
  <si>
    <t>REF, Admin</t>
  </si>
  <si>
    <t>Window soft-deleted.</t>
  </si>
  <si>
    <t>Admin restores window.</t>
  </si>
  <si>
    <t>Window restored with original data.</t>
  </si>
  <si>
    <t>MW-TC-081</t>
  </si>
  <si>
    <t>Delete reason required (optional policy)</t>
  </si>
  <si>
    <t>Deletion reason policy enabled.</t>
  </si>
  <si>
    <t>Delete without reason.</t>
  </si>
  <si>
    <t>Prompted for reason.</t>
  </si>
  <si>
    <t>Please provide a reason for deletion.</t>
  </si>
  <si>
    <t>MW-TC-082</t>
  </si>
  <si>
    <t>Bulk delete maintenance windows</t>
  </si>
  <si>
    <t>Multiple windows selected.</t>
  </si>
  <si>
    <t>Bulk delete.</t>
  </si>
  <si>
    <t>All selected windows deleted.</t>
  </si>
  <si>
    <t>MW-TC-083</t>
  </si>
  <si>
    <t>6. Maintenance Window View &amp; Search</t>
  </si>
  <si>
    <t>View list of all maintenance windows</t>
  </si>
  <si>
    <t>Multiple maintenance windows exist.</t>
  </si>
  <si>
    <t>Open maintenance windows list.</t>
  </si>
  <si>
    <t>All windows displayed with key details.</t>
  </si>
  <si>
    <t>MW-TC-084</t>
  </si>
  <si>
    <t>View maintenance window details</t>
  </si>
  <si>
    <t>Maintenance window exists.</t>
  </si>
  <si>
    <t>Click on window to view.</t>
  </si>
  <si>
    <t>All details displayed (dates, systems, description).</t>
  </si>
  <si>
    <t>MW-TC-085</t>
  </si>
  <si>
    <t>Filter by date range</t>
  </si>
  <si>
    <t>Multiple windows over time.</t>
  </si>
  <si>
    <t>Only matching windows shown.</t>
  </si>
  <si>
    <t>MW-TC-086</t>
  </si>
  <si>
    <t>Filter by affected system</t>
  </si>
  <si>
    <t>Windows affecting different systems.</t>
  </si>
  <si>
    <t>Filter by specific system.</t>
  </si>
  <si>
    <t>Only windows affecting that system shown.</t>
  </si>
  <si>
    <t>MW-TC-087</t>
  </si>
  <si>
    <t>Filter by status (upcoming/active/past)</t>
  </si>
  <si>
    <t>Mix of window statuses.</t>
  </si>
  <si>
    <t>Filter by status.</t>
  </si>
  <si>
    <t>MW-TC-088</t>
  </si>
  <si>
    <t>Filter by maintenance type</t>
  </si>
  <si>
    <t>Different maintenance types.</t>
  </si>
  <si>
    <t>Filter by type.</t>
  </si>
  <si>
    <t>MW-TC-089</t>
  </si>
  <si>
    <t>Search by keyword</t>
  </si>
  <si>
    <t>Windows with various descriptions.</t>
  </si>
  <si>
    <t>Search by keyword.</t>
  </si>
  <si>
    <t>Matching windows returned.</t>
  </si>
  <si>
    <t>MW-TC-090</t>
  </si>
  <si>
    <t>Calendar view of maintenance windows</t>
  </si>
  <si>
    <t>Multiple windows scheduled.</t>
  </si>
  <si>
    <t>Open calendar view.</t>
  </si>
  <si>
    <t>Windows displayed on calendar visually.</t>
  </si>
  <si>
    <t>MW-TC-091</t>
  </si>
  <si>
    <t>List view sorting</t>
  </si>
  <si>
    <t>Multiple windows in list.</t>
  </si>
  <si>
    <t>Sort by date/system/type.</t>
  </si>
  <si>
    <t>List sorted accordingly.</t>
  </si>
  <si>
    <t>MW-TC-092</t>
  </si>
  <si>
    <t>Pagination for large lists</t>
  </si>
  <si>
    <t>100+ maintenance windows.</t>
  </si>
  <si>
    <t>Navigate pages.</t>
  </si>
  <si>
    <t>Pagination works correctly.</t>
  </si>
  <si>
    <t>MW-TC-093</t>
  </si>
  <si>
    <t>Export maintenance schedule</t>
  </si>
  <si>
    <t>Maintenance windows exist.</t>
  </si>
  <si>
    <t>Export to CSV/Excel.</t>
  </si>
  <si>
    <t>Export generated correctly.</t>
  </si>
  <si>
    <t>MW-TC-094</t>
  </si>
  <si>
    <t>View affected releases from window</t>
  </si>
  <si>
    <t>Maintenance window overlaps releases.</t>
  </si>
  <si>
    <t>View affected releases link.</t>
  </si>
  <si>
    <t>List of affected releases displayed.</t>
  </si>
  <si>
    <t>MW-TC-095</t>
  </si>
  <si>
    <t>View maintenance from release</t>
  </si>
  <si>
    <t>Release has maintenance overlap.</t>
  </si>
  <si>
    <t>View release. Click maintenance warning.</t>
  </si>
  <si>
    <t>Navigation to maintenance window details.</t>
  </si>
  <si>
    <t>MW-TC-096</t>
  </si>
  <si>
    <t>Timeline view</t>
  </si>
  <si>
    <t>Multiple windows and releases.</t>
  </si>
  <si>
    <t>Open timeline view.</t>
  </si>
  <si>
    <t>Visual timeline showing overlap.</t>
  </si>
  <si>
    <t>MW-TC-097</t>
  </si>
  <si>
    <t>Read-only user can view</t>
  </si>
  <si>
    <t>Read-only user.</t>
  </si>
  <si>
    <t>View maintenance windows.</t>
  </si>
  <si>
    <t>List displayed. Action buttons disabled.</t>
  </si>
  <si>
    <t>MW-TC-098</t>
  </si>
  <si>
    <t>Mobile-responsive view</t>
  </si>
  <si>
    <t>Access on mobile device.</t>
  </si>
  <si>
    <t>View maintenance list.</t>
  </si>
  <si>
    <t>Layout adapts to mobile screen.</t>
  </si>
  <si>
    <t>MW-TC-099</t>
  </si>
  <si>
    <t>Maintenance window spanning midnight</t>
  </si>
  <si>
    <t>Window from 11 PM to 2 AM next day.</t>
  </si>
  <si>
    <t>Cross-day window handled correctly.</t>
  </si>
  <si>
    <t>MW-TC-100</t>
  </si>
  <si>
    <t>Maintenance window spanning year boundary</t>
  </si>
  <si>
    <t>Window from 31 Dec 11 PM to 1 Jan 2 AM.</t>
  </si>
  <si>
    <t>Cross-year window handled correctly.</t>
  </si>
  <si>
    <t>MW-TC-101</t>
  </si>
  <si>
    <t>Maintenance window on leap year date</t>
  </si>
  <si>
    <t>Window scheduled for 29 Feb.</t>
  </si>
  <si>
    <t>Leap year date accepted.</t>
  </si>
  <si>
    <t>MW-TC-102</t>
  </si>
  <si>
    <t>Very long maintenance window (48+ hours)</t>
  </si>
  <si>
    <t>Window spanning 48 hours.</t>
  </si>
  <si>
    <t>Long window accepted (if policy allows).</t>
  </si>
  <si>
    <t>MW-TC-103</t>
  </si>
  <si>
    <t>Very short maintenance window (30 min minimum)</t>
  </si>
  <si>
    <t>Window of exactly 30 minutes.</t>
  </si>
  <si>
    <t>Minimum duration accepted.</t>
  </si>
  <si>
    <t>MW-TC-104</t>
  </si>
  <si>
    <t>100+ affected systems</t>
  </si>
  <si>
    <t>REF, Performance</t>
  </si>
  <si>
    <t>Maintenance affects 100 systems.</t>
  </si>
  <si>
    <t>All systems linked. Performance acceptable.</t>
  </si>
  <si>
    <t>MW-TC-105</t>
  </si>
  <si>
    <t>Concurrent maintenance window creation</t>
  </si>
  <si>
    <t>Two admins create windows simultaneously.</t>
  </si>
  <si>
    <t>Both save.</t>
  </si>
  <si>
    <t>Both created. No conflicts.</t>
  </si>
  <si>
    <t>MW-TC-106</t>
  </si>
  <si>
    <t>Concurrent modification of same window</t>
  </si>
  <si>
    <t>Two admins edit same window.</t>
  </si>
  <si>
    <t>Optimistic locking prevents conflict.</t>
  </si>
  <si>
    <t>Window has been modified. Please refresh.</t>
  </si>
  <si>
    <t>MW-TC-107</t>
  </si>
  <si>
    <t>Window in EST. User in PST viewing.</t>
  </si>
  <si>
    <t>View window.</t>
  </si>
  <si>
    <t>Times displayed in user's local timezone.</t>
  </si>
  <si>
    <t>MW-TC-108</t>
  </si>
  <si>
    <t>Window scheduled during DST change.</t>
  </si>
  <si>
    <t>Duration calculated correctly despite DST.</t>
  </si>
  <si>
    <t>MW-TC-109</t>
  </si>
  <si>
    <t>Emergency maintenance &lt; 1 hour notice</t>
  </si>
  <si>
    <t>REF, AV-09</t>
  </si>
  <si>
    <t>Emergency window created 30 minutes ahead.</t>
  </si>
  <si>
    <t>Created. Immediate alerts sent.</t>
  </si>
  <si>
    <t>URGENT: Emergency maintenance in 30 minutes.</t>
  </si>
  <si>
    <t>MW-TC-110</t>
  </si>
  <si>
    <t>Maintenance affecting critical vs non-critical systems</t>
  </si>
  <si>
    <t>Mix of critical and non-critical systems.</t>
  </si>
  <si>
    <t>View alerts.</t>
  </si>
  <si>
    <t>Critical system alerts higher priority.</t>
  </si>
  <si>
    <t>MW-TC-111</t>
  </si>
  <si>
    <t>Nested recurring windows</t>
  </si>
  <si>
    <t>Weekly + monthly maintenance on same day.</t>
  </si>
  <si>
    <t>View calendar.</t>
  </si>
  <si>
    <t>Both windows displayed. No confusion.</t>
  </si>
  <si>
    <t>MW-TC-112</t>
  </si>
  <si>
    <t>Maintenance overlapping deployment freeze</t>
  </si>
  <si>
    <t>Maintenance during company-wide freeze.</t>
  </si>
  <si>
    <t>Allowed (maintenance is infrastructure, not deployment).</t>
  </si>
  <si>
    <t>MW-TC-113</t>
  </si>
  <si>
    <t>System decommissioned after window created</t>
  </si>
  <si>
    <t>System removed from affected list.</t>
  </si>
  <si>
    <t>Graceful handling. Warning or cleanup.</t>
  </si>
  <si>
    <t>MW-TC-114</t>
  </si>
  <si>
    <t>All systems maintenance during active deployments</t>
  </si>
  <si>
    <t>All-systems maintenance. Releases deploying.</t>
  </si>
  <si>
    <t>Window starts.</t>
  </si>
  <si>
    <t>High-priority alerts to all deploying releases.</t>
  </si>
  <si>
    <t>MW-TC-115</t>
  </si>
  <si>
    <t>Recurring window exception handling</t>
  </si>
  <si>
    <t>Recurring window with holiday exclusions.</t>
  </si>
  <si>
    <t>Save exclusions.</t>
  </si>
  <si>
    <t>Excluded dates properly skipped.</t>
  </si>
  <si>
    <t>MW-TC-116</t>
  </si>
  <si>
    <t>Maintenance window notification failure</t>
  </si>
  <si>
    <t>NOTIF, Error</t>
  </si>
  <si>
    <t>Email system down during cascade.</t>
  </si>
  <si>
    <t>Cascade attempts notification.</t>
  </si>
  <si>
    <t>MW-TC-117</t>
  </si>
  <si>
    <t>Window created for deprecated environment</t>
  </si>
  <si>
    <t>Environment marked deprecated.</t>
  </si>
  <si>
    <t>Create maintenance for that env.</t>
  </si>
  <si>
    <t>Warning shown or blocked.</t>
  </si>
  <si>
    <t>Environment is deprecated.</t>
  </si>
  <si>
    <t>MW-TC-118</t>
  </si>
  <si>
    <t>Audit log for 1000+ affected releases</t>
  </si>
  <si>
    <t>AUDIT, Performance</t>
  </si>
  <si>
    <t>Large cascade event.</t>
  </si>
  <si>
    <t>Audit handles large volume efficiently.</t>
  </si>
  <si>
    <t>EB-TC-001</t>
  </si>
  <si>
    <t>1. Booking Creation</t>
  </si>
  <si>
    <t>Create booking with valid data</t>
  </si>
  <si>
    <t>Release exists. Environment available.</t>
  </si>
  <si>
    <t>Select environment, start, end, release. Save.</t>
  </si>
  <si>
    <t>Booking created successfully.</t>
  </si>
  <si>
    <t>Environment booked successfully.</t>
  </si>
  <si>
    <t>EB-TC-002</t>
  </si>
  <si>
    <t>Booking ID auto-generated</t>
  </si>
  <si>
    <t>New booking created.</t>
  </si>
  <si>
    <t>Check booking ID.</t>
  </si>
  <si>
    <t>EB-TC-003</t>
  </si>
  <si>
    <t>Environment required</t>
  </si>
  <si>
    <t>No environment selected.</t>
  </si>
  <si>
    <t>Blocked. Environment required.</t>
  </si>
  <si>
    <t>Select an environment.</t>
  </si>
  <si>
    <t>EB-TC-004</t>
  </si>
  <si>
    <t>No start time entered.</t>
  </si>
  <si>
    <t>EB-TC-005</t>
  </si>
  <si>
    <t>No end time entered.</t>
  </si>
  <si>
    <t>EB-TC-006</t>
  </si>
  <si>
    <t>Release linkage required</t>
  </si>
  <si>
    <t>No release linked.</t>
  </si>
  <si>
    <t>Blocked. Release required.</t>
  </si>
  <si>
    <t>Link booking to a release.</t>
  </si>
  <si>
    <t>EB-TC-007</t>
  </si>
  <si>
    <t>End time must be after start time</t>
  </si>
  <si>
    <t>End time before start time.</t>
  </si>
  <si>
    <t>End time must be after start time.</t>
  </si>
  <si>
    <t>EB-TC-008</t>
  </si>
  <si>
    <t>Minimum duration 30 minutes (§1-08)</t>
  </si>
  <si>
    <t>Duration is 15 minutes.</t>
  </si>
  <si>
    <t>Blocked. Below minimum.</t>
  </si>
  <si>
    <t>Minimum booking duration is 30 minutes.</t>
  </si>
  <si>
    <t>EB-TC-009</t>
  </si>
  <si>
    <t>Blocked. Exceeds maximum.</t>
  </si>
  <si>
    <t>EB-TC-010</t>
  </si>
  <si>
    <t>Exactly 30 minutes duration accepted</t>
  </si>
  <si>
    <t>Duration exactly 30 minutes.</t>
  </si>
  <si>
    <t>Save booking.</t>
  </si>
  <si>
    <t>Accepted. Minimum boundary.</t>
  </si>
  <si>
    <t>EB-TC-011</t>
  </si>
  <si>
    <t>Accepted. Maximum boundary.</t>
  </si>
  <si>
    <t>EB-TC-012</t>
  </si>
  <si>
    <t>Cannot book past time slot</t>
  </si>
  <si>
    <t>Blocked. Cannot book past slots.</t>
  </si>
  <si>
    <t>Cannot create booking in the past.</t>
  </si>
  <si>
    <t>EB-TC-013</t>
  </si>
  <si>
    <t>Book slot starting now</t>
  </si>
  <si>
    <t>Start time is current time.</t>
  </si>
  <si>
    <t>Accepted. Immediate booking allowed.</t>
  </si>
  <si>
    <t>EB-TC-014</t>
  </si>
  <si>
    <t>Book slot in future</t>
  </si>
  <si>
    <t>Start time is 2 weeks ahead.</t>
  </si>
  <si>
    <t>Accepted. Future booking allowed.</t>
  </si>
  <si>
    <t>EB-TC-015</t>
  </si>
  <si>
    <t>Multiple bookings for same release</t>
  </si>
  <si>
    <t>Release needs multiple environments.</t>
  </si>
  <si>
    <t>Book ENV1 and ENV2 for same release.</t>
  </si>
  <si>
    <t>Both bookings created.</t>
  </si>
  <si>
    <t>EB-TC-016</t>
  </si>
  <si>
    <t>Booking notes optional</t>
  </si>
  <si>
    <t>Notes field empty.</t>
  </si>
  <si>
    <t>Save without notes.</t>
  </si>
  <si>
    <t>Accepted. Notes optional.</t>
  </si>
  <si>
    <t>EB-TC-017</t>
  </si>
  <si>
    <t>User creates booking.</t>
  </si>
  <si>
    <t>EB-TC-018</t>
  </si>
  <si>
    <t>Booking notification to env owner</t>
  </si>
  <si>
    <t>Booking created.</t>
  </si>
  <si>
    <t>Email sent.</t>
  </si>
  <si>
    <t>Environment owner notified.</t>
  </si>
  <si>
    <t>New booking on [ENV] for [Release].</t>
  </si>
  <si>
    <t>EB-TC-019</t>
  </si>
  <si>
    <t>Book disabled environment</t>
  </si>
  <si>
    <t>Environment marked disabled.</t>
  </si>
  <si>
    <t>Attempt to book.</t>
  </si>
  <si>
    <t>Blocked. Environment not available.</t>
  </si>
  <si>
    <t>Environment is disabled.</t>
  </si>
  <si>
    <t>EB-TC-020</t>
  </si>
  <si>
    <t>Book environment for cancelled release</t>
  </si>
  <si>
    <t>Release in Cancelled status.</t>
  </si>
  <si>
    <t>Blocked. Release invalid.</t>
  </si>
  <si>
    <t>Cannot book for cancelled release.</t>
  </si>
  <si>
    <t>EB-TC-021</t>
  </si>
  <si>
    <t>Book environment for deployed release</t>
  </si>
  <si>
    <t>Blocked. Release already deployed.</t>
  </si>
  <si>
    <t>Cannot book for deployed release.</t>
  </si>
  <si>
    <t>EB-TC-022</t>
  </si>
  <si>
    <t>Book PROD environment requires approval</t>
  </si>
  <si>
    <t>PROD environment requires approval.</t>
  </si>
  <si>
    <t>Book PROD slot.</t>
  </si>
  <si>
    <t>Booking in pending approval state.</t>
  </si>
  <si>
    <t>PROD booking requires approval.</t>
  </si>
  <si>
    <t>EB-TC-023</t>
  </si>
  <si>
    <t>2. Double-Booking Detection (AV-07)</t>
  </si>
  <si>
    <t>Block overlapping booking same environment</t>
  </si>
  <si>
    <t>Env booked 10-12 PM. New booking 11-1 PM.</t>
  </si>
  <si>
    <t>Blocked. Overlap detected.</t>
  </si>
  <si>
    <t>Environment already booked 10:00-12:00.</t>
  </si>
  <si>
    <t>EB-TC-024</t>
  </si>
  <si>
    <t>Allow non-overlapping booking</t>
  </si>
  <si>
    <t>Env booked 10-12 PM. New booking 12-2 PM.</t>
  </si>
  <si>
    <t>Accepted. No overlap.</t>
  </si>
  <si>
    <t>EB-TC-025</t>
  </si>
  <si>
    <t>Block booking contained within existing</t>
  </si>
  <si>
    <t>Env booked 10 AM-4 PM. New booking 11-1 PM.</t>
  </si>
  <si>
    <t>Blocked. Contained overlap.</t>
  </si>
  <si>
    <t>Environment booked 10:00-16:00.</t>
  </si>
  <si>
    <t>EB-TC-026</t>
  </si>
  <si>
    <t>Block booking containing existing</t>
  </si>
  <si>
    <t>Env booked 11-1 PM. New booking 10 AM-4 PM.</t>
  </si>
  <si>
    <t>Blocked. Existing within new.</t>
  </si>
  <si>
    <t>Conflicts with existing booking 11:00-13:00.</t>
  </si>
  <si>
    <t>EB-TC-027</t>
  </si>
  <si>
    <t>Adjacent bookings allowed (end = start)</t>
  </si>
  <si>
    <t>Env booked 10-12 PM. New booking 12-2 PM exactly.</t>
  </si>
  <si>
    <t>Accepted. Adjacent, not overlapping.</t>
  </si>
  <si>
    <t>EB-TC-028</t>
  </si>
  <si>
    <t>ENV1 booked 10-12. New booking ENV2 same time.</t>
  </si>
  <si>
    <t>EB-TC-029</t>
  </si>
  <si>
    <t>Conflict message shows existing booking</t>
  </si>
  <si>
    <t>View error message.</t>
  </si>
  <si>
    <t>Message shows conflicting booking details.</t>
  </si>
  <si>
    <t>Conflict: [Release X] booked 10:00-12:00.</t>
  </si>
  <si>
    <t>EB-TC-030</t>
  </si>
  <si>
    <t>Suggest alternative slots</t>
  </si>
  <si>
    <t>AV-07, UI</t>
  </si>
  <si>
    <t>View suggestions.</t>
  </si>
  <si>
    <t>Next available slot suggested.</t>
  </si>
  <si>
    <t>Next available: 12:00-14:00 or 14:00-16:00.</t>
  </si>
  <si>
    <t>EB-TC-031</t>
  </si>
  <si>
    <t>Multiple conflicts shown</t>
  </si>
  <si>
    <t>Multiple overlapping bookings exist.</t>
  </si>
  <si>
    <t>Attempt new booking.</t>
  </si>
  <si>
    <t>All conflicts listed.</t>
  </si>
  <si>
    <t>Conflicts: [Release X] 10-12, [Release Y] 11-1.</t>
  </si>
  <si>
    <t>EB-TC-032</t>
  </si>
  <si>
    <t>Concurrent booking race condition</t>
  </si>
  <si>
    <t>AV-07, Concurrency</t>
  </si>
  <si>
    <t>Two users book same slot simultaneously.</t>
  </si>
  <si>
    <t>Both click Save.</t>
  </si>
  <si>
    <t>One succeeds. Other gets conflict.</t>
  </si>
  <si>
    <t>Environment just booked. Select different slot.</t>
  </si>
  <si>
    <t>EB-TC-033</t>
  </si>
  <si>
    <t>Conflict detection real-time</t>
  </si>
  <si>
    <t>User selecting time while another books.</t>
  </si>
  <si>
    <t>Time selected.</t>
  </si>
  <si>
    <t>Visual indicator shows availability.</t>
  </si>
  <si>
    <t>EB-TC-034</t>
  </si>
  <si>
    <t>Overlapping by 1 minute blocked</t>
  </si>
  <si>
    <t>Booking ends 12:00. New starts 11:59.</t>
  </si>
  <si>
    <t>Blocked. 1 minute overlap.</t>
  </si>
  <si>
    <t>EB-TC-035</t>
  </si>
  <si>
    <t>Conflict check includes pending approvals</t>
  </si>
  <si>
    <t>Pending approval booking exists.</t>
  </si>
  <si>
    <t>Book same slot.</t>
  </si>
  <si>
    <t>Blocked. Includes pending bookings.</t>
  </si>
  <si>
    <t>Pending booking already exists for this slot.</t>
  </si>
  <si>
    <t>EB-TC-036</t>
  </si>
  <si>
    <t>Cancelled booking slot available</t>
  </si>
  <si>
    <t>Previous booking cancelled.</t>
  </si>
  <si>
    <t>Accepted. Slot now available.</t>
  </si>
  <si>
    <t>EB-TC-037</t>
  </si>
  <si>
    <t>Expired booking slot available</t>
  </si>
  <si>
    <t>AV-07, AV-08</t>
  </si>
  <si>
    <t>Previous booking expired.</t>
  </si>
  <si>
    <t>Book same future slot.</t>
  </si>
  <si>
    <t>Accepted. Slot released.</t>
  </si>
  <si>
    <t>EB-TC-038</t>
  </si>
  <si>
    <t>Cross-day booking conflict detection</t>
  </si>
  <si>
    <t>Booking 11 PM - 2 AM. New booking 1 AM - 3 AM.</t>
  </si>
  <si>
    <t>Blocked. Cross-day overlap.</t>
  </si>
  <si>
    <t>EB-TC-039</t>
  </si>
  <si>
    <t>Recurring booking conflict detection</t>
  </si>
  <si>
    <t>Recurring weekly booking exists.</t>
  </si>
  <si>
    <t>Book single conflicting slot.</t>
  </si>
  <si>
    <t>Blocked. Conflicts with recurring.</t>
  </si>
  <si>
    <t>Conflicts with recurring booking.</t>
  </si>
  <si>
    <t>EB-TC-040</t>
  </si>
  <si>
    <t>Conflict creates Conflict record (CASC-07)</t>
  </si>
  <si>
    <t>Overlap detected and forced (if allowed).</t>
  </si>
  <si>
    <t>Override booking.</t>
  </si>
  <si>
    <t>Conflict record auto-created.</t>
  </si>
  <si>
    <t>(Automated) Conflict created.</t>
  </si>
  <si>
    <t>EB-TC-041</t>
  </si>
  <si>
    <t>Availability calendar shows bookings</t>
  </si>
  <si>
    <t>Environment has bookings.</t>
  </si>
  <si>
    <t>View availability calendar.</t>
  </si>
  <si>
    <t>Booked slots visually marked.</t>
  </si>
  <si>
    <t>EB-TC-042</t>
  </si>
  <si>
    <t>Real-time availability refresh</t>
  </si>
  <si>
    <t>Another user books while viewing.</t>
  </si>
  <si>
    <t>Refresh calendar.</t>
  </si>
  <si>
    <t>New booking appears.</t>
  </si>
  <si>
    <t>EB-TC-043</t>
  </si>
  <si>
    <t>3. Auto-Release (AV-08)</t>
  </si>
  <si>
    <t>Auto-release when booking expires</t>
  </si>
  <si>
    <t>Booking ends 2 PM. Release not Deploying.</t>
  </si>
  <si>
    <t>Clock reaches 2 PM.</t>
  </si>
  <si>
    <t>Slot auto-released. RM notified.</t>
  </si>
  <si>
    <t>Environment slot released.</t>
  </si>
  <si>
    <t>EB-TC-044</t>
  </si>
  <si>
    <t>No auto-release if Deploying</t>
  </si>
  <si>
    <t>Booking ends 2 PM. Release is Deploying.</t>
  </si>
  <si>
    <t>Slot NOT released. Deployment protected.</t>
  </si>
  <si>
    <t>EB-TC-045</t>
  </si>
  <si>
    <t>Auto-release notification to RM</t>
  </si>
  <si>
    <t>AV-08, NOTIF</t>
  </si>
  <si>
    <t>Booking auto-released.</t>
  </si>
  <si>
    <t>Check RM notifications.</t>
  </si>
  <si>
    <t>Email/notification sent to RM.</t>
  </si>
  <si>
    <t>Your environment booking has expired.</t>
  </si>
  <si>
    <t>EB-TC-046</t>
  </si>
  <si>
    <t>Auto-release audit trail</t>
  </si>
  <si>
    <t>AV-08, AUDIT</t>
  </si>
  <si>
    <t>Auto-release event logged.</t>
  </si>
  <si>
    <t>(System) Booking auto-released.</t>
  </si>
  <si>
    <t>EB-TC-047</t>
  </si>
  <si>
    <t>Hourly job checks all bookings</t>
  </si>
  <si>
    <t>Multiple bookings ending at different times.</t>
  </si>
  <si>
    <t>Hourly job runs.</t>
  </si>
  <si>
    <t>All expired bookings processed.</t>
  </si>
  <si>
    <t>EB-TC-048</t>
  </si>
  <si>
    <t>Grace period before auto-release</t>
  </si>
  <si>
    <t>AV-08, Config</t>
  </si>
  <si>
    <t>15-minute grace period configured.</t>
  </si>
  <si>
    <t>Booking ends. Grace starts.</t>
  </si>
  <si>
    <t>Auto-release after grace period.</t>
  </si>
  <si>
    <t>EB-TC-049</t>
  </si>
  <si>
    <t>Release status checked at expiry</t>
  </si>
  <si>
    <t>Release transitions to Deploying after booking start.</t>
  </si>
  <si>
    <t>Booking expires.</t>
  </si>
  <si>
    <t>No auto-release. Status re-checked.</t>
  </si>
  <si>
    <t>EB-TC-050</t>
  </si>
  <si>
    <t>Auto-release for multiple environments</t>
  </si>
  <si>
    <t>Release has 3 env bookings. All expire.</t>
  </si>
  <si>
    <t>All expire with non-Deploying status.</t>
  </si>
  <si>
    <t>All 3 auto-released.</t>
  </si>
  <si>
    <t>EB-TC-051</t>
  </si>
  <si>
    <t>Auto-release enables new booking</t>
  </si>
  <si>
    <t>Another user books same slot.</t>
  </si>
  <si>
    <t>Booking accepted. Slot available.</t>
  </si>
  <si>
    <t>EB-TC-052</t>
  </si>
  <si>
    <t>Auto-release warning before expiry</t>
  </si>
  <si>
    <t>30 min before booking expires.</t>
  </si>
  <si>
    <t>RM notified of upcoming expiry.</t>
  </si>
  <si>
    <t>Booking expires in 30 minutes.</t>
  </si>
  <si>
    <t>EB-TC-053</t>
  </si>
  <si>
    <t>Extension option before auto-release</t>
  </si>
  <si>
    <t>AV-08, UI</t>
  </si>
  <si>
    <t>Warning sent. RM needs more time.</t>
  </si>
  <si>
    <t>RM clicks extend.</t>
  </si>
  <si>
    <t>Booking extended. Auto-release postponed.</t>
  </si>
  <si>
    <t>EB-TC-054</t>
  </si>
  <si>
    <t>Auto-release for recurring bookings</t>
  </si>
  <si>
    <t>Recurring booking. Instance expires.</t>
  </si>
  <si>
    <t>Instance expires.</t>
  </si>
  <si>
    <t>Only that instance released. Series continues.</t>
  </si>
  <si>
    <t>EB-TC-055</t>
  </si>
  <si>
    <t>Auto-release respects timezone</t>
  </si>
  <si>
    <t>Booking ends 5 PM EST. User in PST.</t>
  </si>
  <si>
    <t>5 PM EST reached.</t>
  </si>
  <si>
    <t>Auto-release at correct time.</t>
  </si>
  <si>
    <t>EB-TC-056</t>
  </si>
  <si>
    <t>Job failure recovery</t>
  </si>
  <si>
    <t>AV-08, Error</t>
  </si>
  <si>
    <t>Hourly job fails.</t>
  </si>
  <si>
    <t>Next job runs.</t>
  </si>
  <si>
    <t>Missed releases caught up.</t>
  </si>
  <si>
    <t>EB-TC-057</t>
  </si>
  <si>
    <t>Auto-release bulk processing</t>
  </si>
  <si>
    <t>AV-08, Performance</t>
  </si>
  <si>
    <t>100 bookings expire same hour.</t>
  </si>
  <si>
    <t>All processed within acceptable time.</t>
  </si>
  <si>
    <t>EB-TC-058</t>
  </si>
  <si>
    <t>Manual override prevents auto-release</t>
  </si>
  <si>
    <t>Admin extends booking manually.</t>
  </si>
  <si>
    <t>Original end time passes.</t>
  </si>
  <si>
    <t>No auto-release. Manual extension honored.</t>
  </si>
  <si>
    <t>EB-TC-059</t>
  </si>
  <si>
    <t>Deploying to Deployed still protected</t>
  </si>
  <si>
    <t>Release transitions from Deploying to Deployed.</t>
  </si>
  <si>
    <t>Booking technically expired.</t>
  </si>
  <si>
    <t>Deployment completed. No disruption.</t>
  </si>
  <si>
    <t>EB-TC-060</t>
  </si>
  <si>
    <t>Auto-release with pending booking queue</t>
  </si>
  <si>
    <t>Slot released. Another release requested that slot.</t>
  </si>
  <si>
    <t>Auto-release completes.</t>
  </si>
  <si>
    <t>Queued request auto-fulfilled.</t>
  </si>
  <si>
    <t>Your requested slot is now available.</t>
  </si>
  <si>
    <t>4. Environment Lock</t>
  </si>
  <si>
    <t>Verify environment slot becomes locked when release transitions to Deploying</t>
  </si>
  <si>
    <t>Transition release to Deploying status</t>
  </si>
  <si>
    <t>Environment slot becomes locked and cannot be modified or cancelled</t>
  </si>
  <si>
    <t>Environment slot locked for deployment</t>
  </si>
  <si>
    <t>Verify locked environment cannot be cancelled by original booker</t>
  </si>
  <si>
    <t>Release R-001 in Deploying status with locked environment slot ENV-01</t>
  </si>
  <si>
    <t>Original booker attempts to cancel the booking</t>
  </si>
  <si>
    <t>Cancellation blocked with lock message</t>
  </si>
  <si>
    <t>Environment slot is locked during deployment — cannot cancel</t>
  </si>
  <si>
    <t>Verify locked environment cannot be modified by original booker</t>
  </si>
  <si>
    <t>Original booker attempts to extend booking duration</t>
  </si>
  <si>
    <t>Modification blocked with lock message</t>
  </si>
  <si>
    <t>Environment slot is locked during deployment — cannot modify</t>
  </si>
  <si>
    <t>Verify environment owner cannot override locked booking</t>
  </si>
  <si>
    <t>§3-06, ROLE-03</t>
  </si>
  <si>
    <t>Environment owner attempts to override/reassign slot</t>
  </si>
  <si>
    <t>Override blocked during active deployment</t>
  </si>
  <si>
    <t>Cannot override environment during active deployment</t>
  </si>
  <si>
    <t>Verify environment unlocks when deployment completes successfully</t>
  </si>
  <si>
    <t>Transition release to Deployed status</t>
  </si>
  <si>
    <t>Environment slot becomes available (unlocked)</t>
  </si>
  <si>
    <t>Environment slot released after successful deployment</t>
  </si>
  <si>
    <t>Verify environment unlocks when deployment fails</t>
  </si>
  <si>
    <t>Environment slot becomes available for rebooking</t>
  </si>
  <si>
    <t>Environment slot released after deployment failure</t>
  </si>
  <si>
    <t>Verify environment unlocks when deployment is rolled back</t>
  </si>
  <si>
    <t>Initiate rollback procedure</t>
  </si>
  <si>
    <t>Environment slot becomes available</t>
  </si>
  <si>
    <t>Environment slot released after rollback</t>
  </si>
  <si>
    <t>Verify multiple environments lock simultaneously for multi-env release</t>
  </si>
  <si>
    <t>Release R-001 with booked slots on ENV-01, ENV-02, and ENV-03</t>
  </si>
  <si>
    <t>All three environment slots become locked simultaneously</t>
  </si>
  <si>
    <t>All environment slots locked for deployment</t>
  </si>
  <si>
    <t>Verify partial environment lock if one environment unavailable</t>
  </si>
  <si>
    <t>Release R-001 with slots on ENV-01 (available) and ENV-02 (expired)</t>
  </si>
  <si>
    <t>Attempt to transition to Deploying</t>
  </si>
  <si>
    <t>Transition blocked until all environments confirmed</t>
  </si>
  <si>
    <t>Cannot deploy — environment ENV-02 booking expired</t>
  </si>
  <si>
    <t>Verify lock status visible on environment dashboard</t>
  </si>
  <si>
    <t>Release R-001 in Deploying status with locked ENV-01</t>
  </si>
  <si>
    <t>View environment booking dashboard</t>
  </si>
  <si>
    <t>ENV-01 shows 'Locked - Deployment in Progress' status</t>
  </si>
  <si>
    <t>Verify audit trail records lock event</t>
  </si>
  <si>
    <t>Release R-001 in Deploying status</t>
  </si>
  <si>
    <t>View audit history for environment booking</t>
  </si>
  <si>
    <t>Lock event recorded with timestamp and release reference</t>
  </si>
  <si>
    <t>Verify admin can emergency-unlock environment</t>
  </si>
  <si>
    <t>Release R-001 stuck in Deploying with locked ENV-01 for 6+ hours</t>
  </si>
  <si>
    <t>Admin performs emergency unlock procedure</t>
  </si>
  <si>
    <t>Environment unlocked with audit entry noting override reason</t>
  </si>
  <si>
    <t>Environment emergency unlocked by admin</t>
  </si>
  <si>
    <t>Verify notification sent when environment auto-locked</t>
  </si>
  <si>
    <t>Release R-001 with booked ENV-01, notification preferences enabled</t>
  </si>
  <si>
    <t>Transition release to Deploying</t>
  </si>
  <si>
    <t>Email/notification sent to release owner confirming lock</t>
  </si>
  <si>
    <t>Your environment slot ENV-01 is now locked for deployment</t>
  </si>
  <si>
    <t>Verify cannot book overlapping slot on locked environment</t>
  </si>
  <si>
    <t>§3-06, AV-07</t>
  </si>
  <si>
    <t>ENV-01 locked for R-001 deployment from 10:00-12:00</t>
  </si>
  <si>
    <t>Attempt to book ENV-01 for R-002 from 11:00-13:00</t>
  </si>
  <si>
    <t>Booking blocked due to locked slot overlap</t>
  </si>
  <si>
    <t>Environment locked for active deployment — cannot book</t>
  </si>
  <si>
    <t>5. Owner Control</t>
  </si>
  <si>
    <t>Verify environment owner can view all bookings for their environment</t>
  </si>
  <si>
    <t>User is designated owner of ENV-01 with 5 existing bookings</t>
  </si>
  <si>
    <t>Owner navigates to ENV-01 booking calendar</t>
  </si>
  <si>
    <t>All 5 bookings displayed with full details</t>
  </si>
  <si>
    <t>Verify environment owner can approve pending booking request</t>
  </si>
  <si>
    <t>Pending booking request for ENV-01, user is ENV-01 owner</t>
  </si>
  <si>
    <t>Owner approves the booking request</t>
  </si>
  <si>
    <t>Booking confirmed and slot reserved</t>
  </si>
  <si>
    <t>Booking approved for ENV-01</t>
  </si>
  <si>
    <t>Verify environment owner can reject pending booking request</t>
  </si>
  <si>
    <t>Owner rejects booking with reason 'Maintenance scheduled'</t>
  </si>
  <si>
    <t>Booking rejected, requester notified with reason</t>
  </si>
  <si>
    <t>Booking rejected: Maintenance scheduled</t>
  </si>
  <si>
    <t>Verify environment owner can cancel existing booking</t>
  </si>
  <si>
    <t>Confirmed booking on ENV-01, user is ENV-01 owner</t>
  </si>
  <si>
    <t>Owner cancels booking with reason 'Emergency maintenance'</t>
  </si>
  <si>
    <t>Booking cancelled, release owner notified</t>
  </si>
  <si>
    <t>Booking cancelled by environment owner: Emergency maintenance</t>
  </si>
  <si>
    <t>Verify environment owner can reassign booking to different slot</t>
  </si>
  <si>
    <t>Booking on ENV-01 10:00-12:00, user is ENV-01 owner, 14:00-16:00 available</t>
  </si>
  <si>
    <t>Owner reassigns booking to 14:00-16:00</t>
  </si>
  <si>
    <t>Booking moved, original slot freed, release owner notified</t>
  </si>
  <si>
    <t>Booking reassigned to 14:00-16:00 by environment owner</t>
  </si>
  <si>
    <t>Verify non-owner cannot cancel another user's booking</t>
  </si>
  <si>
    <t>User A's booking on ENV-01, User B is not owner and not booker</t>
  </si>
  <si>
    <t>User B attempts to cancel User A's booking</t>
  </si>
  <si>
    <t>Cancellation denied — insufficient permissions</t>
  </si>
  <si>
    <t>You do not have permission to cancel this booking</t>
  </si>
  <si>
    <t>Verify non-owner cannot approve/reject booking requests</t>
  </si>
  <si>
    <t>Pending booking request for ENV-01, user is not owner</t>
  </si>
  <si>
    <t>Non-owner attempts to approve request</t>
  </si>
  <si>
    <t>Action denied — only owners can approve</t>
  </si>
  <si>
    <t>Only environment owners can approve booking requests</t>
  </si>
  <si>
    <t>Verify environment owner can set blackout periods</t>
  </si>
  <si>
    <t>User is ENV-01 owner, no existing bookings for next week</t>
  </si>
  <si>
    <t>Owner creates blackout period for next Tuesday 00:00-23:59</t>
  </si>
  <si>
    <t>Blackout period created, new bookings blocked for that time</t>
  </si>
  <si>
    <t>Blackout period created for ENV-01</t>
  </si>
  <si>
    <t>Verify bookings blocked during blackout period</t>
  </si>
  <si>
    <t>ENV-01 has blackout period Tuesday 00:00-23:59</t>
  </si>
  <si>
    <t>User attempts to book ENV-01 for Tuesday 10:00-12:00</t>
  </si>
  <si>
    <t>Booking rejected due to blackout</t>
  </si>
  <si>
    <t>Environment unavailable — blackout period in effect</t>
  </si>
  <si>
    <t>Verify owner can override blackout for emergency release</t>
  </si>
  <si>
    <t>ENV-01 has blackout period, emergency release needs slot</t>
  </si>
  <si>
    <t>Owner manually approves booking during blackout</t>
  </si>
  <si>
    <t>Booking created with owner override flag</t>
  </si>
  <si>
    <t>Blackout override approved by environment owner</t>
  </si>
  <si>
    <t>Verify owner delegation when primary owner on leave</t>
  </si>
  <si>
    <t>ROLE-03, VR-12</t>
  </si>
  <si>
    <t>ENV-01 owner on leave, backup owner designated</t>
  </si>
  <si>
    <t>Backup owner approves pending booking request</t>
  </si>
  <si>
    <t>Booking approved by delegated authority</t>
  </si>
  <si>
    <t>Booking approved by backup owner</t>
  </si>
  <si>
    <t>Verify audit trail for all owner actions</t>
  </si>
  <si>
    <t>Multiple owner actions performed on ENV-01</t>
  </si>
  <si>
    <t>View environment audit history</t>
  </si>
  <si>
    <t>All owner approvals, rejections, cancellations logged with timestamps</t>
  </si>
  <si>
    <t>Verify owner receives notification for new booking requests</t>
  </si>
  <si>
    <t>User is ENV-01 owner with notifications enabled</t>
  </si>
  <si>
    <t>New booking request submitted for ENV-01</t>
  </si>
  <si>
    <t>Owner receives email/notification about pending request</t>
  </si>
  <si>
    <t>New booking request pending for ENV-01</t>
  </si>
  <si>
    <t>Verify owner can bulk-approve multiple pending requests</t>
  </si>
  <si>
    <t>5 pending booking requests for ENV-01, non-overlapping times</t>
  </si>
  <si>
    <t>Owner selects all 5 and clicks 'Approve Selected'</t>
  </si>
  <si>
    <t>All 5 bookings approved in single action</t>
  </si>
  <si>
    <t>5 bookings approved for ENV-01</t>
  </si>
  <si>
    <t>6. Deploy Validation</t>
  </si>
  <si>
    <t>Verify release cannot transition to Deploying without booked environment</t>
  </si>
  <si>
    <t>Attempt to transition to Deploying status</t>
  </si>
  <si>
    <t>Transition blocked with environment requirement message</t>
  </si>
  <si>
    <t>Cannot transition to Deploying — no environment slot booked</t>
  </si>
  <si>
    <t>Verify release can transition to Deploying with valid booking</t>
  </si>
  <si>
    <t>Transition succeeds, environment locked</t>
  </si>
  <si>
    <t>Release transitioned to Deploying</t>
  </si>
  <si>
    <t>Verify transition blocked if booking expired</t>
  </si>
  <si>
    <t>Transition blocked — booking has expired</t>
  </si>
  <si>
    <t>Cannot deploy — environment booking has expired</t>
  </si>
  <si>
    <t>Verify transition blocked if booking not yet active</t>
  </si>
  <si>
    <t>Attempt to transition to Deploying now</t>
  </si>
  <si>
    <t>Transition blocked — booking not yet active</t>
  </si>
  <si>
    <t>Cannot deploy — environment booking starts tomorrow at 10:00</t>
  </si>
  <si>
    <t>Verify warning when booking window is less than 1 hour remaining</t>
  </si>
  <si>
    <t>Warning displayed but transition allowed</t>
  </si>
  <si>
    <t>Warning: Only 45 minutes remaining in environment booking</t>
  </si>
  <si>
    <t>Verify transition allowed exactly at booking start time</t>
  </si>
  <si>
    <t>Transition to Deploying at exactly 10:00</t>
  </si>
  <si>
    <t>Transition succeeds (boundary condition met)</t>
  </si>
  <si>
    <t>Verify transition blocked one second before booking starts</t>
  </si>
  <si>
    <t>Transition blocked — 1 second before booking active</t>
  </si>
  <si>
    <t>Cannot deploy — environment booking starts at 10:00</t>
  </si>
  <si>
    <t>Verify transition allowed at last second of booking</t>
  </si>
  <si>
    <t>Transition to Deploying at 11:59:59</t>
  </si>
  <si>
    <t>Transition succeeds (still within window)</t>
  </si>
  <si>
    <t>Verify multiple environments all required for multi-env release</t>
  </si>
  <si>
    <t>Release requires ENV-01 and ENV-02, only ENV-01 booked</t>
  </si>
  <si>
    <t>Transition blocked — missing environment booking</t>
  </si>
  <si>
    <t>Cannot deploy — environment ENV-02 not booked</t>
  </si>
  <si>
    <t>Verify all environments validated when transitioning multi-env release</t>
  </si>
  <si>
    <t>Release requires ENV-01 and ENV-02, both booked for current time</t>
  </si>
  <si>
    <t>Transition to Deploying</t>
  </si>
  <si>
    <t>Transition succeeds, both environments locked</t>
  </si>
  <si>
    <t>Verify cancelled booking invalidates deploy readiness</t>
  </si>
  <si>
    <t>Release R-001 had valid booking, ENV-01 owner cancels it</t>
  </si>
  <si>
    <t>Attempt to transition to Deploying after cancellation</t>
  </si>
  <si>
    <t>Transition blocked — booking no longer valid</t>
  </si>
  <si>
    <t>Cannot deploy — environment booking was cancelled</t>
  </si>
  <si>
    <t>Verify booking validation ignores draft releases</t>
  </si>
  <si>
    <t>Release R-001 in Draft status, no environment booked</t>
  </si>
  <si>
    <t>Save release in Draft status</t>
  </si>
  <si>
    <t>Save succeeds — environment not required in Draft</t>
  </si>
  <si>
    <t>Verify booking required check only at Deploying transition</t>
  </si>
  <si>
    <t>All transitions succeed without environment check</t>
  </si>
  <si>
    <t>System prompts user to book environment slot</t>
  </si>
  <si>
    <t>7. Booking Modification</t>
  </si>
  <si>
    <t>Verify booker can extend booking end time within 24hr limit</t>
  </si>
  <si>
    <t>Existing booking ENV-01 10:00-12:00 (2 hours), 12:00-14:00 available</t>
  </si>
  <si>
    <t>Extend booking to 10:00-14:00 (4 hours)</t>
  </si>
  <si>
    <t>Booking extended successfully</t>
  </si>
  <si>
    <t>Booking extended to 14:00</t>
  </si>
  <si>
    <t>Existing booking ENV-01 08:00-20:00 (12 hours)</t>
  </si>
  <si>
    <t>Extension blocked — exceeds maximum duration</t>
  </si>
  <si>
    <t>Verify booker can shorten booking end time</t>
  </si>
  <si>
    <t>Existing booking ENV-01 10:00-14:00 (4 hours)</t>
  </si>
  <si>
    <t>Shorten booking to 10:00-12:00 (2 hours)</t>
  </si>
  <si>
    <t>Booking shortened, 12:00-14:00 slot freed</t>
  </si>
  <si>
    <t>Booking shortened — slot 12:00-14:00 now available</t>
  </si>
  <si>
    <t>Verify booker cannot shorten below 30 minutes</t>
  </si>
  <si>
    <t>Existing booking ENV-01 10:00-11:00 (1 hour)</t>
  </si>
  <si>
    <t>Attempt to shorten to 10:00-10:15 (15 minutes)</t>
  </si>
  <si>
    <t>Modification blocked — below minimum</t>
  </si>
  <si>
    <t>Cannot modify — minimum booking duration is 30 minutes</t>
  </si>
  <si>
    <t>Verify booker can change start time if slot available</t>
  </si>
  <si>
    <t>Existing booking ENV-01 10:00-12:00, 08:00-10:00 available</t>
  </si>
  <si>
    <t>Change start time to 08:00 (booking becomes 08:00-12:00)</t>
  </si>
  <si>
    <t>Booking start time updated, duration increased</t>
  </si>
  <si>
    <t>Booking start time changed to 08:00</t>
  </si>
  <si>
    <t>Verify booker cannot change to overlapping time slot</t>
  </si>
  <si>
    <t>Existing booking ENV-01 10:00-12:00, another booking 08:00-09:30</t>
  </si>
  <si>
    <t>Attempt to change start to 09:00 (overlaps with 08:00-09:30)</t>
  </si>
  <si>
    <t>Modification blocked — overlap detected</t>
  </si>
  <si>
    <t>Cannot modify — conflicts with existing booking 08:00-09:30</t>
  </si>
  <si>
    <t>Verify modification requires re-confirmation from owner (if approval required)</t>
  </si>
  <si>
    <t>ENV-01 requires owner approval, existing approved booking 10:00-12:00</t>
  </si>
  <si>
    <t>Modify booking to 10:00-14:00</t>
  </si>
  <si>
    <t>Modification pending owner re-approval</t>
  </si>
  <si>
    <t>Modification request sent to environment owner</t>
  </si>
  <si>
    <t>Verify locked booking cannot be modified</t>
  </si>
  <si>
    <t>Release in Deploying status, ENV-01 booking locked</t>
  </si>
  <si>
    <t>Attempt to extend booking duration</t>
  </si>
  <si>
    <t>Modification blocked — booking locked</t>
  </si>
  <si>
    <t>Cannot modify — environment slot locked for deployment</t>
  </si>
  <si>
    <t>Verify audit trail records modification history</t>
  </si>
  <si>
    <t>Booking modified multiple times (original, extension, time shift)</t>
  </si>
  <si>
    <t>View booking audit history</t>
  </si>
  <si>
    <t>All modifications logged with old/new values and timestamps</t>
  </si>
  <si>
    <t>Verify notification sent on booking modification</t>
  </si>
  <si>
    <t>Booking modified, notification preferences enabled</t>
  </si>
  <si>
    <t>System processes modification</t>
  </si>
  <si>
    <t>Notification sent to release owner and environment owner</t>
  </si>
  <si>
    <t>Environment booking modified for R-001</t>
  </si>
  <si>
    <t>Verify conflict cascade triggered on modification</t>
  </si>
  <si>
    <t>Modify booking to time that creates new overlap scenario</t>
  </si>
  <si>
    <t>Save booking modification</t>
  </si>
  <si>
    <t>System checks for conflicts, creates conflict record if found</t>
  </si>
  <si>
    <t>Verify modification preserves booking reference ID</t>
  </si>
  <si>
    <t>Existing booking with ID BK-001</t>
  </si>
  <si>
    <t>Modify booking time from 10:00-12:00 to 14:00-16:00</t>
  </si>
  <si>
    <t>Same booking ID retained, details updated</t>
  </si>
  <si>
    <t>Verify cannot modify past booking</t>
  </si>
  <si>
    <t>Booking for yesterday 10:00-12:00</t>
  </si>
  <si>
    <t>Attempt to modify booking details</t>
  </si>
  <si>
    <t>Modification blocked — booking is historical</t>
  </si>
  <si>
    <t>Cannot modify past bookings</t>
  </si>
  <si>
    <t>Verify modification allowed up to booking start time</t>
  </si>
  <si>
    <t>Booking starts in 5 minutes</t>
  </si>
  <si>
    <t>Modify booking end time</t>
  </si>
  <si>
    <t>Modification succeeds (still before start)</t>
  </si>
  <si>
    <t>Booking modified successfully</t>
  </si>
  <si>
    <t>8. Booking Cancellation</t>
  </si>
  <si>
    <t>Verify booker can cancel their own booking</t>
  </si>
  <si>
    <t>User has confirmed booking ENV-01 10:00-12:00 for release R-001</t>
  </si>
  <si>
    <t>User cancels the booking</t>
  </si>
  <si>
    <t>Booking cancelled, slot becomes available</t>
  </si>
  <si>
    <t>Booking cancelled — environment slot released</t>
  </si>
  <si>
    <t>Verify environment owner can cancel any booking on their environment</t>
  </si>
  <si>
    <t>Booking by User A on ENV-01, User B is ENV-01 owner</t>
  </si>
  <si>
    <t>Owner cancels User A's booking with reason</t>
  </si>
  <si>
    <t>Booking cancelled, User A notified with reason</t>
  </si>
  <si>
    <t>Booking cancelled by environment owner: [reason]</t>
  </si>
  <si>
    <t>Verify non-owner non-booker cannot cancel booking</t>
  </si>
  <si>
    <t>Booking by User A on ENV-01, User C is neither booker nor owner</t>
  </si>
  <si>
    <t>User C attempts to cancel booking</t>
  </si>
  <si>
    <t>Cancellation denied</t>
  </si>
  <si>
    <t>Verify locked booking cannot be cancelled by booker</t>
  </si>
  <si>
    <t>Release in Deploying status, booking locked</t>
  </si>
  <si>
    <t>Booker attempts to cancel</t>
  </si>
  <si>
    <t>Cancellation blocked during deployment</t>
  </si>
  <si>
    <t>Cannot cancel — environment locked for active deployment</t>
  </si>
  <si>
    <t>Verify admin can force-cancel locked booking in emergency</t>
  </si>
  <si>
    <t>Release stuck in Deploying, booking locked, emergency situation</t>
  </si>
  <si>
    <t>Admin force-cancels with emergency override</t>
  </si>
  <si>
    <t>Booking cancelled, release flagged, audit recorded</t>
  </si>
  <si>
    <t>Emergency cancellation by admin — deployment may be affected</t>
  </si>
  <si>
    <t>Verify cancellation reason is required for owner cancellation</t>
  </si>
  <si>
    <t>Environment owner cancelling another user's booking</t>
  </si>
  <si>
    <t>Owner clicks cancel without entering reason</t>
  </si>
  <si>
    <t>Cancellation blocked — reason required</t>
  </si>
  <si>
    <t>Please provide a reason for cancelling this booking</t>
  </si>
  <si>
    <t>Verify cancellation sends notification to release owner</t>
  </si>
  <si>
    <t>Booking cancelled (either by booker or owner)</t>
  </si>
  <si>
    <t>System processes cancellation</t>
  </si>
  <si>
    <t>Release owner receives cancellation notification</t>
  </si>
  <si>
    <t>Environment booking cancelled for release R-001</t>
  </si>
  <si>
    <t>Verify cancellation updates release readiness status</t>
  </si>
  <si>
    <t>Booking cancelled</t>
  </si>
  <si>
    <t>Release deploy readiness updated to show missing environment</t>
  </si>
  <si>
    <t>Verify cancelled slot immediately available for rebooking</t>
  </si>
  <si>
    <t>Booking ENV-01 10:00-12:00 cancelled</t>
  </si>
  <si>
    <t>Another user attempts to book ENV-01 10:00-12:00</t>
  </si>
  <si>
    <t>New booking succeeds</t>
  </si>
  <si>
    <t>Environment slot booked successfully</t>
  </si>
  <si>
    <t>Verify audit trail records cancellation with reason</t>
  </si>
  <si>
    <t>Booking cancelled with reason 'Maintenance required'</t>
  </si>
  <si>
    <t>Cancellation logged with user, timestamp, and reason</t>
  </si>
  <si>
    <t>Verify cannot cancel past/completed booking</t>
  </si>
  <si>
    <t>Booking from yesterday, already completed</t>
  </si>
  <si>
    <t>Attempt to cancel</t>
  </si>
  <si>
    <t>Cancellation blocked — historical record</t>
  </si>
  <si>
    <t>Cannot cancel completed booking — record is historical</t>
  </si>
  <si>
    <t>Verify bulk cancellation by environment owner</t>
  </si>
  <si>
    <t>5 bookings on ENV-01, user is owner, maintenance window needed</t>
  </si>
  <si>
    <t>Owner selects all 5 and bulk cancels with reason</t>
  </si>
  <si>
    <t>All bookings cancelled, all release owners notified</t>
  </si>
  <si>
    <t>5 bookings cancelled for environment maintenance</t>
  </si>
  <si>
    <t>9. Permissions</t>
  </si>
  <si>
    <t>Verify release owner can book environment for their release</t>
  </si>
  <si>
    <t>Book ENV-01 for release R-001</t>
  </si>
  <si>
    <t>Booking created (pending approval or confirmed based on env config)</t>
  </si>
  <si>
    <t>Environment slot booked for R-001</t>
  </si>
  <si>
    <t>Verify release team member can book environment for team release</t>
  </si>
  <si>
    <t>User is team member on release R-001</t>
  </si>
  <si>
    <t>Booking created with appropriate permissions</t>
  </si>
  <si>
    <t>Verify user cannot book environment for release they don't belong to</t>
  </si>
  <si>
    <t>User has no role on release R-001</t>
  </si>
  <si>
    <t>Attempt to book ENV-01 for R-001</t>
  </si>
  <si>
    <t>Booking denied — insufficient permissions</t>
  </si>
  <si>
    <t>You do not have permission to book for this release</t>
  </si>
  <si>
    <t>Verify read-only user can view but not create bookings</t>
  </si>
  <si>
    <t>User has read-only access to releases</t>
  </si>
  <si>
    <t>Attempt to create environment booking</t>
  </si>
  <si>
    <t>Booking creation denied</t>
  </si>
  <si>
    <t>Read-only users cannot create environment bookings</t>
  </si>
  <si>
    <t>Verify environment visibility based on user permissions</t>
  </si>
  <si>
    <t>User has access to Production environments, not DR environments</t>
  </si>
  <si>
    <t>View environment booking calendar</t>
  </si>
  <si>
    <t>Only Production environments visible in list</t>
  </si>
  <si>
    <t>Verify admin can book on any environment</t>
  </si>
  <si>
    <t>User has admin role, restricted environment ENV-SECURE</t>
  </si>
  <si>
    <t>Book ENV-SECURE for emergency release</t>
  </si>
  <si>
    <t>Booking created with admin override flag</t>
  </si>
  <si>
    <t>Booking created with admin privileges</t>
  </si>
  <si>
    <t>Verify environment group permissions apply correctly</t>
  </si>
  <si>
    <t>User has 'UAT Team' group permission, UAT environments configured for group</t>
  </si>
  <si>
    <t>Book UAT-01 environment</t>
  </si>
  <si>
    <t>Booking allowed based on group membership</t>
  </si>
  <si>
    <t>Environment slot booked</t>
  </si>
  <si>
    <t>Verify cross-application booking restrictions</t>
  </si>
  <si>
    <t>User's release is for App A, ENV-01 is designated for App B only</t>
  </si>
  <si>
    <t>Attempt to book ENV-01 for App A release</t>
  </si>
  <si>
    <t>Booking denied — environment not available for this application</t>
  </si>
  <si>
    <t>Environment ENV-01 is not available for application App A</t>
  </si>
  <si>
    <t>Verify permission check on booking modification</t>
  </si>
  <si>
    <t>User A created booking, User B (non-owner) attempts modification</t>
  </si>
  <si>
    <t>User B tries to extend booking</t>
  </si>
  <si>
    <t>Modification denied — not booker or owner</t>
  </si>
  <si>
    <t>You do not have permission to modify this booking</t>
  </si>
  <si>
    <t>Verify audit log access restricted appropriately</t>
  </si>
  <si>
    <t>User with standard permissions views environment booking</t>
  </si>
  <si>
    <t>Attempt to view detailed audit log</t>
  </si>
  <si>
    <t>Can see own booking history, cannot see other users' details</t>
  </si>
  <si>
    <t>Verify delegation permissions for environment booking</t>
  </si>
  <si>
    <t>Release owner delegates booking authority to team member</t>
  </si>
  <si>
    <t>Delegate creates booking on behalf of release owner</t>
  </si>
  <si>
    <t>Booking created with delegation flag</t>
  </si>
  <si>
    <t>Booking created by [delegate] on behalf of [owner]</t>
  </si>
  <si>
    <t>Verify revoked permissions block existing booking modifications</t>
  </si>
  <si>
    <t>User had booking permission, permission revoked while booking active</t>
  </si>
  <si>
    <t>User attempts to modify their existing booking</t>
  </si>
  <si>
    <t>Modification denied — current permissions insufficient</t>
  </si>
  <si>
    <t>Your permissions have changed — cannot modify booking</t>
  </si>
  <si>
    <t>10. Edge Cases</t>
  </si>
  <si>
    <t>Concurrent booking attempts for same slot</t>
  </si>
  <si>
    <t>Two users open booking form for ENV-01 10:00-12:00 simultaneously</t>
  </si>
  <si>
    <t>Both click Submit at the same time</t>
  </si>
  <si>
    <t>One succeeds, other gets conflict error</t>
  </si>
  <si>
    <t>Environment just booked — please select different slot</t>
  </si>
  <si>
    <t>Booking exactly at midnight boundary</t>
  </si>
  <si>
    <t>User booking environment from 23:30 to 00:30 next day</t>
  </si>
  <si>
    <t>Submit booking spanning midnight</t>
  </si>
  <si>
    <t>Booking created correctly across day boundary</t>
  </si>
  <si>
    <t>Environment slot booked (23:30-00:30)</t>
  </si>
  <si>
    <t>Booking spanning daylight saving time change</t>
  </si>
  <si>
    <t>Booking on DST transition day, 01:00-03:00 (2:00 AM skipped)</t>
  </si>
  <si>
    <t>Submit booking</t>
  </si>
  <si>
    <t>System handles DST correctly, duration calculated properly</t>
  </si>
  <si>
    <t>Maximum concurrent bookings across environments</t>
  </si>
  <si>
    <t>Release R-001 needs 10 different environments simultaneously</t>
  </si>
  <si>
    <t>Book all 10 environments for same time window</t>
  </si>
  <si>
    <t>All bookings created if no conflicts exist</t>
  </si>
  <si>
    <t>10 environment slots booked for R-001</t>
  </si>
  <si>
    <t>Booking with exactly 30 minute duration</t>
  </si>
  <si>
    <t>User books ENV-01 for minimum 30 minutes</t>
  </si>
  <si>
    <t>Submit booking 10:00-10:30</t>
  </si>
  <si>
    <t>Booking accepted (boundary minimum)</t>
  </si>
  <si>
    <t>Environment slot booked (30 minutes)</t>
  </si>
  <si>
    <t>Booking accepted (boundary maximum)</t>
  </si>
  <si>
    <t>Network timeout during booking submission</t>
  </si>
  <si>
    <t>User submits booking, network drops mid-request</t>
  </si>
  <si>
    <t>Either original booking exists (retry shows duplicate) or clean retry succeeds</t>
  </si>
  <si>
    <t>Booking already exists / Booking created successfully</t>
  </si>
  <si>
    <t>Session expiry during booking form completion</t>
  </si>
  <si>
    <t>User filling booking form for 2+ hours, session expires</t>
  </si>
  <si>
    <t>User clicks Submit</t>
  </si>
  <si>
    <t>Redirected to login, form data preserved</t>
  </si>
  <si>
    <t>Session expired — please log in to continue</t>
  </si>
  <si>
    <t>Environment retired while booking active</t>
  </si>
  <si>
    <t>Booking confirmed on ENV-01, admin retires ENV-01</t>
  </si>
  <si>
    <t>System processes retirement</t>
  </si>
  <si>
    <t>Booking flagged, release owner notified to rebook</t>
  </si>
  <si>
    <t>Environment ENV-01 retired — please book alternative</t>
  </si>
  <si>
    <t>Booking for release that gets cancelled</t>
  </si>
  <si>
    <t>Booking confirmed for R-001, R-001 subsequently cancelled</t>
  </si>
  <si>
    <t>Release cancellation processed</t>
  </si>
  <si>
    <t>Booking auto-cancelled, slot released</t>
  </si>
  <si>
    <t>Booking auto-cancelled due to release cancellation</t>
  </si>
  <si>
    <t>Very long environment name display</t>
  </si>
  <si>
    <t>Environment named 'Production-US-East-Region-1-Primary-Database-Server-Cluster-A'</t>
  </si>
  <si>
    <t>View environment in booking dropdown</t>
  </si>
  <si>
    <t>Name displayed correctly (truncated with tooltip if needed)</t>
  </si>
  <si>
    <t>Special characters in booking notes</t>
  </si>
  <si>
    <t>User enters notes: "Deploy &lt;script&gt;test&lt;/script&gt; &amp; verify 'quota'"</t>
  </si>
  <si>
    <t>Save booking with special characters</t>
  </si>
  <si>
    <t>Characters properly escaped, no XSS execution</t>
  </si>
  <si>
    <t>Unicode characters in booking notes</t>
  </si>
  <si>
    <t>User enters Japanese/Chinese characters in notes field</t>
  </si>
  <si>
    <t>Save booking with unicode</t>
  </si>
  <si>
    <t>Characters stored and displayed correctly</t>
  </si>
  <si>
    <t>Booking calendar performance with 1000+ bookings</t>
  </si>
  <si>
    <t>Environment has 1000 historical bookings</t>
  </si>
  <si>
    <t>Load booking calendar for date range</t>
  </si>
  <si>
    <t>Calendar loads in &lt;3 seconds, pagination applied</t>
  </si>
  <si>
    <t>Leap year date booking (Feb 29)</t>
  </si>
  <si>
    <t>Booking environment for Feb 29 in leap year</t>
  </si>
  <si>
    <t>Booking created correctly for leap year date</t>
  </si>
  <si>
    <t>Environment slot booked for Feb 29</t>
  </si>
  <si>
    <t>Year boundary booking (Dec 31 - Jan 1)</t>
  </si>
  <si>
    <t>Booking from Dec 31 22:00 to Jan 1 02:00</t>
  </si>
  <si>
    <t>Submit booking spanning year boundary</t>
  </si>
  <si>
    <t>Booking created correctly across year boundary</t>
  </si>
  <si>
    <t>Environment slot booked (Dec 31 - Jan 1)</t>
  </si>
  <si>
    <t>Timezone handling for distributed team</t>
  </si>
  <si>
    <t>User in EST books 10:00 AM, colleague in PST views booking</t>
  </si>
  <si>
    <t>Colleague views booking calendar</t>
  </si>
  <si>
    <t>Times displayed in viewer's local timezone (7:00 AM PST)</t>
  </si>
  <si>
    <t>Database timeout during booking creation</t>
  </si>
  <si>
    <t>Database times out during booking write operation</t>
  </si>
  <si>
    <t>User retries after timeout</t>
  </si>
  <si>
    <t>No duplicate booking created, clean retry succeeds</t>
  </si>
  <si>
    <t>Concurrent modification and cancellation</t>
  </si>
  <si>
    <t>User A modifying booking while User B (owner) cancelling it</t>
  </si>
  <si>
    <t>Cancellation takes precedence, modification rejected</t>
  </si>
  <si>
    <t>Booking was cancelled — modification not applied</t>
  </si>
  <si>
    <t>Maximum notes field length</t>
  </si>
  <si>
    <t>User enters 10,000 characters in booking notes field</t>
  </si>
  <si>
    <t>Notes truncated to maximum 5000 characters</t>
  </si>
  <si>
    <t>Empty environment list for restricted user</t>
  </si>
  <si>
    <t>User has no environment permissions whatsoever</t>
  </si>
  <si>
    <t>Navigate to environment booking page</t>
  </si>
  <si>
    <t>Graceful empty state message displayed</t>
  </si>
  <si>
    <t>No environments available for booking — contact administrator</t>
  </si>
  <si>
    <t>Booking during scheduled maintenance window</t>
  </si>
  <si>
    <t>Maintenance window 02:00-06:00, user tries to book 03:00-05:00</t>
  </si>
  <si>
    <t>Submit booking during maintenance</t>
  </si>
  <si>
    <t>Booking blocked with maintenance warning</t>
  </si>
  <si>
    <t>Environment unavailable — scheduled maintenance 02:00-06:00</t>
  </si>
  <si>
    <t>Edge Case (E):</t>
  </si>
  <si>
    <t>2. Double-Booking Detection</t>
  </si>
  <si>
    <t>3. Auto-Release</t>
  </si>
  <si>
    <t>Review Findings</t>
  </si>
  <si>
    <t>[CONFIRM] Met is system-assigned here (predecessor already Deployed/Closed). Make explicit to avoid apparent conflict with DEP-TC-047 (cannot manually create Met).</t>
  </si>
  <si>
    <t>[CONFIRM] Met is system-assigned here (predecessor already Deployed). Same note as DEP-TC-015.</t>
  </si>
  <si>
    <t>[CONFIRM] Cross-ref DEP-TC-015/016: distinguish user-set Met (blocked, this test) vs system-set Met (allowed).</t>
  </si>
  <si>
    <t>[MINOR] 2000-char waiver limit is not defined in any rule. Add a §1 field-constraint rule or cite the source.</t>
  </si>
  <si>
    <t>[CONFIRM] VR-36 literally freezes add/remove only. Blocking a WAIVE extends the rule. Confirm the product actually locks waivers at Deploying.</t>
  </si>
  <si>
    <t>[CONFIRM] VR-36 extension: blocks At Risk transition when locked. Confirm intent (rule text covers add/remove only).</t>
  </si>
  <si>
    <t>[CONFIRM] VR-36 extension: blocks notes editing when locked. Confirm intent (rule text covers add/remove only).</t>
  </si>
  <si>
    <t>[CONFIRM] "Optional vs required approver" distinction is not in VR-11, which only covers the required CAB approver. Confirm the concept exists or drop it.</t>
  </si>
  <si>
    <t>[CONFIRM] Warning severity scaling by leave duration is not defined in VR-12 (a flat WARN). Gold-plating — confirm intended behaviour.</t>
  </si>
  <si>
    <t>[CONFIRM] Warning severity by leave type (sick vs annual) is not in VR-12. Gold-plating — confirm intended.</t>
  </si>
  <si>
    <t>[CONFIRM] Blocking manual create/modify/delete of leave (also TC-083/084) is not backed by any rule — AV-12 only defines the HR sync job, not read-only enforcement. Add a field/permission rule or confirm intent.</t>
  </si>
  <si>
    <t>[CONFIRM] 30-min minimum borrows §1-08 (environment-slot duration), which governs env bookings, not maintenance windows. No MW duration rule exists in the spec.</t>
  </si>
  <si>
    <t>[CONFIRM] "Only administrators" (also TC-061/078) is not backed by a ROLE rule. ROLE-05 covers freeze windows (CCB), not maintenance windows. Add a permission rule or cite the source.</t>
  </si>
  <si>
    <t>[CONFIRM] Emergency immediate-alert (also TC-031 configurable timing, TC-109) extends AV-09, which defines only a fixed 24-hour T-minus check. Confirm intended.</t>
  </si>
  <si>
    <t>[CONFIRM] "CAB Date cannot be in past" cites VR-03, but VR-03 only requires CAB before Go-Live. No rule blocks a past CAB Date. Add a rule or fix the citation.</t>
  </si>
  <si>
    <t>[MINOR] Warning cadence (7/3/1 days) is not defined in AV-22 and is inconsistent with TC-092's day-28 (T-2) warning. Reconcile the schedule.</t>
  </si>
  <si>
    <t>[CONFIRM] Env double-booking behaviour is inconsistent across the suite: some tests BLOCK the booking (AV-07: TC-054, TC-060–064), others ALLOW it and auto-create a Conflict record (CASC-07: this test, TC-089). AV-07 and CASC-07 themselves conflict. Decide block vs allow-with-record.</t>
  </si>
  <si>
    <t>[CONFIRM] The Baseline Management section (TC-065–080) has no governing rule in the spec — establish/update/lock/mask-secrets/rollback behaviours are all unbacked (cited only as "Baseline"). Add baseline rules or mark these as design assumptions.</t>
  </si>
  <si>
    <t>[MINOR] Mitigation Plan length limits (10/4000 chars; also risk Description 10000 chars in TC-140/141) are not defined in VR-27 or any §1 rule. Add field-constraint rules.</t>
  </si>
  <si>
    <t>[CONFIRM] §3-22 makes risks read-only at Ready, but TC-088 (status transition) and TC-090 (notes) carve out exceptions, and TC-089/094 extend the lock to create/delete. Confirm these extensions are intended.</t>
  </si>
  <si>
    <t>[CONFIRM] AV-02 defines High-only escalation to owner + manager at 3 days. Critical→VP (this test), the 2-day warning (TC-103), and the multi-level 3/5/7-day tiers (TC-106) are all gold-plating beyond AV-02. Confirm or add supporting rules.</t>
  </si>
  <si>
    <t>[CONFIRM] VR-31 only requires Ops = Yes before Ready; it does not bar approving Ops earlier. This test adds a precondition (release must be Approved first) not in VR-31. Confirm or drop.</t>
  </si>
  <si>
    <t>[CONFIRM] No rule requires a Business Sign-Off for Large releases — VR-14 requires only Dev/Test/UAT, and "Reference Data" is not a rule. Add a rule or remove this test.</t>
  </si>
  <si>
    <t>[CONFIRM] Sign-off SLA period is not defined by any rule (tests assume ~7 days), and "SLA pauses when Blocked" (TC-126) is invented. The lifecycle allows Expired-by-SLA but defines no duration. Add SLA rules.</t>
  </si>
  <si>
    <t>[CONFIRM] "Open blocker blocks UAT transition" — no transition rule gates Testing→UAT on blockers. AV-01 is a nightly background auto-block, and VR-15 is Ready-specific. Confirm whether the UAT transition is actually blocker-gated.</t>
  </si>
  <si>
    <t>[CONFIRM] VR-35 only prevents new blocker CREATION after Deploying. Making existing blockers read-only at Deploying (this test) extends the rule. Confirm intended.</t>
  </si>
  <si>
    <t>[MINOR] 10000-char max description is not defined (§1-09 sets only the 10-char minimum; also TC-071). Add a max-length field constraint.</t>
  </si>
  <si>
    <t>[CONFIRM] 30-day reopen window is not defined by any rule; the lifecycle allows Resolved → Reopened with no time limit. Add a rule or drop the cutoff.</t>
  </si>
  <si>
    <t>[CONFIRM] The whole PIR section is built on "VR-34 (analog)". VR-34 governs RELEASE closure (Large or Rolled Back), not incidents. No incident-PIR rule exists — the triggers (Critical, &gt;4-hr outage), 5-business-day completion, and manager approval are all invented. Add incident-PIR rules or mark as design assumptions.</t>
  </si>
  <si>
    <t>[CONFIRM] VR-13 only requires escalating a Critical-without-owner incident immediately to a default owner. Timed multi-level escalation (30-min→L2 here, 4-hr→VP in TC-124) is gold-plating beyond VR-13.</t>
  </si>
  <si>
    <t>[MINOR] Incident SLA thresholds (Critical = 4 hrs; also TC-128/151/152) are not defined in any rule. Add an SLA rule or cite the governing policy.</t>
  </si>
  <si>
    <t>[CONFIRM] Critical drift "auto-escalates" — same tension as the Drift suite: the lifecycle reaches Escalated only from Investigating (Detected→Escalated is invalid per TC-076). Reconcile a sanctioned system auto-escalate path.</t>
  </si>
  <si>
    <t>[MINOR] Escalation hierarchy (RM→Line Manager→Director) and configurable timeout (TC-124) cite "Escalation" (not a rule); no rule defines this chain. Batch-job SLA/timezone/DST behaviours (Section 8) are likewise design-level, not rule-backed.</t>
  </si>
  <si>
    <t>[CONFIRM] "All 5 sign-offs" — VR-14 requires only 3 (Dev/Test/UAT). Business/Security aren't universally required (Security is conditional per VR-37). Reconcile with the sign-off taxonomy (see Sign-Off suite).</t>
  </si>
  <si>
    <t>Risk editable when Release in Approved</t>
  </si>
  <si>
    <t>Release in Approved status. Risk linked to release.</t>
  </si>
  <si>
    <t>Release in Approved status, Critical incident linked</t>
  </si>
  <si>
    <t>Release in Approved status, High severity incident linked</t>
  </si>
  <si>
    <t>Release in Approved, Critical incident linked</t>
  </si>
  <si>
    <t>User has edit access to release in Draft/Planning status.</t>
  </si>
  <si>
    <t>Release in Planning status. No blockers.</t>
  </si>
  <si>
    <t>Release in Planning status. Blocker in Open.</t>
  </si>
  <si>
    <t>Blocker remains editable during Planning</t>
  </si>
  <si>
    <t>Release in Planning, no blockers.</t>
  </si>
  <si>
    <t>Release R-001 in Ready status with booked environment slot ENV-01 from 10:00-12:00</t>
  </si>
  <si>
    <t>Transition release to Rolled Back status</t>
  </si>
  <si>
    <t>Release R-001 in Ready status, no environment booked</t>
  </si>
  <si>
    <t>Release R-001 in Ready with confirmed ENV-01 booking for current time</t>
  </si>
  <si>
    <t>Release R-001 in Ready, ENV-01 booking was 10:00-12:00, current time 14:00</t>
  </si>
  <si>
    <t>Release R-001 in Ready, ENV-01 booking for tomorrow 10:00-12:00</t>
  </si>
  <si>
    <t>Release R-001 in Ready, ENV-01 booking ends in 45 minutes</t>
  </si>
  <si>
    <t>Release R-001 in Ready, ENV-01 booking 10:00-12:00, current time exactly 10:00:00</t>
  </si>
  <si>
    <t>Release R-001 in Ready, ENV-01 booking 10:00-12:00, current time 09:59:59</t>
  </si>
  <si>
    <t>Release R-001 in Ready, ENV-01 booking ends 12:00, current time 11:59:59</t>
  </si>
  <si>
    <t>Release R-001 transitions through Submitted, Approved, Ready without booking</t>
  </si>
  <si>
    <t>Complete all transitions up to Ready</t>
  </si>
  <si>
    <t>Verify environment booking prompt on Ready transition</t>
  </si>
  <si>
    <t>Release R-001 transitioning to Ready, no booking yet</t>
  </si>
  <si>
    <t>Release in Ready with valid booking, booking cancelled</t>
  </si>
  <si>
    <t>User is owner of release R-001 in Ready status</t>
  </si>
  <si>
    <t>Sign-Off → Withdrawn, documentation saved</t>
  </si>
  <si>
    <t>Withdrawn sign-off is read-only</t>
  </si>
  <si>
    <t>Blocked - Withdrawn is final</t>
  </si>
  <si>
    <t>Approval expires after 30 days</t>
  </si>
  <si>
    <t>Approval granted 31 days ago.</t>
  </si>
  <si>
    <t>Expired. AV-22 rule triggered (older than 30 days).</t>
  </si>
  <si>
    <t>Valid types: Dev, Test, UAT (per VR-14).</t>
  </si>
  <si>
    <t>No conflict detected. Adjacent windows (non-overlapping) are allowed.</t>
  </si>
  <si>
    <t>Active conflict count = 2. Resolved conflicts excluded.</t>
  </si>
  <si>
    <t>Notes truncated at 5000 characters. Warning displayed.</t>
  </si>
  <si>
    <t>AV-14 detects unauthorized change.</t>
  </si>
  <si>
    <t>Drift created in Detected status. System auto-transitions to Investigating, then Escalated per AV-14.</t>
  </si>
  <si>
    <t>Drift logged. Maintenance window noted in audit. No alert suppression (maintenance doesn't exempt drift detection).</t>
  </si>
  <si>
    <t>BLOCKED. Cannot create dependency on a Draft release.</t>
  </si>
  <si>
    <t>Predecessor release must be Ready or later.</t>
  </si>
  <si>
    <t>Ready gate evaluates all dependencies equally. Both hard and soft dependencies must be Met or Waived.</t>
  </si>
  <si>
    <t>Open blocker count decrements to 2. Cancelled blockers excluded from active count.</t>
  </si>
  <si>
    <t>BLOCKED. Minimum duration not met.</t>
  </si>
  <si>
    <t>WARNING displayed. Excessive duration flagged but allowed.</t>
  </si>
  <si>
    <t>WARNING displayed. Modifications close to start time flagged but allowed.</t>
  </si>
  <si>
    <t>In-app warning shown. Notification queued for retry.</t>
  </si>
  <si>
    <t>User added to system. Leave records sync once user is active. No self-assign warning (new user has no assignments).</t>
  </si>
  <si>
    <t>EB-TC-061</t>
  </si>
  <si>
    <t>EB-TC-062</t>
  </si>
  <si>
    <t>EB-TC-063</t>
  </si>
  <si>
    <t>EB-TC-064</t>
  </si>
  <si>
    <t>EB-TC-065</t>
  </si>
  <si>
    <t>EB-TC-066</t>
  </si>
  <si>
    <t>EB-TC-067</t>
  </si>
  <si>
    <t>EB-TC-068</t>
  </si>
  <si>
    <t>EB-TC-069</t>
  </si>
  <si>
    <t>EB-TC-070</t>
  </si>
  <si>
    <t>EB-TC-071</t>
  </si>
  <si>
    <t>EB-TC-072</t>
  </si>
  <si>
    <t>EB-TC-073</t>
  </si>
  <si>
    <t>EB-TC-074</t>
  </si>
  <si>
    <t>EB-TC-075</t>
  </si>
  <si>
    <t>EB-TC-076</t>
  </si>
  <si>
    <t>EB-TC-077</t>
  </si>
  <si>
    <t>EB-TC-078</t>
  </si>
  <si>
    <t>EB-TC-079</t>
  </si>
  <si>
    <t>EB-TC-080</t>
  </si>
  <si>
    <t>EB-TC-081</t>
  </si>
  <si>
    <t>EB-TC-082</t>
  </si>
  <si>
    <t>EB-TC-083</t>
  </si>
  <si>
    <t>EB-TC-084</t>
  </si>
  <si>
    <t>EB-TC-085</t>
  </si>
  <si>
    <t>EB-TC-086</t>
  </si>
  <si>
    <t>EB-TC-087</t>
  </si>
  <si>
    <t>EB-TC-088</t>
  </si>
  <si>
    <t>EB-TC-089</t>
  </si>
  <si>
    <t>EB-TC-090</t>
  </si>
  <si>
    <t>EB-TC-091</t>
  </si>
  <si>
    <t>EB-TC-092</t>
  </si>
  <si>
    <t>EB-TC-093</t>
  </si>
  <si>
    <t>EB-TC-094</t>
  </si>
  <si>
    <t>EB-TC-095</t>
  </si>
  <si>
    <t>EB-TC-096</t>
  </si>
  <si>
    <t>EB-TC-097</t>
  </si>
  <si>
    <t>EB-TC-098</t>
  </si>
  <si>
    <t>EB-TC-099</t>
  </si>
  <si>
    <t>Notes truncated at 5000 characters. Warning displayed to user.</t>
  </si>
  <si>
    <t>Comments truncated at 5000 characters. Warning displayed.</t>
  </si>
  <si>
    <t>Release R-001 successfully transitions to Deploying. Environment slot active.</t>
  </si>
  <si>
    <t>EB-TC-100</t>
  </si>
  <si>
    <t>EB-TC-101</t>
  </si>
  <si>
    <t>EB-TC-102</t>
  </si>
  <si>
    <t>EB-TC-103</t>
  </si>
  <si>
    <t>EB-TC-104</t>
  </si>
  <si>
    <t>EB-TC-105</t>
  </si>
  <si>
    <t>EB-TC-106</t>
  </si>
  <si>
    <t>EB-TC-107</t>
  </si>
  <si>
    <t>EB-TC-108</t>
  </si>
  <si>
    <t>EB-TC-109</t>
  </si>
  <si>
    <t>EB-TC-110</t>
  </si>
  <si>
    <t>EB-TC-111</t>
  </si>
  <si>
    <t>EB-TC-112</t>
  </si>
  <si>
    <t>EB-TC-113</t>
  </si>
  <si>
    <t>EB-TC-114</t>
  </si>
  <si>
    <t>EB-TC-115</t>
  </si>
  <si>
    <t>EB-TC-116</t>
  </si>
  <si>
    <t>EB-TC-117</t>
  </si>
  <si>
    <t>EB-TC-118</t>
  </si>
  <si>
    <t>EB-TC-119</t>
  </si>
  <si>
    <t>EB-TC-120</t>
  </si>
  <si>
    <t>EB-TC-121</t>
  </si>
  <si>
    <t>EB-TC-122</t>
  </si>
  <si>
    <t>EB-TC-123</t>
  </si>
  <si>
    <t>EB-TC-124</t>
  </si>
  <si>
    <t>EB-TC-125</t>
  </si>
  <si>
    <t>EB-TC-126</t>
  </si>
  <si>
    <t>EB-TC-127</t>
  </si>
  <si>
    <t>EB-TC-128</t>
  </si>
  <si>
    <t>EB-TC-129</t>
  </si>
  <si>
    <t>EB-TC-130</t>
  </si>
  <si>
    <t>EB-TC-131</t>
  </si>
  <si>
    <t>EB-TC-132</t>
  </si>
  <si>
    <t>EB-TC-133</t>
  </si>
  <si>
    <t>EB-TC-134</t>
  </si>
  <si>
    <t>EB-TC-135</t>
  </si>
  <si>
    <t>EB-TC-136</t>
  </si>
  <si>
    <t>EB-TC-137</t>
  </si>
  <si>
    <t>EB-TC-138</t>
  </si>
  <si>
    <t>EB-TC-139</t>
  </si>
  <si>
    <t>EB-TC-140</t>
  </si>
  <si>
    <t>EB-TC-141</t>
  </si>
  <si>
    <t>EB-TC-142</t>
  </si>
  <si>
    <t>EB-TC-143</t>
  </si>
  <si>
    <t>EB-TC-144</t>
  </si>
  <si>
    <t>EB-TC-145</t>
  </si>
  <si>
    <t>EB-TC-146</t>
  </si>
  <si>
    <t>EB-TC-147</t>
  </si>
  <si>
    <t>EB-TC-148</t>
  </si>
  <si>
    <t>EB-TC-149</t>
  </si>
  <si>
    <t>EB-TC-150</t>
  </si>
  <si>
    <t>EB-TC-151</t>
  </si>
  <si>
    <t>EB-TC-152</t>
  </si>
  <si>
    <t>EB-TC-153</t>
  </si>
  <si>
    <t>EB-TC-154</t>
  </si>
  <si>
    <t>EB-TC-155</t>
  </si>
  <si>
    <t>EB-TC-156</t>
  </si>
  <si>
    <t>EB-TC-157</t>
  </si>
  <si>
    <t>EB-TC-158</t>
  </si>
  <si>
    <t>EB-TC-159</t>
  </si>
  <si>
    <t>EB-TC-160</t>
  </si>
  <si>
    <t>EB-TC-161</t>
  </si>
  <si>
    <t>EB-TC-162</t>
  </si>
  <si>
    <t>Readiness % weights hard and soft dependencies equally</t>
  </si>
  <si>
    <t>Hard and soft dependencies contribute equally to the Readiness % (consistent with TC-126/127; §2-02/AV-20 do not privilege hard dependencies).</t>
  </si>
  <si>
    <t>Blocker resolution (§4-13)</t>
  </si>
  <si>
    <t>If any Conflict record linked to the release has Status = Detected or Under Review (i.e., not Resolved or Dismissed), transition to Ready is blocked. Schedule conflicts must be addressed.</t>
  </si>
  <si>
    <t>Daily automated job syncs approved leave from the HR calendar and recalculates Release Owner / approver availability for all affected releases.</t>
  </si>
  <si>
    <t>When a deployment is attempted during an active freeze window, block it unless the release is Regulatory AND a VP-level exemption is on record.</t>
  </si>
  <si>
    <t>Failed external-system syncs retry with exponential backoff (5, 15, 30, 60 minutes); alert admin after 3 consecutive failures.</t>
  </si>
  <si>
    <t>When a release transitions to Rejected, previously locked gate fields are unlocked so the team can rework before resubmitting to CAB.</t>
  </si>
  <si>
    <t>All date fields must contain a valid calendar date in the system's configured date format (dd/mm/yyyy). Malformed or non-existent dates (e.g., 31/02/2025) are rejected on save.</t>
  </si>
  <si>
    <t>Unresolved Conflicts Block Ready</t>
  </si>
  <si>
    <t>When a user creates a dependency that would form a circular chain (e.g., A→B→A, or a longer loop), the system blocks it. Dependency relationships must remain acyclic.</t>
  </si>
  <si>
    <t>CASC-13</t>
  </si>
  <si>
    <t>Cancellation Cascade</t>
  </si>
  <si>
    <t>Release moved to Cancelled</t>
  </si>
  <si>
    <t>Auto-cancel all linked child records</t>
  </si>
  <si>
    <t>CASC-13, NOTIF</t>
  </si>
  <si>
    <t>Status changes to Cancelled. Approvals cancelled; linked blockers and risks unlinked (external inputs — not cancelled).</t>
  </si>
  <si>
    <t>Cascade per CASC-13</t>
  </si>
  <si>
    <t>Blockers unlinked on release cancellation</t>
  </si>
  <si>
    <t>All linked blockers are unlinked (detached), not cancelled — they keep their own status as external inputs. No orphan references.</t>
  </si>
  <si>
    <t>Status → Cancelled. Linked blockers are unlinked (not cancelled — external inputs).</t>
  </si>
  <si>
    <t>Risks unlinked on release cancellation</t>
  </si>
  <si>
    <t>All linked risks are unlinked (detached), not cancelled — risks are external inputs and keep their own status.</t>
  </si>
  <si>
    <t>Release cancellation unlinks blockers</t>
  </si>
  <si>
    <t>All 5 blockers are unlinked from the release (not cancelled). Unlink event audited for each.</t>
  </si>
  <si>
    <t>Release cancellation unlinks risks</t>
  </si>
  <si>
    <t>All linked risks are unlinked (not cancelled) — risks are external inputs.</t>
  </si>
  <si>
    <t>6 audit entries: 1 for release cancellation + 5 unlink entries (one per blocker).</t>
  </si>
  <si>
    <t>Risks unlinked when release cancelled</t>
  </si>
  <si>
    <t>Both risks are unlinked from the release and keep their own status (external inputs — not cancelled).</t>
  </si>
  <si>
    <t>Risks unlinked, not cancelled (external inputs).</t>
  </si>
  <si>
    <t>All linked blockers are unlinked from the release (not cancelled — external inputs).</t>
  </si>
  <si>
    <t>(Automated) Release cancelled. Linked blockers unlinked, not cancelled.</t>
  </si>
  <si>
    <t>Cascade unlink generates single notification</t>
  </si>
  <si>
    <t>Release cancelled. 3 linked blockers unlinked, not cancelled.</t>
  </si>
  <si>
    <t>Bulk unlink blockers on release hold</t>
  </si>
  <si>
    <t>All blockers unlinked from the release (not cancelled — external inputs). Single cascade evaluation.</t>
  </si>
  <si>
    <t>Automatic propagation of an action to related records. Example: cancelling a release unlinks all its child records; Approvals, Dependencies, and Sign-offs are also cancelled, while Blockers, Risks, and Alerts (external inputs) are only unlinked — never cancelled.</t>
  </si>
  <si>
    <t>When a Release is moved to Cancelled status, all related child records are automatically unlinked: Blockers, Approvals, Sign-offs, Risks, Alerts, and Dependencies — the user does not need to unlink each one manually. Approvals, Dependencies, and Sign-offs are also Cancelled. Blockers, Risks, and Alerts are inputs from external systems (Jira, ServiceNow, Grafana, etc.), so they are only unlinked — never cancelled or updated by Release Desk.</t>
  </si>
  <si>
    <t>Release Desk — Functional Improvements (Change Register)</t>
  </si>
  <si>
    <t>ID</t>
  </si>
  <si>
    <t>Improvement</t>
  </si>
  <si>
    <t>Decision / Description</t>
  </si>
  <si>
    <t>Entities in scope</t>
  </si>
  <si>
    <t>Rules impact</t>
  </si>
  <si>
    <t>Test-suite impact</t>
  </si>
  <si>
    <t>Seq</t>
  </si>
  <si>
    <t>FI-01</t>
  </si>
  <si>
    <t>Origin-based ownership (Native vs External)</t>
  </si>
  <si>
    <t>Blocker (N/E), Risk (N/E), Alert (E only*), Leave (E only)</t>
  </si>
  <si>
    <t>Entity Classification: add Origin + SoR columns. New rule: 'Origin determines ownership'.</t>
  </si>
  <si>
    <t>New: origin flag set on create; Leave/Alert always External; Native vs External branching.</t>
  </si>
  <si>
    <t>FI-02</t>
  </si>
  <si>
    <t>Native entity full lifecycle in RD</t>
  </si>
  <si>
    <t>For Native entities RD is the SoR: full create → resolve → close managed entirely in RD. No external sync, no Provisional Override.</t>
  </si>
  <si>
    <t>Blocker, Risk (Native)</t>
  </si>
  <si>
    <t>Confirm Blocker/Risk lifecycles apply to Native; RM/owner create &amp; manage permissions.</t>
  </si>
  <si>
    <t>Native create→close; native edit allowed; existing lifecycle tests re-scoped to Native.</t>
  </si>
  <si>
    <t>FI-03</t>
  </si>
  <si>
    <t>External entity = read-only mirror</t>
  </si>
  <si>
    <t>External source record is read-only in RD; RD never writes to the SoR. Show source status + 'source' badge + last-synced; deep-link to SoR for real edits.</t>
  </si>
  <si>
    <t>Blocker, Risk, Alert, Leave (External)</t>
  </si>
  <si>
    <t>New rule: external source read-only in RD; inbound one-way sync; deep-link out.</t>
  </si>
  <si>
    <t>Cannot edit external source; deep-link present; sync updates status.</t>
  </si>
  <si>
    <t>FI-04</t>
  </si>
  <si>
    <t>Provisional Override + Pending Reconciliation</t>
  </si>
  <si>
    <t>RM sets an RD-local provisional status on an External entity. Effective status = provisional ≠ null ? provisional : source. New 'Pending Reconciliation' state. Never writes to SoR.</t>
  </si>
  <si>
    <t>External Blocker, Risk, Alert</t>
  </si>
  <si>
    <t>New lifecycle (Pending Reconciliation); effective-status resolution rule; RM/owner permission; audit.</t>
  </si>
  <si>
    <t>Set/clear override; effective status; provisional badge; permission; audit.</t>
  </si>
  <si>
    <t>FI-05</t>
  </si>
  <si>
    <t>Reconciliation on sync + outcomes</t>
  </si>
  <si>
    <t>Each sync compares source vs provisional: Match → Reconciled (clear override); Source still behind → hold (timer runs); Source diverged (e.g. reopened) → Conflict (drop override, alert RM). Reuses the Drift model.</t>
  </si>
  <si>
    <t>New AV rule (reconciliation job); conflict handling; audit of each outcome.</t>
  </si>
  <si>
    <t>Reconciled / behind / diverged paths; conflict alert.</t>
  </si>
  <si>
    <t>FI-06</t>
  </si>
  <si>
    <t>Verified vs Projected readiness + hard gate</t>
  </si>
  <si>
    <t>Two readiness figures: Verified (source status only) and Projected (includes overrides). Final Ready → Deploying requires all overrides reconciled (Verified == Effective) — cannot deploy on a promise.</t>
  </si>
  <si>
    <t>Release (readiness), all External entities</t>
  </si>
  <si>
    <t>Update §2-02 / AV-20 readiness calc; new hard-gate rule requiring reconciliation before Deploying.</t>
  </si>
  <si>
    <t>Readiness split shown; gate blocks on unreconciled override.</t>
  </si>
  <si>
    <t>FI-07</t>
  </si>
  <si>
    <t>Reconciliation follow-up / escalation</t>
  </si>
  <si>
    <t>Unreconciled overrides nag the RM; escalate as CAB / Go-Live approaches; overrides expire if never reconciled.</t>
  </si>
  <si>
    <t>New AV + NOTIF rules (nudge, escalate, expire).</t>
  </si>
  <si>
    <t>Nudge at T-minus; escalation near gate; expiry.</t>
  </si>
  <si>
    <t>FI-08</t>
  </si>
  <si>
    <t>Manual Link / Unlink rules</t>
  </si>
  <si>
    <t>Blocker, Risk, Alert, Sign-off, Dependency</t>
  </si>
  <si>
    <t>New Link rule; new Unlink rule; generalise VR-36; audit rule.</t>
  </si>
  <si>
    <t>Link dedup; unlink per origin; lock after Ready; audit.</t>
  </si>
  <si>
    <t>FI-09</t>
  </si>
  <si>
    <t>Cancellation cascade = unlink (external) / cancel (native)</t>
  </si>
  <si>
    <t>All child entities</t>
  </si>
  <si>
    <t>CASC-13 rewritten; glossary updated.</t>
  </si>
  <si>
    <t>Cancellation tests flipped to unlink for Blockers/Risks/Alerts.</t>
  </si>
  <si>
    <t>DONE (this session)</t>
  </si>
  <si>
    <t>Notes / open decisions</t>
  </si>
  <si>
    <t>Workflow per item: (1) determine full scope across all rules + suites, (2) validate, (3) apply to Rules Specification / Status Lifecycles / Entity Classification, (4) apply to the affected Test Suites. Update Status column as each completes.</t>
  </si>
  <si>
    <t>Sequencing rationale: FI-01 (ownership flag) is the foundation everything branches on, so it goes first; readiness/gate (FI-06) depends on the override model (FI-04/05); link/unlink (FI-08) can follow independently.</t>
  </si>
  <si>
    <t>Origin / System of Record</t>
  </si>
  <si>
    <t>Native — Release Desk</t>
  </si>
  <si>
    <t>Native (RD) or External (Jira)</t>
  </si>
  <si>
    <t>Native (RD) or External (GRC / risk tool)</t>
  </si>
  <si>
    <t>Native (RD-generated) or External (monitoring, e.g. Grafana)</t>
  </si>
  <si>
    <t>External — CMDB / config</t>
  </si>
  <si>
    <t>OWN-01</t>
  </si>
  <si>
    <t>Origin Determines Ownership</t>
  </si>
  <si>
    <t>Entity created or synced</t>
  </si>
  <si>
    <t>Set Origin; branch ownership, editability and permissions on it</t>
  </si>
  <si>
    <t>LNK-01</t>
  </si>
  <si>
    <t>Entity Link to Release</t>
  </si>
  <si>
    <t>An entity (Blocker, Risk, Alert, Sign-off, Dependency) may be linked to a release by the Release Manager or release owner. The same entity cannot be linked to the same release more than once (no duplicate links).</t>
  </si>
  <si>
    <t>User links entity to release</t>
  </si>
  <si>
    <t>Create link; block duplicate</t>
  </si>
  <si>
    <t>LNK-02</t>
  </si>
  <si>
    <t>Manual Unlink Permission &amp; Lock</t>
  </si>
  <si>
    <t>Only the Release Manager or release owner may manually unlink an entity from a release. Unlinking is blocked once release Status &gt;= Ready (the linked-entity set is frozen for deployment; generalises VR-36 beyond dependencies). Every unlink is recorded in the audit trail.</t>
  </si>
  <si>
    <t>User unlinks entity from release</t>
  </si>
  <si>
    <t>Block if not RM/owner or Status &gt;= Ready; audit</t>
  </si>
  <si>
    <t>LNK-03</t>
  </si>
  <si>
    <t>Unlink Outcome by Origin</t>
  </si>
  <si>
    <t>Entity unlinked from release</t>
  </si>
  <si>
    <t>OWN/LNK-xx</t>
  </si>
  <si>
    <t>Ownership &amp; Linking</t>
  </si>
  <si>
    <t>Origin-based ownership; entity link/unlink governance (FI-01, FI-08)</t>
  </si>
  <si>
    <t>OL-TC-001</t>
  </si>
  <si>
    <t>1. Origin Classification (OWN-01)</t>
  </si>
  <si>
    <t>Native entity created in RD has Origin = Native</t>
  </si>
  <si>
    <t>RM creates a blocker directly in Release Desk with no external source.</t>
  </si>
  <si>
    <t>Save the blocker.</t>
  </si>
  <si>
    <t>Origin = Native; RD is the System of Record. Full lifecycle available.</t>
  </si>
  <si>
    <t>OL-TC-002</t>
  </si>
  <si>
    <t>External entity synced has Origin = External + SoR ref</t>
  </si>
  <si>
    <t>A Jira ticket is imported/linked.</t>
  </si>
  <si>
    <t>View the entity's origin.</t>
  </si>
  <si>
    <t>Origin = External; SoR = Jira, with source key stored.</t>
  </si>
  <si>
    <t>OL-TC-003</t>
  </si>
  <si>
    <t>Native entity is fully editable in RD</t>
  </si>
  <si>
    <t>Native blocker exists.</t>
  </si>
  <si>
    <t>Edit fields and close it in RD.</t>
  </si>
  <si>
    <t>Allowed. RD owns the full lifecycle (create → close).</t>
  </si>
  <si>
    <t>OL-TC-004</t>
  </si>
  <si>
    <t>External entity source is read-only in RD</t>
  </si>
  <si>
    <t>External (Jira) blocker linked.</t>
  </si>
  <si>
    <t>Attempt to edit the source status/fields in RD.</t>
  </si>
  <si>
    <t>Blocked. Source is read-only; edit via the SoR or use a provisional override.</t>
  </si>
  <si>
    <t>Source record is owned by Jira.</t>
  </si>
  <si>
    <t>OL-TC-005</t>
  </si>
  <si>
    <t>Origin is immutable after creation</t>
  </si>
  <si>
    <t>Entity exists with Origin set.</t>
  </si>
  <si>
    <t>Attempt to change Origin.</t>
  </si>
  <si>
    <t>Rejected. Origin cannot be changed after creation.</t>
  </si>
  <si>
    <t>OL-TC-006</t>
  </si>
  <si>
    <t>Monitoring alert classified as External</t>
  </si>
  <si>
    <t>Alert ingested from Grafana.</t>
  </si>
  <si>
    <t>View origin.</t>
  </si>
  <si>
    <t>Origin = External; SoR = monitoring.</t>
  </si>
  <si>
    <t>OL-TC-007</t>
  </si>
  <si>
    <t>Leave records always External</t>
  </si>
  <si>
    <t>Leave synced from HR.</t>
  </si>
  <si>
    <t>Attempt to create a leave record in RD.</t>
  </si>
  <si>
    <t>Not creatable in RD. Origin = External; SoR = HR.</t>
  </si>
  <si>
    <t>OL-TC-008</t>
  </si>
  <si>
    <t>RM can create a Native risk without an SoR</t>
  </si>
  <si>
    <t>RM logs a risk that exists only in RD.</t>
  </si>
  <si>
    <t>Save the risk.</t>
  </si>
  <si>
    <t>Created as Native; RD owns it end to end.</t>
  </si>
  <si>
    <t>OL-TC-009</t>
  </si>
  <si>
    <t>2. Entity Linking (LNK-01)</t>
  </si>
  <si>
    <t>RM links a blocker to a release</t>
  </si>
  <si>
    <t>Release in Planning; a blocker exists.</t>
  </si>
  <si>
    <t>RM links the blocker to the release.</t>
  </si>
  <si>
    <t>Link created; blocker appears under the release.</t>
  </si>
  <si>
    <t>OL-TC-010</t>
  </si>
  <si>
    <t>Release owner links a risk</t>
  </si>
  <si>
    <t>Release owner; risk exists.</t>
  </si>
  <si>
    <t>Link the risk to the release.</t>
  </si>
  <si>
    <t>Link created.</t>
  </si>
  <si>
    <t>OL-TC-011</t>
  </si>
  <si>
    <t>Duplicate link rejected</t>
  </si>
  <si>
    <t>Blocker already linked to the release.</t>
  </si>
  <si>
    <t>Attempt to link the same blocker again.</t>
  </si>
  <si>
    <t>Rejected. Duplicate link not allowed.</t>
  </si>
  <si>
    <t>This entity is already linked to the release.</t>
  </si>
  <si>
    <t>OL-TC-012</t>
  </si>
  <si>
    <t>Team member cannot link</t>
  </si>
  <si>
    <t>LNK-01, ROLE</t>
  </si>
  <si>
    <t>User is a team member, not RM/owner.</t>
  </si>
  <si>
    <t>Attempt to link an entity.</t>
  </si>
  <si>
    <t>Only the Release Manager or owner can link entities.</t>
  </si>
  <si>
    <t>OL-TC-013</t>
  </si>
  <si>
    <t>Link recorded in audit</t>
  </si>
  <si>
    <t>LNK-01, AUDIT-01</t>
  </si>
  <si>
    <t>RM links an entity.</t>
  </si>
  <si>
    <t>View the audit trail.</t>
  </si>
  <si>
    <t>Link event logged with user, timestamp and entity.</t>
  </si>
  <si>
    <t>OL-TC-014</t>
  </si>
  <si>
    <t>External link stores SoR reference</t>
  </si>
  <si>
    <t>LNK-01, OWN-01</t>
  </si>
  <si>
    <t>Linking a Jira blocker.</t>
  </si>
  <si>
    <t>Complete the link.</t>
  </si>
  <si>
    <t>Link stores the SoR key/URL for deep-linking.</t>
  </si>
  <si>
    <t>OL-TC-015</t>
  </si>
  <si>
    <t>Same entity linked to two releases</t>
  </si>
  <si>
    <t>An external blocker relevant to two releases.</t>
  </si>
  <si>
    <t>Link it to release A and release B.</t>
  </si>
  <si>
    <t>Both allowed (duplicates blocked only within the same release).</t>
  </si>
  <si>
    <t>OL-TC-016</t>
  </si>
  <si>
    <t>3. Manual Unlink - Permission &amp; Lock (LNK-02)</t>
  </si>
  <si>
    <t>RM unlinks entity before Ready</t>
  </si>
  <si>
    <t>Release in Planning with a linked blocker.</t>
  </si>
  <si>
    <t>RM unlinks the blocker.</t>
  </si>
  <si>
    <t>Allowed. Link removed and audited.</t>
  </si>
  <si>
    <t>OL-TC-017</t>
  </si>
  <si>
    <t>Team member cannot unlink</t>
  </si>
  <si>
    <t>LNK-02, ROLE</t>
  </si>
  <si>
    <t>Team member, not RM/owner.</t>
  </si>
  <si>
    <t>Attempt to unlink.</t>
  </si>
  <si>
    <t>Only the Release Manager or owner can unlink entities.</t>
  </si>
  <si>
    <t>OL-TC-018</t>
  </si>
  <si>
    <t>Unlink blocked once release is Ready</t>
  </si>
  <si>
    <t>LNK-02, VR-36</t>
  </si>
  <si>
    <t>Release in Ready with a linked entity.</t>
  </si>
  <si>
    <t>Rejected. Linked-entity set is frozen for deployment.</t>
  </si>
  <si>
    <t>Cannot modify links: release is Ready or beyond.</t>
  </si>
  <si>
    <t>OL-TC-019</t>
  </si>
  <si>
    <t>Unlink blocked at Deploying</t>
  </si>
  <si>
    <t>Release in Deploying.</t>
  </si>
  <si>
    <t>Rejected. Frozen during deployment.</t>
  </si>
  <si>
    <t>OL-TC-020</t>
  </si>
  <si>
    <t>Unlink allowed at CAB Approved</t>
  </si>
  <si>
    <t>Release in CAB Approved (before Ready).</t>
  </si>
  <si>
    <t>Unlink an entity.</t>
  </si>
  <si>
    <t>OL-TC-021</t>
  </si>
  <si>
    <t>Unlink recorded in audit</t>
  </si>
  <si>
    <t>LNK-02, AUDIT-01</t>
  </si>
  <si>
    <t>RM unlinks an entity.</t>
  </si>
  <si>
    <t>Unlink event logged with user, timestamp and entity.</t>
  </si>
  <si>
    <t>OL-TC-022</t>
  </si>
  <si>
    <t>Admin cannot override Ready lock</t>
  </si>
  <si>
    <t>Release Ready; admin uses admin tools.</t>
  </si>
  <si>
    <t>Rejected. Freeze applies to all roles.</t>
  </si>
  <si>
    <t>OL-TC-023</t>
  </si>
  <si>
    <t>Read-only user cannot unlink</t>
  </si>
  <si>
    <t>LNK-02, ROLE-10</t>
  </si>
  <si>
    <t>OL-TC-024</t>
  </si>
  <si>
    <t>4. Unlink Outcome by Origin (LNK-03)</t>
  </si>
  <si>
    <t>Unlink external blocker detaches only; Jira untouched</t>
  </si>
  <si>
    <t>External (Jira) blocker linked; release before Ready.</t>
  </si>
  <si>
    <t>RM unlinks it.</t>
  </si>
  <si>
    <t>Association removed; the Jira ticket is unchanged.</t>
  </si>
  <si>
    <t>Source record in Jira is untouched.</t>
  </si>
  <si>
    <t>OL-TC-025</t>
  </si>
  <si>
    <t>Unlink external clears provisional override</t>
  </si>
  <si>
    <t>External entity has a provisional override set.</t>
  </si>
  <si>
    <t>Link removed and the provisional override cleared.</t>
  </si>
  <si>
    <t>OL-TC-026</t>
  </si>
  <si>
    <t>Unlink Native entity cannot orphan</t>
  </si>
  <si>
    <t>Native blocker linked to this release only.</t>
  </si>
  <si>
    <t>Attempt to unlink without delete/reassign.</t>
  </si>
  <si>
    <t>Rejected. A Native entity cannot be orphaned.</t>
  </si>
  <si>
    <t>Delete the entity or reassign it to another release.</t>
  </si>
  <si>
    <t>OL-TC-027</t>
  </si>
  <si>
    <t>Native entity reassigned on unlink</t>
  </si>
  <si>
    <t>Native blocker; another release chosen.</t>
  </si>
  <si>
    <t>Unlink and reassign to release B.</t>
  </si>
  <si>
    <t>Entity moved to release B; no orphan.</t>
  </si>
  <si>
    <t>OL-TC-028</t>
  </si>
  <si>
    <t>Native entity deleted on unlink confirm</t>
  </si>
  <si>
    <t>Native blocker; user opts to delete.</t>
  </si>
  <si>
    <t>Confirm delete on unlink.</t>
  </si>
  <si>
    <t>Entity deleted and audited.</t>
  </si>
  <si>
    <t>OL-TC-029</t>
  </si>
  <si>
    <t>Unlink external risk leaves source unchanged</t>
  </si>
  <si>
    <t>External risk (GRC tool) linked.</t>
  </si>
  <si>
    <t>Association removed; the risk record in the GRC tool is unchanged.</t>
  </si>
  <si>
    <t>OL-TC-030</t>
  </si>
  <si>
    <t>Unlink never cancels the external entity</t>
  </si>
  <si>
    <t>LNK-03, CASC-13</t>
  </si>
  <si>
    <t>External blocker linked.</t>
  </si>
  <si>
    <t>Blocker is detached, not cancelled; it keeps its own status.</t>
  </si>
  <si>
    <t>External inputs are never cancelled by RD.</t>
  </si>
  <si>
    <t>OL-TC-031</t>
  </si>
  <si>
    <t>5. Cancellation &amp; Auto-Unlink (CASC-13)</t>
  </si>
  <si>
    <t>Release cancellation unlinks all children</t>
  </si>
  <si>
    <t>Release with mixed linked children.</t>
  </si>
  <si>
    <t>All child records are auto-unlinked from the release.</t>
  </si>
  <si>
    <t>OL-TC-032</t>
  </si>
  <si>
    <t>External children unlinked, not cancelled</t>
  </si>
  <si>
    <t>CASC-13, OWN-01</t>
  </si>
  <si>
    <t>Cancelled release had external blockers/risks/alerts.</t>
  </si>
  <si>
    <t>Release cancelled.</t>
  </si>
  <si>
    <t>External children detached only; their source records untouched.</t>
  </si>
  <si>
    <t>OL-TC-033</t>
  </si>
  <si>
    <t>Native children (approvals/deps/sign-offs) cancelled</t>
  </si>
  <si>
    <t>Cancelled release had native approvals, dependencies, sign-offs.</t>
  </si>
  <si>
    <t>Native children Cancelled; blockers/risks/alerts only unlinked.</t>
  </si>
  <si>
    <t>OL-TC-034</t>
  </si>
  <si>
    <t>System auto-unlink on cancel bypasses the Ready lock</t>
  </si>
  <si>
    <t>CASC-13, LNK-02</t>
  </si>
  <si>
    <t>Release in Ready/Deploying is cancelled.</t>
  </si>
  <si>
    <t>Cancellation cascade runs.</t>
  </si>
  <si>
    <t>System auto-unlink proceeds even though manual unlink is locked.</t>
  </si>
  <si>
    <t>Automated cascade is exempt from the manual freeze.</t>
  </si>
  <si>
    <t>OWNERSHIP &amp; LINKING TEST SUITE SUMMARY</t>
  </si>
  <si>
    <t>Done (rules + tests)</t>
  </si>
  <si>
    <t>OWN-02</t>
  </si>
  <si>
    <t>Native Entity Full Lifecycle</t>
  </si>
  <si>
    <t>User manages a native entity</t>
  </si>
  <si>
    <t>Allow full CRUD + transitions for RM/owner</t>
  </si>
  <si>
    <t>OL-TC-035</t>
  </si>
  <si>
    <t>6. Native Entity Lifecycle (OWN-02)</t>
  </si>
  <si>
    <t>Native blocker full lifecycle in RD</t>
  </si>
  <si>
    <t>RM created a Native blocker.</t>
  </si>
  <si>
    <t>Drive it Open → In Progress → Resolved → Closed in RD.</t>
  </si>
  <si>
    <t>All transitions allowed; RD status is authoritative.</t>
  </si>
  <si>
    <t>OL-TC-036</t>
  </si>
  <si>
    <t>Native risk full lifecycle in RD</t>
  </si>
  <si>
    <t>RM logged a Native risk.</t>
  </si>
  <si>
    <t>Manage it Identified → Assessing → Mitigating → Closed.</t>
  </si>
  <si>
    <t>All transitions allowed in RD.</t>
  </si>
  <si>
    <t>OL-TC-037</t>
  </si>
  <si>
    <t>RM/owner can edit a native entity's fields</t>
  </si>
  <si>
    <t>Native blocker exists; release before Ready.</t>
  </si>
  <si>
    <t>RM edits description / owner / severity.</t>
  </si>
  <si>
    <t>Allowed. Native entity is fully editable in RD.</t>
  </si>
  <si>
    <t>OL-TC-038</t>
  </si>
  <si>
    <t>Native entity has no Provisional Override</t>
  </si>
  <si>
    <t>Open the actions menu.</t>
  </si>
  <si>
    <t>No provisional-override action (overrides apply to External entities only).</t>
  </si>
  <si>
    <t>OL-TC-039</t>
  </si>
  <si>
    <t>RM can cancel a native entity directly</t>
  </si>
  <si>
    <t>Native blocker in progress.</t>
  </si>
  <si>
    <t>RM cancels the blocker.</t>
  </si>
  <si>
    <t>Allowed; blocker → Cancelled (RD owns it).</t>
  </si>
  <si>
    <t>OL-TC-040</t>
  </si>
  <si>
    <t>Team member cannot transition a native entity</t>
  </si>
  <si>
    <t>OWN-02, ROLE</t>
  </si>
  <si>
    <t>Attempt to transition a native blocker.</t>
  </si>
  <si>
    <t>Rejected. Only the RM/owner may manage it.</t>
  </si>
  <si>
    <t>OL-TC-041</t>
  </si>
  <si>
    <t>External entity cannot be transitioned locally</t>
  </si>
  <si>
    <t>OWN-02, OWN-01</t>
  </si>
  <si>
    <t>Attempt to change its status locally in RD.</t>
  </si>
  <si>
    <t>Rejected. External status is read-only; use the SoR or a provisional override.</t>
  </si>
  <si>
    <t>Manage external items in their source system.</t>
  </si>
  <si>
    <t>OWN-03</t>
  </si>
  <si>
    <t>External Source Read-Only &amp; One-Way Sync</t>
  </si>
  <si>
    <t>For External-origin entities the source record is read-only in Release Desk — RD never writes to the System of Record. RD ingests status via one-way inbound sync only, shows a 'source' badge and last-synced timestamp, and provides a deep-link to open the record in its owning system (Jira, ServiceNow, Grafana, HR). Any change to the actual record must be made in the SoR.</t>
  </si>
  <si>
    <t>External entity displayed or synced</t>
  </si>
  <si>
    <t>Read-only in RD; inbound sync only; deep-link out</t>
  </si>
  <si>
    <t>OL-TC-042</t>
  </si>
  <si>
    <t>7. External Read-Only Mirror (OWN-03)</t>
  </si>
  <si>
    <t>External source is read-only in RD</t>
  </si>
  <si>
    <t>Attempt to edit its status/fields in RD.</t>
  </si>
  <si>
    <t>Blocked. Source is read-only in RD.</t>
  </si>
  <si>
    <t>Edit the record in its source system.</t>
  </si>
  <si>
    <t>OL-TC-043</t>
  </si>
  <si>
    <t>Source badge &amp; last-synced shown</t>
  </si>
  <si>
    <t>External entity linked.</t>
  </si>
  <si>
    <t>View the entity in RD.</t>
  </si>
  <si>
    <t>Shows a 'source' badge (e.g. Jira) and last-synced timestamp.</t>
  </si>
  <si>
    <t>OL-TC-044</t>
  </si>
  <si>
    <t>Deep-link opens record in SoR</t>
  </si>
  <si>
    <t>Click the deep-link.</t>
  </si>
  <si>
    <t>Opens the record in its owning system (Jira/ServiceNow/etc.).</t>
  </si>
  <si>
    <t>OL-TC-045</t>
  </si>
  <si>
    <t>One-way inbound sync updates status</t>
  </si>
  <si>
    <t>External blocker status changes in Jira.</t>
  </si>
  <si>
    <t>RD reflects the new source status (still read-only).</t>
  </si>
  <si>
    <t>OL-TC-046</t>
  </si>
  <si>
    <t>RD change never written back to SoR</t>
  </si>
  <si>
    <t>Perform any RD-side action on it.</t>
  </si>
  <si>
    <t>RD makes no write to the SoR under any action.</t>
  </si>
  <si>
    <t>Sync is inbound only.</t>
  </si>
  <si>
    <t>OL-TC-047</t>
  </si>
  <si>
    <t>Cannot delete external source from RD</t>
  </si>
  <si>
    <t>Attempt to delete the source record via RD.</t>
  </si>
  <si>
    <t>Rejected. RD can only unlink, not delete the source.</t>
  </si>
  <si>
    <t>OWN-01 / OWN-02 / OWN-03 (origin, native lifecycle, external read-only)</t>
  </si>
  <si>
    <t>LNK-01 / LNK-02 / LNK-03 (link, unlink lock, unlink outcome)</t>
  </si>
  <si>
    <t>CASC-13 (cancellation auto-unlink interaction)</t>
  </si>
  <si>
    <t>SYNC-10, SYNC-04</t>
  </si>
  <si>
    <t>§1-04; Reference Data — Release Sizes</t>
  </si>
  <si>
    <t>§4-01, §3-02, CASC-13</t>
  </si>
  <si>
    <t>§4-02, §3-02, CASC-13</t>
  </si>
  <si>
    <t>NOTIF-07, AV-07</t>
  </si>
  <si>
    <t>§2-08, ROLE-09, AUDIT-09</t>
  </si>
  <si>
    <t>SYNC-01, SYNC-02</t>
  </si>
  <si>
    <t>SYNC-04, SYNC-05</t>
  </si>
  <si>
    <t>BLOCKED. Error: 'Release Name exceeds maximum length (120 characters)'.</t>
  </si>
  <si>
    <t>[RULE GAP] Approval alert deep-link to the CAB meeting is not specified by NOTIF-05/06.</t>
  </si>
  <si>
    <t>[RULE GAP] Release ID generation/read-only behavior has no explicit rule ID; §2-04 is Created Date.</t>
  </si>
  <si>
    <t>[RULE GAP] Manual sync permission/behavior is not defined; ROLE-04 governs cascade delete, not sync administration.</t>
  </si>
  <si>
    <t>[RULE GAP] Sync Admin manual-trigger permission is not defined; ROLE-04 governs cascade delete.</t>
  </si>
  <si>
    <t>[RULE GAP] Rollback attempt/version counter is not defined; §2-03 governs Duration Days.</t>
  </si>
  <si>
    <t>[RULE GAP] File-upload type validation is not defined by SEC-01–12; prior SEC-12 is Encryption in Transit.</t>
  </si>
  <si>
    <t>[RULE GAP] Per-request object-level authorization is not explicitly defined by SEC-01–12.</t>
  </si>
  <si>
    <t>[RULE GAP] MFA enforcement is not defined by SEC-01–12.</t>
  </si>
  <si>
    <t>[RULE GAP] API token 90-day expiry/rotation is not defined; SEC-09 only covers API authentication.</t>
  </si>
  <si>
    <t>[RULE GAP] General privilege-escalation prevention is not explicitly defined by SEC-01–12/ROLE-01–10.</t>
  </si>
  <si>
    <t>[RULE GAP] §1-12 is referenced but absent from Rules Specification; also INC-TC-002 is missing from the ID sequence.</t>
  </si>
  <si>
    <t>[RULE GAP] §1-12 is absent from Rules Specification; define/remap incident severity constraints.</t>
  </si>
  <si>
    <t>[RULE GAP] §1-12 is absent from Rules Specification; define/remap incident description requirement.</t>
  </si>
  <si>
    <t>[RULE GAP] §1-12 is absent from Rules Specification; define/remap incident minimum description length.</t>
  </si>
  <si>
    <t>[RULE GAP] §1-12 is absent from Rules Specification; define/remap Reported Date auto-population.</t>
  </si>
  <si>
    <t>[RULE GAP] §1-12 is absent from Rules Specification; define/remap Reported By auto-population.</t>
  </si>
  <si>
    <t>[ID GAP] INC-TC-164 is missing; sequence jumps from INC-TC-163 to INC-TC-165.</t>
  </si>
  <si>
    <t>RULE GAP</t>
  </si>
  <si>
    <t>SYNC-10: Webhook delivery confirmation</t>
  </si>
  <si>
    <t>SYNC-10 / SYNC-04: Webhook retry on failure</t>
  </si>
  <si>
    <t>NOTIF-06: Approval granted notification</t>
  </si>
  <si>
    <t>NOTIF-06: Approval rejected notification</t>
  </si>
  <si>
    <t>NOTIF-08: Incident escalation notification</t>
  </si>
  <si>
    <t>SYNC-08: Rate limiting respected</t>
  </si>
  <si>
    <t>SYNC-08: Batch size respects rate limits</t>
  </si>
  <si>
    <t>SYNC-06: Field mapping validation</t>
  </si>
  <si>
    <t>SYNC-06: Required field missing blocks sync</t>
  </si>
  <si>
    <t>NOTIF-05: Approval request notification</t>
  </si>
  <si>
    <t>NOTIF-02: Blocker added notification</t>
  </si>
  <si>
    <t>Blocker resolved notification</t>
  </si>
  <si>
    <t>Environment booking confirmation</t>
  </si>
  <si>
    <t>Deployment start notification</t>
  </si>
  <si>
    <t>Deployment complete notification</t>
  </si>
  <si>
    <t>[RULE GAP] NOTIF-01 requires a status-change notification but does not specify a release link.</t>
  </si>
  <si>
    <t>Delivery/read status is tracked for critical notifications. If a critical notification remains unread past its window, escalate to the recipient's manager.</t>
  </si>
  <si>
    <t>Database access uses parameterized queries so user input cannot alter query structure; SQL injection attempts are neutralised.</t>
  </si>
  <si>
    <t>State-changing requests (POST/PUT/DELETE) require a valid anti-CSRF token; requests without one are rejected.</t>
  </si>
  <si>
    <t>User sessions expire after a defined period of inactivity; the session ends and any unsaved draft is preserved for recovery.</t>
  </si>
  <si>
    <t>SECTION 13: ENTITY OWNERSHIP &amp; LINKING (FI-01, FI-08)</t>
  </si>
  <si>
    <t>SECTION 14: ALERT &amp; NOTIFICATION GAP RULES (FI-10)</t>
  </si>
  <si>
    <t>Blocker Resolved Notification</t>
  </si>
  <si>
    <t>When a blocker linked to a release is Resolved or Closed, notify the Release Manager and release owner that the impediment is cleared.</t>
  </si>
  <si>
    <t>Blocker → Resolved/Closed</t>
  </si>
  <si>
    <t>Notify RM/owner</t>
  </si>
  <si>
    <t>Environment Booking Confirmation</t>
  </si>
  <si>
    <t>When an environment slot is booked or its booking changes, send a confirmation to the requester and the environment owner.</t>
  </si>
  <si>
    <t>Environment booking created/updated</t>
  </si>
  <si>
    <t>Send confirmation</t>
  </si>
  <si>
    <t>NOTIF-15</t>
  </si>
  <si>
    <t>Quiet Hours Suppression &amp; Critical Bypass</t>
  </si>
  <si>
    <t>Non-critical notifications are suppressed during a recipient's configured quiet hours and delivered afterwards. Critical/Escalation notifications bypass quiet hours and are delivered immediately.</t>
  </si>
  <si>
    <t>Notification generated during quiet hours</t>
  </si>
  <si>
    <t>Defer non-critical; deliver critical immediately</t>
  </si>
  <si>
    <t>NOTIF-16</t>
  </si>
  <si>
    <t>Notification Subscription Preferences</t>
  </si>
  <si>
    <t>Users may unsubscribe from non-critical notification types. Critical and compliance notifications are mandatory and cannot be unsubscribed.</t>
  </si>
  <si>
    <t>User manages notification preferences</t>
  </si>
  <si>
    <t>Honour opt-out for non-critical; force-deliver critical</t>
  </si>
  <si>
    <t>Maintenance-Mode Sync Suspension</t>
  </si>
  <si>
    <t>When an external system (or RD) is in maintenance mode, sync is suspended and pending changes are queued; queued items are processed in order once maintenance ends.</t>
  </si>
  <si>
    <t>System enters/exits maintenance mode</t>
  </si>
  <si>
    <t>Suspend + queue; drain queue on resume</t>
  </si>
  <si>
    <t>Sync Audit Logging</t>
  </si>
  <si>
    <t>Every sync operation is logged (source, direction, record count, outcome). Failures capture error detail for troubleshooting and are retained per the audit policy.</t>
  </si>
  <si>
    <t>Sync operation runs</t>
  </si>
  <si>
    <t>Log outcome; capture error detail on failure</t>
  </si>
  <si>
    <t>ROLE-11</t>
  </si>
  <si>
    <t>Change Manager Cross-Release Alert Visibility</t>
  </si>
  <si>
    <t>Users with the Change Manager role can view alerts across all releases (not just their own) for oversight, but cannot action alerts they do not own.</t>
  </si>
  <si>
    <t>Change Manager views alerts</t>
  </si>
  <si>
    <t>Grant read visibility across releases</t>
  </si>
  <si>
    <t>Blocker linked to a release; RM assigned.</t>
  </si>
  <si>
    <t>Blocker transitions to Resolved.</t>
  </si>
  <si>
    <t>RM and release owner notified the impediment is cleared.</t>
  </si>
  <si>
    <t>Blocker closed also notifies</t>
  </si>
  <si>
    <t>Blocker moves Resolved → Closed.</t>
  </si>
  <si>
    <t>Blocker closed.</t>
  </si>
  <si>
    <t>Notification sent to RM/owner.</t>
  </si>
  <si>
    <t>RM books an environment slot.</t>
  </si>
  <si>
    <t>Save the booking.</t>
  </si>
  <si>
    <t>Confirmation sent to requester and environment owner.</t>
  </si>
  <si>
    <t>Booking change re-confirms</t>
  </si>
  <si>
    <t>Existing booking changed.</t>
  </si>
  <si>
    <t>Update the booking time.</t>
  </si>
  <si>
    <t>Updated confirmation sent.</t>
  </si>
  <si>
    <t>Quiet hours suppress non-critical</t>
  </si>
  <si>
    <t>Recipient in quiet hours; a non-critical alert is generated.</t>
  </si>
  <si>
    <t>Alert fires.</t>
  </si>
  <si>
    <t>Suppressed during quiet hours; delivered afterwards.</t>
  </si>
  <si>
    <t>Critical bypasses quiet hours</t>
  </si>
  <si>
    <t>Recipient in quiet hours; a critical alert is generated.</t>
  </si>
  <si>
    <t>Delivered immediately (bypasses quiet hours).</t>
  </si>
  <si>
    <t>Unsubscribe from non-critical honoured</t>
  </si>
  <si>
    <t>User opted out of a non-critical notification type.</t>
  </si>
  <si>
    <t>A non-critical alert of that type is generated.</t>
  </si>
  <si>
    <t>Not delivered to that user.</t>
  </si>
  <si>
    <t>Critical notifications cannot be unsubscribed</t>
  </si>
  <si>
    <t>User attempts to opt out of critical/compliance notifications.</t>
  </si>
  <si>
    <t>Toggle off critical notifications.</t>
  </si>
  <si>
    <t>Rejected / forced on; critical is always delivered.</t>
  </si>
  <si>
    <t>Critical notifications are mandatory.</t>
  </si>
  <si>
    <t>Sync suspended in maintenance mode</t>
  </si>
  <si>
    <t>External system is in maintenance mode.</t>
  </si>
  <si>
    <t>A syncable change occurs.</t>
  </si>
  <si>
    <t>Sync suspended; the change is queued.</t>
  </si>
  <si>
    <t>Queue drains after maintenance</t>
  </si>
  <si>
    <t>Queued changes accumulated during maintenance.</t>
  </si>
  <si>
    <t>Maintenance ends.</t>
  </si>
  <si>
    <t>Queued syncs execute in order.</t>
  </si>
  <si>
    <t>Sync operation logged</t>
  </si>
  <si>
    <t>A sync runs.</t>
  </si>
  <si>
    <t>View the sync audit log.</t>
  </si>
  <si>
    <t>Entry recorded with source, direction, record count and outcome.</t>
  </si>
  <si>
    <t>Sync failure captures error detail</t>
  </si>
  <si>
    <t>A sync fails.</t>
  </si>
  <si>
    <t>Error detail captured for troubleshooting.</t>
  </si>
  <si>
    <t>Change Manager sees cross-release alerts</t>
  </si>
  <si>
    <t>User has the Change Manager role.</t>
  </si>
  <si>
    <t>View the alerts dashboard.</t>
  </si>
  <si>
    <t>Alerts across all releases are visible.</t>
  </si>
  <si>
    <t>Change Manager cannot action others' alerts</t>
  </si>
  <si>
    <t>Change Manager viewing an alert they do not own.</t>
  </si>
  <si>
    <t>Attempt to action/acknowledge it.</t>
  </si>
  <si>
    <t>Rejected. Read visibility only for non-owned alerts.</t>
  </si>
  <si>
    <t>Non-CM limited to own releases</t>
  </si>
  <si>
    <t>Regular Release Manager (not Change Manager).</t>
  </si>
  <si>
    <t>Only own-release alerts are visible.</t>
  </si>
  <si>
    <t>FI-10</t>
  </si>
  <si>
    <t>Alert &amp; notification rule gaps (from external Alerts suite)</t>
  </si>
  <si>
    <t>Incorporate genuine rule gaps surfaced by the ChatGPT-authored Alerts suite: blocker-resolved &amp; environment-booking notifications, quiet-hours + subscription preferences, maintenance-mode sync suspension + sync audit logging, Change Manager cross-release alert visibility. Did NOT import the ~180 duplicate/UI-level tests.</t>
  </si>
  <si>
    <t>Alerts, Notifications, Sync, Change Manager role</t>
  </si>
  <si>
    <t>New rules NOTIF-13..16, SYNC-11/12, ROLE-11 (Section 14); fixed corrupted NOTIF-12 &amp; SEC-01/03/04 descriptions; renumbered ownership section 10→13; legend counts updated.</t>
  </si>
  <si>
    <t>New 'Alert Rule Gap Tests' suite (15 tests).</t>
  </si>
  <si>
    <t>ALT-TC-215</t>
  </si>
  <si>
    <t>ALT-TC-216</t>
  </si>
  <si>
    <t>ALT-TC-217</t>
  </si>
  <si>
    <t>ALT-TC-218</t>
  </si>
  <si>
    <t>ALT-TC-219</t>
  </si>
  <si>
    <t>ALT-TC-220</t>
  </si>
  <si>
    <t>ALT-TC-221</t>
  </si>
  <si>
    <t>ALT-TC-222</t>
  </si>
  <si>
    <t>SYNC-01 to SYNC-12</t>
  </si>
  <si>
    <t>NOTIF-01 to NOTIF-16</t>
  </si>
  <si>
    <t>ROLE-01 to ROLE-11</t>
  </si>
  <si>
    <t>VR-19, ROLE-03, AV-07, AV-08</t>
  </si>
  <si>
    <t>§1-08, VR-19, AV-07, AV-08, ROLE-03</t>
  </si>
  <si>
    <t>No current rule makes all existing blockers read-only at Deploying; VR-35 only blocks new blocker creation.</t>
  </si>
  <si>
    <t>No current rule prevents a completed risk mitigation from being reversed.</t>
  </si>
  <si>
    <t>Dependency Lifecycle</t>
  </si>
  <si>
    <t>Add/remove dependency when Release Status ≥ Ready</t>
  </si>
  <si>
    <t>Dependency records cannot be added or removed once release reaches Ready; dependency structure is frozen.</t>
  </si>
  <si>
    <t>Conflict Lifecycle</t>
  </si>
  <si>
    <t>No current rule makes all conflict records read-only once deployment starts.</t>
  </si>
  <si>
    <t>No current rule makes a confirmed booking immutable; ROLE-03 only governs override/cancellation authority.</t>
  </si>
  <si>
    <t>No current rule freezes work-item linkages at Ready; VR-28/29 only require completion.</t>
  </si>
  <si>
    <t>Start Date is required before Testing, but no explicit rule currently defines this gate.</t>
  </si>
  <si>
    <t>No direct rule blocks Testing → UAT for an open blocker; AV-01 is a nightly auto-block check.</t>
  </si>
  <si>
    <t>VR-27 requires mitigation before Ready, not before Pending CAB.</t>
  </si>
  <si>
    <t>Conflict Status = Detected or Under Review</t>
  </si>
  <si>
    <t>Detected/Under Review conflicts must be resolved or dismissed</t>
  </si>
  <si>
    <t>Resolve or dismiss conflicts</t>
  </si>
  <si>
    <t>Post-deployment validation is not defined by a current VR rule.</t>
  </si>
  <si>
    <t>No current rule makes Business Sign-Off mandatory before Pending CAB.</t>
  </si>
  <si>
    <t>None Detected/Under Review</t>
  </si>
  <si>
    <t>Schedule conflicts resolved or dismissed</t>
  </si>
  <si>
    <t>At Risk, Met, Waived, Removed</t>
  </si>
  <si>
    <t>[RULE GAP] Critical-risk immediate notification is not defined by NOTIF-01–16; AV-02 covers unmitigated High risks after 3 days.</t>
  </si>
  <si>
    <t>[RULE GAP] Deployment-start notification is not defined by NOTIF-01–16.</t>
  </si>
  <si>
    <t>[RULE GAP] Five-minute polling fallback when webhooks are unavailable is not defined by SYNC-01–12.</t>
  </si>
  <si>
    <t>[RULE GAP] Skipping sync for archived releases is not defined by SYNC-01–12.</t>
  </si>
  <si>
    <t>[RULE GAP] Release Manager app-scope edit authority is not defined by ROLE-01–11.</t>
  </si>
  <si>
    <t>[RULE GAP] Deployment-complete notification is not defined by NOTIF-01–16.</t>
  </si>
  <si>
    <t>CASC-13 (Cancellation Cascade)</t>
  </si>
  <si>
    <t>RULE GAP &amp; LOGIC DECISION REGISTER</t>
  </si>
  <si>
    <t>Central view of unresolved rule gaps and business-logic decisions collected from all workbook sheets. Update Owner and Status here; source locations identify the original item.</t>
  </si>
  <si>
    <t>Metric</t>
  </si>
  <si>
    <t>All Open Items</t>
  </si>
  <si>
    <t>Rule Gaps</t>
  </si>
  <si>
    <t>Logic Decisions</t>
  </si>
  <si>
    <t>Minor Spec Gaps</t>
  </si>
  <si>
    <t>ID Gaps</t>
  </si>
  <si>
    <t>Source Location</t>
  </si>
  <si>
    <t>Record / Test ID</t>
  </si>
  <si>
    <t>Title / Condition</t>
  </si>
  <si>
    <t>Current Rule Ref</t>
  </si>
  <si>
    <t>Finding / Decision Needed</t>
  </si>
  <si>
    <t>Owner</t>
  </si>
  <si>
    <t>ID Gap</t>
  </si>
  <si>
    <t>Incident Test Suite!K164</t>
  </si>
  <si>
    <t>Logic Decision</t>
  </si>
  <si>
    <t>Alerts Test Suite!K85</t>
  </si>
  <si>
    <t>Blockers Test Suite!K46</t>
  </si>
  <si>
    <t>Blockers Test Suite!K67</t>
  </si>
  <si>
    <t>CAB Approvals Test Suite!K38</t>
  </si>
  <si>
    <t>Conflicts Test Suite!K68</t>
  </si>
  <si>
    <t>Dependencies Test Suite!K15</t>
  </si>
  <si>
    <t>Dependencies Test Suite!K16</t>
  </si>
  <si>
    <t>Dependencies Test Suite!K48</t>
  </si>
  <si>
    <t>Dependencies Test Suite!K78</t>
  </si>
  <si>
    <t>Dependencies Test Suite!K87</t>
  </si>
  <si>
    <t>Dependencies Test Suite!K88</t>
  </si>
  <si>
    <t>Drift Test Suite!K66</t>
  </si>
  <si>
    <t>Incident Test Suite!K101</t>
  </si>
  <si>
    <t>Incident Test Suite!K123</t>
  </si>
  <si>
    <t>Incident Test Suite!K48</t>
  </si>
  <si>
    <t>Leave Records Test Suite!K44</t>
  </si>
  <si>
    <t>Leave Records Test Suite!K61</t>
  </si>
  <si>
    <t>Leave Records Test Suite!K63</t>
  </si>
  <si>
    <t>Leave Records Test Suite!K82</t>
  </si>
  <si>
    <t>Maintenance Windows Test Suite!K10</t>
  </si>
  <si>
    <t>Maintenance Windows Test Suite!K17</t>
  </si>
  <si>
    <t>Maintenance Windows Test Suite!K30</t>
  </si>
  <si>
    <t>Release Test Suite!K88</t>
  </si>
  <si>
    <t>Risk Test Suite!K89</t>
  </si>
  <si>
    <t>Risk Test Suite!K97</t>
  </si>
  <si>
    <t>Sign-Off Test Suite!K122</t>
  </si>
  <si>
    <t>Sign-Off Test Suite!K40</t>
  </si>
  <si>
    <t>Sign-Off Test Suite!K55</t>
  </si>
  <si>
    <t>Minor Spec Gap</t>
  </si>
  <si>
    <t>Alerts Test Suite!K124</t>
  </si>
  <si>
    <t>Blockers Test Suite!K156</t>
  </si>
  <si>
    <t>CAB Approvals Test Suite!K96</t>
  </si>
  <si>
    <t>Dependencies Test Suite!K53</t>
  </si>
  <si>
    <t>Incident Test Suite!K127</t>
  </si>
  <si>
    <t>Risk Test Suite!K70</t>
  </si>
  <si>
    <t>Rule Gap</t>
  </si>
  <si>
    <t>Alerts Test Suite!K114</t>
  </si>
  <si>
    <t>Alerts Test Suite!K122</t>
  </si>
  <si>
    <t>Alerts Test Suite!K123</t>
  </si>
  <si>
    <t>Alerts Test Suite!K202</t>
  </si>
  <si>
    <t>Incident Test Suite!K10</t>
  </si>
  <si>
    <t>Incident Test Suite!K12</t>
  </si>
  <si>
    <t>Incident Test Suite!K13</t>
  </si>
  <si>
    <t>Incident Test Suite!K2</t>
  </si>
  <si>
    <t>Incident Test Suite!K7</t>
  </si>
  <si>
    <t>Incident Test Suite!K8</t>
  </si>
  <si>
    <t>Incident Test Suite!K9</t>
  </si>
  <si>
    <t>Release Fields!C57</t>
  </si>
  <si>
    <t>Release Fields!C64</t>
  </si>
  <si>
    <t>Release Fields!C68</t>
  </si>
  <si>
    <t>Release Fields!C70</t>
  </si>
  <si>
    <t>Release Fields!C71</t>
  </si>
  <si>
    <t>Release Fields!D106</t>
  </si>
  <si>
    <t>Release Fields!D117</t>
  </si>
  <si>
    <t>Release Fields!D80</t>
  </si>
  <si>
    <t>Release Fields!D83</t>
  </si>
  <si>
    <t>Release Fields!D90</t>
  </si>
  <si>
    <t>Release Test Suite!K201</t>
  </si>
  <si>
    <t>Release Test Suite!K202</t>
  </si>
  <si>
    <t>Release Test Suite!K222</t>
  </si>
  <si>
    <t>Release Test Suite!K231</t>
  </si>
  <si>
    <t>Release Test Suite!K232</t>
  </si>
  <si>
    <t>Release Test Suite!K234</t>
  </si>
  <si>
    <t>Release Test Suite!K240</t>
  </si>
  <si>
    <t>Release Test Suite!K254</t>
  </si>
  <si>
    <t>Release Test Suite!K274</t>
  </si>
  <si>
    <t>Release Test Suite!K277</t>
  </si>
  <si>
    <t>Release Test Suite!K278</t>
  </si>
  <si>
    <t>Release Test Suite!K279</t>
  </si>
  <si>
    <t>Release Test Suite!K280</t>
  </si>
  <si>
    <t>Release Test Suite!K9</t>
  </si>
  <si>
    <t>My Comments</t>
  </si>
  <si>
    <t>Ignore this</t>
  </si>
  <si>
    <t>Overridable?</t>
  </si>
  <si>
    <t>Override Friction</t>
  </si>
  <si>
    <t>Warn if insufficient lead time; RM may override with audited reason</t>
  </si>
  <si>
    <t>Reason</t>
  </si>
  <si>
    <t>Warn; list missing sign-offs; RM may override with reason + confirmation</t>
  </si>
  <si>
    <t>Reason + confirmation</t>
  </si>
  <si>
    <t>Warn; list active blockers; RM may override with audited reason</t>
  </si>
  <si>
    <t>Warn if a gate requirement is missing; RM may override with reason + confirmation</t>
  </si>
  <si>
    <t>Warn if hard dependencies incomplete; RM may override with reason + confirmation</t>
  </si>
  <si>
    <t>Warn; list incomplete items; RM may override with reason + confirmation</t>
  </si>
  <si>
    <t>Warn if High risk lacks mitigation; RM may override with reason + confirmation</t>
  </si>
  <si>
    <t>Warn; list open work items; RM may override with reason + confirmation</t>
  </si>
  <si>
    <t>Warn; list incomplete work items; RM may override with reason + confirmation</t>
  </si>
  <si>
    <t>Warn; require test sign-off or override with audited reason</t>
  </si>
  <si>
    <t>Warn; require ops sign-off or override with audited reason</t>
  </si>
  <si>
    <t>Warn; list open conflicts; RM may override with reason + confirmation</t>
  </si>
  <si>
    <t>Warn; list open incidents; RM may override with audited reason</t>
  </si>
  <si>
    <t>Warn if PIR incomplete; RM may override with audited reason</t>
  </si>
  <si>
    <t>CFG-xx</t>
  </si>
  <si>
    <t>Override &amp; Configuration</t>
  </si>
  <si>
    <t>Warn+override default, conscious-override friction, configurable severity, override audit, blocker impact gating (FI-11)</t>
  </si>
  <si>
    <t>SECTION 15: OVERRIDE &amp; CONFIGURATION POLICY (FI-11)</t>
  </si>
  <si>
    <t>CFG-01</t>
  </si>
  <si>
    <t>Warn-and-Override Default</t>
  </si>
  <si>
    <t>Governance gates default to WARN rather than BLOCK. When a gate is not satisfied, RD warns the Release Manager (or owner) and lets them proceed by entering a mandatory reason, which is audited. Only rules flagged Overridable = Yes may be overridden; hard invariants (security, audit, data integrity, computed/read-only fields, terminal states, minimum-to-exist fields, deployment-freeze locks) can never be overridden.</t>
  </si>
  <si>
    <t>User attempts a transition that fails an overridable gate</t>
  </si>
  <si>
    <t>Warn; allow proceed with mandatory audited reason</t>
  </si>
  <si>
    <t>CFG-02</t>
  </si>
  <si>
    <t>Conscious Override (Friction)</t>
  </si>
  <si>
    <t>Overriding requires deliberate confirmation proportional to impact: a mandatory reason for all overrides, plus a lightweight speed-bump (a simple maths check or type-to-confirm) for gates close to go-live (Ready/Deploying). CAPTCHA is not used. The friction tier per rule is shown in the Override Friction column.</t>
  </si>
  <si>
    <t>RM confirms an override</t>
  </si>
  <si>
    <t>Enforce the friction tier before allowing the override</t>
  </si>
  <si>
    <t>CFG-03</t>
  </si>
  <si>
    <t>Configurable Severity</t>
  </si>
  <si>
    <t>An organisation may configure each overridable gate: keep the WARN default, raise it back to BLOCK (hard), or turn it OFF. Hard invariants are locked and cannot be weakened, guaranteeing a compliance floor. Configuration changes are restricted to the Change Control Board and are audited and effective-dated.</t>
  </si>
  <si>
    <t>Org administrator edits rule configuration</t>
  </si>
  <si>
    <t>Apply per-org severity within the allowed range; audit the change</t>
  </si>
  <si>
    <t>CFG-04</t>
  </si>
  <si>
    <t>Override Audit</t>
  </si>
  <si>
    <t>Every override is recorded immutably: who overrode, when, which rule, the reason entered, and the friction passed. The override is visible on the release and included in the audit trail and exports.</t>
  </si>
  <si>
    <t>An override is performed</t>
  </si>
  <si>
    <t>Record an immutable audit entry; surface on the release</t>
  </si>
  <si>
    <t>CFG-05</t>
  </si>
  <si>
    <t>Blocker Impact Gating</t>
  </si>
  <si>
    <t>Each blocker carries an Impact value: Blocking or Advisory. Only Blocking blockers gate a transition (subject to the overridable warn rules above). Advisory blockers never gate — they only warn. Default for existing blockers is Blocking.</t>
  </si>
  <si>
    <t>Release transition evaluated against linked blockers</t>
  </si>
  <si>
    <t>Gate on Blocking blockers only; Advisory blockers warn</t>
  </si>
  <si>
    <t>Description, Severity, Status, Owner, Release Link, Impact (Blocking/Advisory), Origin (Native/External)</t>
  </si>
  <si>
    <t>VR-15, VR-16, AV-01, AV-03, CASC-01, CASC-02, CFG-05, OWN-01</t>
  </si>
  <si>
    <t>FI-11</t>
  </si>
  <si>
    <t>Warn + audited override for governance gates (configurable)</t>
  </si>
  <si>
    <t>14 governance gates changed from hard BLOCK to WARN: the RM/owner may proceed by entering a mandatory audited reason. Conscious-override friction is proportional to impact (reason; + maths/type-to-confirm near go-live; no CAPTCHA). Severity is configurable per org (raise back to BLOCK / turn OFF); hard invariants stay locked. Blockers gain an Impact flag (Blocking/Advisory) so only Blocking blockers gate transitions.</t>
  </si>
  <si>
    <t>Governance gates (VR-02/14/15/16/18/24/27/28/29/30/31/32/33/34); Blockers</t>
  </si>
  <si>
    <t>Section 15 CFG-01..05; 14 VR gates BLOCK→WARN + Overridable?/Friction columns; Blocker Impact flag in Entity Classification</t>
  </si>
  <si>
    <t>Update affected gate tests to warn+override; add Override &amp; Config test suite</t>
  </si>
  <si>
    <t>Warning; RM may override with an audited reason — Error: 'Test sign-off required before UAT'. Status remains Testing.</t>
  </si>
  <si>
    <t>Warning; RM may override with an audited reason — Error: 'Development sign-off required'. Status remains UAT.</t>
  </si>
  <si>
    <t>Warning; RM may override with an audited reason — Error: 'UAT sign-off required'. Status remains UAT.</t>
  </si>
  <si>
    <t>Warning; RM may override with an audited reason — Error: 'All blockers must be resolved'. Status remains UAT.</t>
  </si>
  <si>
    <t>Warning; RM may override with an audited reason — Error: 'Rollback plan is required'. Status remains UAT.</t>
  </si>
  <si>
    <t>Warning; RM may override with an audited reason — Error: 'Release notes are required'. Status remains UAT.</t>
  </si>
  <si>
    <t>Warning; RM may override with an audited reason — Error: 'High-severity risks require mitigation'. Status remains UAT.</t>
  </si>
  <si>
    <t>Warning; RM may override with an audited reason — Error: 'Active blockers prevent Ready status'. Status remains Approved.</t>
  </si>
  <si>
    <t>Warning; RM may override with an audited reason — Error: 'Rollback plan must be marked Ready'. Status remains Approved.</t>
  </si>
  <si>
    <t>Warning; RM may override with an audited reason — Error: 'Deployment checklist incomplete'. Status remains Approved.</t>
  </si>
  <si>
    <t>Warning; RM may override with an audited reason — Error: 'Operations sign-off required for Ready'. Status remains Approved.</t>
  </si>
  <si>
    <t>Warning; RM may override with an audited reason — Error: 'Prerequisite releases not complete'. Shows Release B as unmet.</t>
  </si>
  <si>
    <t>Warning; RM may override with an audited reason — Error: 'Schedule conflicts must be resolved'. Status remains Approved.</t>
  </si>
  <si>
    <t>Warning; RM may override with an audited reason — Error: 'Prerequisite releases incomplete'. B must be Deployed/Closed first.</t>
  </si>
  <si>
    <t>Warning; RM may override with an audited reason — Error: 'All linked work items must be Done/Closed'. Shows incomplete item.</t>
  </si>
  <si>
    <t>Warning; RM may override with an audited reason — Error: 'Cannot close with open incidents'. Close incidents first.</t>
  </si>
  <si>
    <t>Warning; RM may override with an audited reason — Error: 'Operations sign-off required for Ready'.</t>
  </si>
  <si>
    <t>Warning; RM may override with an audited reason — Error: 'Minimum 2 working days required between CAB approval and Go-Live for Small releases'.</t>
  </si>
  <si>
    <t>Warning; RM may override with an audited reason — Error: 'Minimum 3 working days required for Large releases'.</t>
  </si>
  <si>
    <t>Warning; RM may override with an audited reason — Error: 'Prerequisite releases incomplete'. Shows B must be Deployed first.</t>
  </si>
  <si>
    <t>Warning; RM may override with an audited reason — Error: 'Not all hard dependencies met'. Shows D as unmet.</t>
  </si>
  <si>
    <t>Warning; RM may override with an audited reason — Error: 'Active blockers prevent Ready status'.</t>
  </si>
  <si>
    <t>Warning; RM may override with an audited reason — Error: 'Critical risks (Score 16-25) require a mitigation plan'.</t>
  </si>
  <si>
    <t>Warning; RM may override with an audited reason — - open work items listed</t>
  </si>
  <si>
    <t>Warning; RM may override with an audited reason — - incomplete work items listed</t>
  </si>
  <si>
    <t>Warning; RM may override with an audited reason — - conflict must be resolved</t>
  </si>
  <si>
    <t>Warning; RM may override with an audited reason — - must close incidents first</t>
  </si>
  <si>
    <t>Warning; RM may override with an audited reason — - PIR required</t>
  </si>
  <si>
    <t>Warning; RM may override with an audited reason — - PIR required for rolled back releases</t>
  </si>
  <si>
    <t>Warning; RM may override with an audited reason — - past deadline</t>
  </si>
  <si>
    <t>Warning; RM may override with an audited reason — - Mitigation Plan required for High risks</t>
  </si>
  <si>
    <t>Warning; RM may override with an audited reason — - VR-27 violation</t>
  </si>
  <si>
    <t>Warning; RM may override with an audited reason — - too short</t>
  </si>
  <si>
    <t>Warning; RM may override with an audited reason — - exceeds limit</t>
  </si>
  <si>
    <t>Warning; RM may override with an audited reason — - Due Date required</t>
  </si>
  <si>
    <t>Warning; RM may override with an audited reason — - must be future date</t>
  </si>
  <si>
    <t>Warning; RM may override with an audited reason — - Critical risks must be addressed</t>
  </si>
  <si>
    <t>Warning; RM may override with an audited reason — - missing Dev Sign-Off</t>
  </si>
  <si>
    <t>Warning; RM may override with an audited reason — - missing Test Sign-Off</t>
  </si>
  <si>
    <t>Warning; RM may override with an audited reason — - missing UAT Sign-Off</t>
  </si>
  <si>
    <t>Warning; RM may override with an audited reason — - open blockers exist</t>
  </si>
  <si>
    <t>Warning; RM may override with an audited reason — - Rollback Plan required</t>
  </si>
  <si>
    <t>Warning; RM may override with an audited reason — - Release Notes required</t>
  </si>
  <si>
    <t>Warning; RM may override with an audited reason — - all missing items listed</t>
  </si>
  <si>
    <t>Warning; RM may override with an audited reason — - Test Sign-Off required</t>
  </si>
  <si>
    <t>Warning; RM may override with an audited reason — - insufficient lead time</t>
  </si>
  <si>
    <t>Warning; RM may override with an audited reason — - Ops Sign-Off required</t>
  </si>
  <si>
    <t>Warning; RM may override with an audited reason — - PIR required for Critical incidents</t>
  </si>
  <si>
    <t>Warning; RM may override with an audited reason — - open incidents exist</t>
  </si>
  <si>
    <t>Warning; RM may override with an audited reason — - root cause required</t>
  </si>
  <si>
    <t>Warning; RM may override with an audited reason — - corrective actions required</t>
  </si>
  <si>
    <t>Warning; RM may override with an audited reason — - lessons learned required</t>
  </si>
  <si>
    <t>Warning; RM may override with an audited reason — - manager approval required</t>
  </si>
  <si>
    <t>Warning; RM may override with an audited reason — - owner only</t>
  </si>
  <si>
    <t>Warning; RM may override with an audited reason — - Ops sign-off premature</t>
  </si>
  <si>
    <t>Warning; RM may override with an audited reason — - Dev Sign-Off required</t>
  </si>
  <si>
    <t>Warning; RM may override with an audited reason — - UAT Sign-Off required</t>
  </si>
  <si>
    <t>Warning; RM may override with an audited reason — All blockers must be resolved.</t>
  </si>
  <si>
    <t>Warning; RM may override with an audited reason — Active blocker prevents Ready.</t>
  </si>
  <si>
    <t>Warning; RM may override with an audited reason — One blocker still active.</t>
  </si>
  <si>
    <t>Warning; RM may override with an audited reason — Open conflict must be resolved.</t>
  </si>
  <si>
    <t>Warning; RM may override with an audited reason — Conflict still under review.</t>
  </si>
  <si>
    <t>Warning; RM may override with an audited reason — One conflict still open.</t>
  </si>
  <si>
    <t>Warning; RM may override with an audited reason — Hard dependency not met.</t>
  </si>
  <si>
    <t>Warning; RM may override with an audited reason — C and D still pending.</t>
  </si>
  <si>
    <t>Warning; RM may override with an audited reason — At Risk is not Met.</t>
  </si>
  <si>
    <t>Warning; RM may override with an audited reason — Unmet hard dependency is impediment.</t>
  </si>
  <si>
    <t>Warning; RM may override with an audited reason. Only Blocking-impact blockers gate the transition — Advisory blockers warn only (see CFG-05).</t>
  </si>
  <si>
    <t>OC-TC-001</t>
  </si>
  <si>
    <t>1. Warn &amp; Override (CFG-01/02/04)</t>
  </si>
  <si>
    <t>Overridable gate warns instead of blocking</t>
  </si>
  <si>
    <t>Release at Ready with an unmet overridable gate (e.g. an open blocker).</t>
  </si>
  <si>
    <t>Attempt the transition.</t>
  </si>
  <si>
    <t>Warning shown (not a hard block); a proceed/override option is offered.</t>
  </si>
  <si>
    <t>OC-TC-002</t>
  </si>
  <si>
    <t>Override requires a mandatory reason</t>
  </si>
  <si>
    <t>RM overriding a warned gate.</t>
  </si>
  <si>
    <t>Proceed without entering a reason.</t>
  </si>
  <si>
    <t>Rejected. A reason is mandatory to override.</t>
  </si>
  <si>
    <t>Enter a reason to override.</t>
  </si>
  <si>
    <t>OC-TC-003</t>
  </si>
  <si>
    <t>Override with reason proceeds and is audited</t>
  </si>
  <si>
    <t>CFG-01, CFG-04</t>
  </si>
  <si>
    <t>RM overriding with a reason entered.</t>
  </si>
  <si>
    <t>Enter reason and confirm.</t>
  </si>
  <si>
    <t>Transition proceeds; override logged (who/when/rule/reason).</t>
  </si>
  <si>
    <t>OC-TC-004</t>
  </si>
  <si>
    <t>Speed-bump enforced near go-live</t>
  </si>
  <si>
    <t>Overriding a Ready/Deploying-adjacent gate (e.g. VR-16).</t>
  </si>
  <si>
    <t>Attempt the override.</t>
  </si>
  <si>
    <t>Reason + a confirmation (maths / type-to-confirm) required before proceeding.</t>
  </si>
  <si>
    <t>No CAPTCHA.</t>
  </si>
  <si>
    <t>OC-TC-005</t>
  </si>
  <si>
    <t>Hard invariant cannot be overridden</t>
  </si>
  <si>
    <t>Attempt to bypass a locked rule (e.g. security sign-off VR-37, or a §2 read-only field).</t>
  </si>
  <si>
    <t>Try to override.</t>
  </si>
  <si>
    <t>Rejected. Invariants are not overridable.</t>
  </si>
  <si>
    <t>This rule cannot be overridden.</t>
  </si>
  <si>
    <t>OC-TC-006</t>
  </si>
  <si>
    <t>Override recorded immutably and shown on release</t>
  </si>
  <si>
    <t>An override was performed.</t>
  </si>
  <si>
    <t>View the release and audit trail.</t>
  </si>
  <si>
    <t>Override entry present, immutable, and visible on the release.</t>
  </si>
  <si>
    <t>OC-TC-007</t>
  </si>
  <si>
    <t>2. Configurable Severity (CFG-03)</t>
  </si>
  <si>
    <t>Org raises a gate back to BLOCK</t>
  </si>
  <si>
    <t>CCB configures VR-15 severity = BLOCK.</t>
  </si>
  <si>
    <t>RM hits the gate.</t>
  </si>
  <si>
    <t>Hard block with no override, per org configuration.</t>
  </si>
  <si>
    <t>OC-TC-008</t>
  </si>
  <si>
    <t>Org cannot weaken a hard invariant</t>
  </si>
  <si>
    <t>CCB attempts to set a security/audit rule to OFF.</t>
  </si>
  <si>
    <t>Save the config.</t>
  </si>
  <si>
    <t>Rejected. Invariants are locked (compliance floor).</t>
  </si>
  <si>
    <t>OC-TC-009</t>
  </si>
  <si>
    <t>Config change is CCB-only and audited</t>
  </si>
  <si>
    <t>CFG-03, CFG-04</t>
  </si>
  <si>
    <t>Non-CCB user attempts a config change.</t>
  </si>
  <si>
    <t>Edit a rule's severity.</t>
  </si>
  <si>
    <t>Rejected for non-CCB; CCB changes are audited and effective-dated.</t>
  </si>
  <si>
    <t>OC-TC-010</t>
  </si>
  <si>
    <t>3. Blocker Impact (CFG-05)</t>
  </si>
  <si>
    <t>Advisory blocker does not gate</t>
  </si>
  <si>
    <t>Release at Ready; only an Advisory blocker is open.</t>
  </si>
  <si>
    <t>Allowed with a warning; Advisory blockers do not gate.</t>
  </si>
  <si>
    <t>OC-TC-011</t>
  </si>
  <si>
    <t>Blocking blocker gates (overridable)</t>
  </si>
  <si>
    <t>Release at Ready; a Blocking blocker is open.</t>
  </si>
  <si>
    <t>Warning; the transition is gated but the RM may override with a reason.</t>
  </si>
  <si>
    <t>OC-TC-012</t>
  </si>
  <si>
    <t>Existing blockers default to Blocking</t>
  </si>
  <si>
    <t>A pre-existing blocker with no Impact set.</t>
  </si>
  <si>
    <t>View its Impact value.</t>
  </si>
  <si>
    <t>Defaults to Blocking.</t>
  </si>
  <si>
    <t>OVERRIDE &amp; CONFIG TEST SUITE SUMMARY</t>
  </si>
  <si>
    <t>CFG-01..05 (warn+override, friction, configurable severity, override audit, blocker impact)</t>
  </si>
  <si>
    <t>Exercises the 14 softened gates (VR-02/14/15/16/18/24/27/28/29/30/31/32/33/34)</t>
  </si>
  <si>
    <t>Resolution / FI Ref</t>
  </si>
  <si>
    <t>Resolved by FI-11 — VR-15 now WARN+override; blocker gating uses Impact (Advisory/Blocking) per CFG-05.</t>
  </si>
  <si>
    <t>Column1</t>
  </si>
  <si>
    <t>FI-11 decision — VR-36 kept HARD; At Risk transition lock at Deploying is intended.</t>
  </si>
  <si>
    <t>FI-11 decision — VR-36 kept HARD; notes-edit lock at Deploying is intended.</t>
  </si>
  <si>
    <t>FI-11 decision — VR-35 kept HARD (blocker creation lock); existing-blocker read-only at Deploying is a deliberate deployment-integrity lock. Confirmed intended.</t>
  </si>
  <si>
    <t>FI-11 decision — VR-36 (dependency modification lock) kept HARD; waive lock at Deploying is intended.</t>
  </si>
  <si>
    <t>FI-11 decision — §3-22 (risk lock at Ready) kept HARD as deployment integrity; extensions intended.</t>
  </si>
  <si>
    <t>Resolved by FI-11 — VR-15 softened to WARN+override; only Blocking-impact blockers gate Testing→UAT (CFG-05).</t>
  </si>
  <si>
    <t>Before transitioning to Pending CAB, all sign-offs configured as MANDATORY must be 'Yes'. Available sign-off types: Dev, Test, UAT, Security, Business, Ops. Default mandatory set = Dev, Test, UAT; each organisation may make Security, Business or Ops mandatory or optional (configurable per CFG-03). A missing mandatory sign-off warns and is overridable (see FI-11).</t>
  </si>
  <si>
    <t>Notify the Release Owner and key stakeholders when release status changes. This covers all lifecycle transitions — including Deploying, Deployed and Rolled Back — so no separate deployment-notification rule is defined (per NR-02).</t>
  </si>
  <si>
    <t>Dev, Test, UAT, Security, Business, Ops (each configurable mandatory/optional per org)</t>
  </si>
  <si>
    <t>Mandatory sign-offs (per org config) required for Pending CAB</t>
  </si>
  <si>
    <t>VR-14, CFG-03</t>
  </si>
  <si>
    <t>Warning; RM may override with an audited reason — all sign-offs the org marks Mandatory (default Dev/Test/UAT; Security/Business/Ops optional) must be 'Yes'.</t>
  </si>
  <si>
    <t>Critical/High-severity risk escalation notification is sent per AV-02. No dedicated immediate-critical rule (NR-02 decision — rely on generic).</t>
  </si>
  <si>
    <t>Deployment status-change notification is sent via NOTIF-01 (covers Deploying/Deployed/Rolled Back). No dedicated deployment rule (NR-02 decision).</t>
  </si>
  <si>
    <t>Rejected. Sign-Off Type must be one of the six valid types: Dev, Test, UAT, Security, Business, Ops.</t>
  </si>
  <si>
    <t>Business Sign-Off required when configured mandatory (e.g. Large releases)</t>
  </si>
  <si>
    <t>Business Sign-Off gates Pending CAB only if the org configured it Mandatory (e.g. for Large releases). If mandatory and missing, warns (overridable); if optional, no gate.</t>
  </si>
  <si>
    <t>Deployment-start notification is sent via NOTIF-01 status-change (covers Deploying). No dedicated rule (NR-02 decision).</t>
  </si>
  <si>
    <t>Deployment-complete notification is sent via NOTIF-01 status-change (covers Deployed). No dedicated rule (NR-02 decision).</t>
  </si>
  <si>
    <t>Resolved by NR-01: 6 configurable sign-off types; mandatory set per org (default Dev/Test/UAT). VR-14 + Status Lifecycles updated.</t>
  </si>
  <si>
    <t>Resolved by NR-01: Business Sign-Off is configurable mandatory per org (CFG-03).</t>
  </si>
  <si>
    <t>Resolved by NR-01: sign-off types configurable per org (default Dev/Test/UAT mandatory).</t>
  </si>
  <si>
    <t>Resolved by NR-02: release link is a detail of NOTIF-01; no separate rule.</t>
  </si>
  <si>
    <t>Resolved by NR-02: covered by NOTIF-01 status-change; no dedicated deployment rule.</t>
  </si>
  <si>
    <t>Resolved by NR-02: detail of NOTIF-05 (approval notification); no separate rule.</t>
  </si>
  <si>
    <t>Resolved by NR-02: covered by AV-02 risk escalation; no dedicated critical-risk rule.</t>
  </si>
  <si>
    <t>RELEASE DESK — WHAT IT IS AND WHY IT EXISTS</t>
  </si>
  <si>
    <t>The guiding idea behind the product. Written in plain language so anyone can understand it.</t>
  </si>
  <si>
    <t>IN ONE SENTENCE</t>
  </si>
  <si>
    <t>Release Desk pulls together up-to-date information about a release from all the other systems a company already uses, puts it in one place for the Release Manager, and adds AI insights on top to help them understand and manage the release.</t>
  </si>
  <si>
    <t>WHAT IT IS</t>
  </si>
  <si>
    <t>A Release Manager's single pane of glass.
Today the information a Release Manager needs is scattered — blockers sit in Jira, incidents in ServiceNow, alerts in Grafana, leave in the HR system, infrastructure state in the cloud and IaC tools. Nobody has the full picture in one place, so people chase updates in meetings, emails and spreadsheets.
Release Desk connects to all of those systems, brings the information in, and shows one joined-up view of the release — both a high-level "is this release healthy?" summary and the full detail underneath.</t>
  </si>
  <si>
    <t>HOW IT WORKS — FOUR STEPS</t>
  </si>
  <si>
    <t>1. CONNECT — we integrate with the source systems (Jira, ServiceNow, Grafana, HR, cloud / IaC, CMDB).
2. COLLECT — we pull the information in as frequently as is possible and practical, so what you see is current.
3. COMBINE — we link it all to the release it affects, so one screen answers "what is the state of this release?"
4. ADVISE — AI insights read across everything and give the Release Manager insights, suggestions, direction and pointers on what needs attention.</t>
  </si>
  <si>
    <t>THE GOLDEN RULE — WE READ, WE DO NOT WRITE</t>
  </si>
  <si>
    <t>Release Desk does not control or change the source systems.
If a blocker lives in Jira, Jira stays the master. We read it, we show it, and when it changes in Jira the change flows back into Release Desk and the release view updates by itself. We never push changes into Jira (or ServiceNow, or Grafana, or HR) from Release Desk.
Why: the source system already owns the permissions, the workflow and the audit trail. Writing from a second system creates conflicting updates, permission problems, and an unclear history of who really changed what.</t>
  </si>
  <si>
    <t>WHAT WE OWN vs WHAT WE ONLY READ</t>
  </si>
  <si>
    <t>Release Desk owns it (created and closed here)</t>
  </si>
  <si>
    <t>The Release itself, CAB Approvals, Sign-offs, Dependencies between releases, Conflicts — plus any Blocker or Risk a Release Manager raises directly in Release Desk when there is no external ticket for it. These we manage end to end.</t>
  </si>
  <si>
    <t>We only read it (the source system stays master)</t>
  </si>
  <si>
    <t>Jira blockers and work items, ServiceNow incidents, Grafana alerts, HR leave, cloud / IaC drift, CMDB records. Shown read-only, with a link out to the source system if someone needs to change it.</t>
  </si>
  <si>
    <t>EXAMPLE — A JIRA BLOCKER</t>
  </si>
  <si>
    <t>1. A Jira ticket is raised that blocks the release.
2. Release Desk picks it up on the next sync and shows it on the release as a blocker.
3. The team works the ticket and closes it — in Jira.
4. The next sync brings that update in, and Release Desk updates the release by itself; the blocker clears.
5. At no point did Release Desk change the Jira ticket.</t>
  </si>
  <si>
    <t>AI INSIGHTS ON TOP</t>
  </si>
  <si>
    <t>Because everything sits in one place, AI can look across the whole picture and tell the Release Manager things no single tool can. For example:
• "This release is at risk — two hard dependencies are still open and the CAB date is in two days."
• "Configuration drift appeared in PROD twenty minutes after the last deployment."
• "The approver you need is on leave on the CAB date — here is a delegate."
The AI gives insights, suggestions and pointers. The Release Manager stays in control and makes the decisions.</t>
  </si>
  <si>
    <t>WHAT RELEASE DESK IS NOT</t>
  </si>
  <si>
    <t>• Not a replacement for Jira, ServiceNow, Grafana or the HR system.
• Not a place to edit those systems' records.
• Not the system of record for anything it did not create.
• Not a rigid gatekeeper — it warns and advises, and lets the Release Manager decide, with the reason recorded.</t>
  </si>
  <si>
    <t>HOW THIS SHAPES THE RULES</t>
  </si>
  <si>
    <t>FI-12</t>
  </si>
  <si>
    <t>Flexible Transitions — denylist model instead of whitelist (in progress)</t>
  </si>
  <si>
    <t>Currently every lifecycle (Releases, Blockers, Approvals, Sign-Offs, Risks, Incidents, Dependencies, Conflicts, Drift, Alerts) uses a whitelist of allowed next-statuses, and all 16 release transition rules (§4-01..§4-16) are hard BLOCK with no override. Agreed direction: flip this to a short denylist of true invariants (things that genuinely cannot be undone, e.g. a Deployed release cannot go back to Draft) plus everything else becomes warn-and-proceed, with a friction level attached (plain reason, or reason + typing the release name and your own name for the higher-stakes moves).</t>
  </si>
  <si>
    <t>Phase A: draft the T0 invariant list for approval (done — see 'Need to be resolved' tab, item NR-03). Phase B: update Rules Specification (§4 transition rules + new flexible-transition rule). Phase C: update Status Lifecycles (rename 'Next Possible Status' to 'Recommended', add a 'Hard-blocked' column, fix the Approvals/Sign-Offs over-use of FINAL — e.g. Deferred approval wrongly immutable). Phase D: update the ~111 existing test cases that currently assert these transitions are rejected.</t>
  </si>
  <si>
    <t>§4 transition rules, all 11 status lifecycles, CFG-02 (friction tiers)</t>
  </si>
  <si>
    <t>IMPORTANT — Phase D (rewriting ~111 test cases) is DELIBERATELY DEFERRED until Phases A-C are finalised and approved, so the test rewrite isn't done twice if the invariant list changes. This is a standing reminder that Phase D work is still owed.</t>
  </si>
  <si>
    <t>FI-13</t>
  </si>
  <si>
    <t>Release Cloning (copy a Cancelled/any release into a new one)</t>
  </si>
  <si>
    <t>Resolved via NR-03 borderline (A): a Cancelled release stays permanently immutable and is NOT reopenable — that decision stands as originally drafted. Instead, add a Clone / Copy Release action: the user picks an existing release (cancelled or otherwise) and creates a brand-new release pre-populated from it, with the option to carry over Approvals, Attachments, Blockers, and other linked records rather than starting from a blank form.</t>
  </si>
  <si>
    <t>Release, Approvals, Attachments, Blockers (confirm whether Sign-offs, Dependencies and Risks should also be carry-over candidates, or just the three named)</t>
  </si>
  <si>
    <t>Design question to resolve before building: should cloned Approvals/Sign-offs carry over AS ALREADY APPROVED for the new release, or only as reference copies with the new release required to obtain fresh approvals? Carrying them over as already-approved would let a new release skip real governance, which conflicts with the CAB/sign-off gates — my recommendation is fresh approvals required, old ones copied for reference only, but this needs your confirmation.</t>
  </si>
  <si>
    <t>New rule defining clone behaviour + what carries over by default vs. opt-in; new test coverage</t>
  </si>
  <si>
    <t>FI-14</t>
  </si>
  <si>
    <t>Dependency "Met" reversal when the predecessor is rolled back</t>
  </si>
  <si>
    <t>Dependencies, Releases (Rolled Back transition)</t>
  </si>
  <si>
    <t>New rule pairing with AV-04/CASC-04 (the reversal path); new test coverage</t>
  </si>
  <si>
    <t>From Pending CAB, the release may transition to: CAB Approved, Deferred, Rejected, Blocked, OR Cancelled.</t>
  </si>
  <si>
    <t>CAB Approved Allowed Transitions</t>
  </si>
  <si>
    <t>From CAB Approved, the release may transition to: Ready, Pending CAB (scope change), Blocked, OR Cancelled.</t>
  </si>
  <si>
    <t>User attempts status change from CAB Approved</t>
  </si>
  <si>
    <t>Scope Change After CAB Approved</t>
  </si>
  <si>
    <t>If any scope-affecting field (Priority, Size, or Scope text field) is changed while the release Status = CAB Approved, the system automatically reverts the status back to Pending CAB and sends a notification to CAB members that re-approval is required.</t>
  </si>
  <si>
    <t>CAB Approved</t>
  </si>
  <si>
    <t>CAB Approved, Deferred, Rejected, Blocked, Cancelled</t>
  </si>
  <si>
    <t>Any approval a release needs (a CAB decision, or any other approval such as a named security/legal/etc. approval), created by the user and tracked through the Approvals lifecycle. The CAB approval specifically may instead be linked to an external ticket (e.g. ServiceNow, Jira) when the organisation manages CAB there — in that case Release Desk reads the linked ticket's status rather than running its own lifecycle for it.</t>
  </si>
  <si>
    <t>Type, Decision, Approver, Release Link, External Reference (SoR ticket ID/URL when CAB-linked)</t>
  </si>
  <si>
    <t>Native (RD) for a manually-tracked approval (e.g. a named 'XYZ' approval with no external system); External (ServiceNow/Jira CAB ticket) when the organisation's CAB is managed in an external system — linked and auto-synced, no internal lifecycle needed for that record</t>
  </si>
  <si>
    <t>FI-15</t>
  </si>
  <si>
    <t>Rename release status 'Approved' → 'CAB Approved' (disambiguation)</t>
  </si>
  <si>
    <t>The word 'Approved' was overloaded three ways: the release status, an Approval record's decision, and a Sign-off's decision. Renamed the release status specifically to 'CAB Approved' so it can never be confused with the other two again. Also corrected Entity Classification: the CAB approval may be Native (a manually-tracked approval, when there's no external CAB system) or External (linked read-only to a ServiceNow/Jira CAB ticket, auto-synced, no internal lifecycle needed for that record).</t>
  </si>
  <si>
    <t>Done: Rules Specification (§4-05, §4-06, §4-16, VR-21), Status Lifecycles (Releases block), Release Fields (status column header), Entity Classification (Approvals Origin).</t>
  </si>
  <si>
    <t>Still open: 42 test cells across 10 suites (Release 22, Sign-Off 4, Drift 3, CAB Approvals 3, Risk 2, Incident 2, Alerts 2, Blockers 2, Conflicts 1, Dependencies 1) still say bare 'Approved' meaning the release status. Needs careful per-cell review, not a blind find/replace, since 'Approved' also correctly appears as a Sign-off/Approval decision value in the same suites.</t>
  </si>
  <si>
    <t>Test suites (see column E for breakdown)</t>
  </si>
  <si>
    <t>Warn if target is off the recommended path; allow with reason (see CFG-07). Exception: cannot jump directly to Deploying/Deployed except via Ready (see CFG-06).</t>
  </si>
  <si>
    <t>Warn if target is off the recommended path; allow with reason + confirmation (see CFG-07). Exception: cannot jump directly to Deploying/Deployed except via Ready (see CFG-06).</t>
  </si>
  <si>
    <t>Warn if target is off the recommended path; allow with reason (see CFG-07). Cannot skip Ready itself (see CFG-06).</t>
  </si>
  <si>
    <t>Warn if target is off the recommended path; allow with reason (see CFG-07).</t>
  </si>
  <si>
    <t>Releases are RECOMMENDED to traverse the full path (Draft → Planning → Testing → UAT → Pending CAB → CAB Approved → Ready → Deploying → Deployed → Closed), and skipping intermediate stages now only warns and requires a reason (see CFG-07) rather than being blocked — provided each stage's own gate (sign-offs, CAB approval, dependency completion, etc.) is either met or consciously overridden along the way. The ONE exception is CFG-06: a release can never jump directly to Deploying or Deployed except from Ready — that specific stage-skip remains a hard block with no override, because Ready's own gate (rollback plan, checklist, no open impediments) is the last safety check before code goes live.</t>
  </si>
  <si>
    <t>User attempts to skip stages in the release lifecycle</t>
  </si>
  <si>
    <t>Warn; allow with reason, except direct jump to Deploying/Deployed bypassing Ready (blocked, see CFG-06)</t>
  </si>
  <si>
    <t>Reason (blocked entirely if the target is Deploying/Deployed and Ready was skipped)</t>
  </si>
  <si>
    <t>SECTION 16: RELEASE LIFECYCLE FLEXIBILITY &amp; CASCADE CONSISTENCY (FI-12, FI-13, FI-14)</t>
  </si>
  <si>
    <t>CFG-06</t>
  </si>
  <si>
    <t>User attempts to transition a release to Deploying or Deployed from any status other than Ready</t>
  </si>
  <si>
    <t>— (no override)</t>
  </si>
  <si>
    <t>CFG-07</t>
  </si>
  <si>
    <t>Flexible Release &amp; Entity Transitions (Denylist Model)</t>
  </si>
  <si>
    <t>Outside of the T0 invariants (documented in the 'Need to be resolved' tab, item NR-03) and CFG-06 above, and outside each entity's own FINAL/immutable terminal states, ANY status transition — for a Release, or for any other entity (Blocker, Approval, Sign-Off, Risk, Incident, Dependency, Conflict, Drift, Alert) — is allowed even if it skips stages in that entity's usual lifecycle order. For example, a Dependency does not have to move Pending → At Risk → Met in strict order if circumstances mean a stage genuinely doesn't apply — it can jump ahead. The system must warn the user that this is off the recommended path and require a consciously-entered reason before proceeding (see CFG-02 for the friction tiers — plain reason for most moves, or reason + typed confirmation for moves close to a release's Ready/Deploying stage). This replaces the old model where each lifecycle's 'Next Possible Status' list was the ONLY allowed set of moves — that list is now the RECOMMENDED path, not an enforced restriction, except where CFG-06 or the T0 list say otherwise.</t>
  </si>
  <si>
    <t>User attempts a status transition that is not on the entity's recommended 'Next Possible Status' list</t>
  </si>
  <si>
    <t>Warn that this move is off the recommended path; require a reason (or reason + typed confirmation near Ready/Deploying); then allow</t>
  </si>
  <si>
    <t>Reason, or reason + confirmation depending on proximity to Ready/Deploying</t>
  </si>
  <si>
    <t>CLONE-01</t>
  </si>
  <si>
    <t>Release Cloning</t>
  </si>
  <si>
    <t>A user may clone an existing release (including a Cancelled one, per NR-03) into a brand-new release. The new release is pre-populated with the source release's core fields (Application, Scope, Type, etc.). Blockers and Attachments may optionally be carried over as active links. Approvals and Sign-offs are copied as READ-ONLY REFERENCE COPIES ONLY, clearly marked 'copied from a prior release' — they do NOT count as already-approved or already-signed-off for the new release. The new release must obtain its own fresh Approvals and Sign-offs before it can progress through Pending CAB, exactly as if it had been created from scratch. This gives the Release Manager a fast start without letting a clone bypass CAB or sign-off governance.</t>
  </si>
  <si>
    <t>User clones a release</t>
  </si>
  <si>
    <t>Create new release; copy core fields; optionally copy Blocker/Attachment links as active; copy Approvals/Sign-offs as read-only reference only, not counted as approved</t>
  </si>
  <si>
    <t>AV-26</t>
  </si>
  <si>
    <t>CASC-14</t>
  </si>
  <si>
    <t>Scope Change Invalidates Prior Sign-offs and Approval</t>
  </si>
  <si>
    <t>This is the same kind of thoroughness check as AV-26 above, applied to a different pair of entities: when VR-21 fires (a scope-affecting field changes while the release is CAB Approved or beyond, which reverts the release status to Pending CAB), all previously-completed Sign-offs on that release are automatically reset to Pending (re-confirmation required) rather than silently staying marked Yes — because they attested to a scope that no longer applies. The prior CAB Approval record is marked Superseded rather than edited (which keeps it as an honest historical record, consistent with T0 item 3 and §3-10), and a new Approval must be obtained for the changed scope before the release can proceed again.</t>
  </si>
  <si>
    <t>VR-21 (Scope Change After CAB Approved) fires</t>
  </si>
  <si>
    <t>Reset all Sign-offs on the release to Pending; mark the prior Approval record Superseded; require a fresh Approval</t>
  </si>
  <si>
    <t>SECTION 17: FIELD CONSTRAINTS, SLAS, ROLES &amp; SECURITY (Rule Gap Register Resolution)</t>
  </si>
  <si>
    <t>§1-16</t>
  </si>
  <si>
    <t>Incident Field Constraints</t>
  </si>
  <si>
    <t>Incident Description is required and must be at least 10 characters (configurable per org, default 10). Incident Severity is a required field and cannot be left blank.</t>
  </si>
  <si>
    <t>User creates or saves an incident</t>
  </si>
  <si>
    <t>Block if Description is blank/under the minimum length, or Severity is not set</t>
  </si>
  <si>
    <t>§2-13</t>
  </si>
  <si>
    <t>Incident Reported Date / Reported By</t>
  </si>
  <si>
    <t>Reported Date and Reported By are set automatically by the system at incident creation and cannot be manually edited — the same pattern as Created Date/By (§2-04/05).</t>
  </si>
  <si>
    <t>User attempts to edit Reported Date/By</t>
  </si>
  <si>
    <t>Block edit; auto-set at creation</t>
  </si>
  <si>
    <t>§1-17</t>
  </si>
  <si>
    <t>Maintenance Window Duration</t>
  </si>
  <si>
    <t>A Maintenance Window's duration must be at least 30 minutes (configurable per org, default 30 minutes). Unlike Environment Booking (§1-08), there is no fixed maximum.</t>
  </si>
  <si>
    <t>User creates/edits a Maintenance Window</t>
  </si>
  <si>
    <t>Block if duration is under the configured minimum</t>
  </si>
  <si>
    <t>ROLE-12</t>
  </si>
  <si>
    <t>Maintenance Window Management</t>
  </si>
  <si>
    <t>Only Administrators (or users holding a specific Maintenance Window Manager permission) may create, modify, or delete Maintenance Windows. Other users may view them.</t>
  </si>
  <si>
    <t>Non-admin user attempts to create/modify/delete a Maintenance Window</t>
  </si>
  <si>
    <t>Block; view-only for other roles</t>
  </si>
  <si>
    <t>NOTIF-17</t>
  </si>
  <si>
    <t>Configurable SLA Thresholds</t>
  </si>
  <si>
    <t>Sign-offs and Incidents may have an SLA period configured per organisation (defaults: Sign-off ~7 days, Critical Incident ~4 hours). Breaching a configured SLA triggers a warning notification at a configurable lead time (default: 80% of the SLA period elapsed).</t>
  </si>
  <si>
    <t>A time-bound entity approaches or breaches its configured SLA</t>
  </si>
  <si>
    <t>Send a warning notification at the configured lead time; auto-expire per the entity's own lifecycle rule if fully breached</t>
  </si>
  <si>
    <t>§1-18</t>
  </si>
  <si>
    <t>Configurable Field Length Constraints</t>
  </si>
  <si>
    <t>The following fields have a maximum length, configurable per organisation: Blocker Description 10,000 characters (default); Dependency Waiver Reason 2,000 characters (default); Risk Mitigation Plan 4,000 characters (default, minimum 10 unchanged per VR-27); Risk Description 10,000 characters (default).</t>
  </si>
  <si>
    <t>User enters text into one of these fields</t>
  </si>
  <si>
    <t>Block if the configured maximum is exceeded</t>
  </si>
  <si>
    <t>§3-23</t>
  </si>
  <si>
    <t>Leave Record Immutability</t>
  </si>
  <si>
    <t>Leave records are synced read-only from the HR system (External origin, per OWN-01/OWN-03). Release Desk users cannot create, modify, or delete a leave record directly — changes must be made in the HR system and will sync in.</t>
  </si>
  <si>
    <t>User attempts to create/edit/delete a leave record in RD</t>
  </si>
  <si>
    <t>Block; leave records are External and read-only</t>
  </si>
  <si>
    <t>DRIFT-01</t>
  </si>
  <si>
    <t>Baseline Establishment &amp; Management</t>
  </si>
  <si>
    <t>A configuration baseline is automatically established after a successful deployment, or can be manually set by an authorised user. Baselines can be updated, locked against further changes during an active deployment, and any secrets within them are masked. Reverting a baseline restores the previous version.</t>
  </si>
  <si>
    <t>Release deploys successfully, or a user manually manages a baseline</t>
  </si>
  <si>
    <t>Auto-establish baseline on deploy; allow authorised manual update/lock/revert; mask secrets always</t>
  </si>
  <si>
    <t>VR-38</t>
  </si>
  <si>
    <t>Incident Post-Implementation Review</t>
  </si>
  <si>
    <t>For Critical-severity incidents causing an outage longer than a configurable threshold (default 4 hours), a Post-Implementation Review (PIR) is required before the incident can be Closed, within a configurable completion window (default 5 business days) and requiring manager approval. Missing PIR warns and is overridable with an audited reason.</t>
  </si>
  <si>
    <t>User attempts to close a qualifying Critical incident without a completed PIR</t>
  </si>
  <si>
    <t>Warn; allow override with reason</t>
  </si>
  <si>
    <t>VR-39</t>
  </si>
  <si>
    <t>ROLE-13</t>
  </si>
  <si>
    <t>Release Manager App-Scope Edit Authority</t>
  </si>
  <si>
    <t>A Release Manager can edit any release within their assigned Application scope. Editing a release outside their assigned scope requires Admin rights or a scope reassignment.</t>
  </si>
  <si>
    <t>RM attempts to edit a release outside their assigned Application scope</t>
  </si>
  <si>
    <t>Block unless Admin or scope is reassigned</t>
  </si>
  <si>
    <t>ROLE-14</t>
  </si>
  <si>
    <t>Sync Administration</t>
  </si>
  <si>
    <t>Only users holding the Sync Administrator role may manually trigger an out-of-cycle sync with an external system. Other users must wait for the scheduled sync (SYNC-01).</t>
  </si>
  <si>
    <t>Non-Sync-Admin user attempts to manually trigger a sync</t>
  </si>
  <si>
    <t>Block; only Sync Administrators may trigger manual sync</t>
  </si>
  <si>
    <t>SYNC-13</t>
  </si>
  <si>
    <t>Polling Fallback</t>
  </si>
  <si>
    <t>If a webhook-based integration becomes unavailable, the system falls back to polling the external source every 5 minutes (configurable) until the webhook is restored.</t>
  </si>
  <si>
    <t>Webhook delivery fails or the endpoint is unreachable</t>
  </si>
  <si>
    <t>Switch to polling at the configured interval; resume webhooks once available</t>
  </si>
  <si>
    <t>SYNC-14</t>
  </si>
  <si>
    <t>Sync Suspended for Archived Releases</t>
  </si>
  <si>
    <t>Releases that are Closed and past the audit retention review, or manually archived, are excluded from ongoing sync polling, reducing unnecessary calls to external systems.</t>
  </si>
  <si>
    <t>A release is archived</t>
  </si>
  <si>
    <t>Exclude from sync polling</t>
  </si>
  <si>
    <t>SEC-13</t>
  </si>
  <si>
    <t>File Upload Validation</t>
  </si>
  <si>
    <t>Uploaded files (attachments) are validated for file type and size before being accepted; disallowed types or oversized files are rejected.</t>
  </si>
  <si>
    <t>User uploads a file</t>
  </si>
  <si>
    <t>Block if the file type is disallowed or size exceeds the configured limit</t>
  </si>
  <si>
    <t>SEC-14</t>
  </si>
  <si>
    <t>Per-Request Authorization</t>
  </si>
  <si>
    <t>Every API and UI request is authorised against the requesting user's current permissions and object-level access at the time of the request, not cached from login — so a permission revoked mid-session takes effect immediately.</t>
  </si>
  <si>
    <t>Any request is made</t>
  </si>
  <si>
    <t>Check current authorisation on every request; block if insufficient</t>
  </si>
  <si>
    <t>SEC-15</t>
  </si>
  <si>
    <t>Multi-Factor Authentication</t>
  </si>
  <si>
    <t>Multi-factor authentication is enforced for all user logins (configurable to require it at minimum for Admin/CCB roles).</t>
  </si>
  <si>
    <t>User logs in</t>
  </si>
  <si>
    <t>Require MFA per the configured policy</t>
  </si>
  <si>
    <t>SEC-16</t>
  </si>
  <si>
    <t>API Token Expiry &amp; Rotation</t>
  </si>
  <si>
    <t>API tokens expire after 90 days (configurable) and must be rotated; expired tokens are rejected on use.</t>
  </si>
  <si>
    <t>An API token is used past its expiry</t>
  </si>
  <si>
    <t>Reject the request; require token rotation</t>
  </si>
  <si>
    <t>SEC-17</t>
  </si>
  <si>
    <t>Privilege Escalation Prevention</t>
  </si>
  <si>
    <t>A user cannot grant themselves, or anyone else, a role or permission higher than their own. Any role change above a user's own privilege level requires approval from a higher-privileged user.</t>
  </si>
  <si>
    <t>User attempts to grant a role/permission higher than their own</t>
  </si>
  <si>
    <t>Block; require a higher-privileged approver</t>
  </si>
  <si>
    <t>§2-14</t>
  </si>
  <si>
    <t>Release ID is auto-generated by the system at creation and is read-only, following the same computed-field pattern as other §2 rules.</t>
  </si>
  <si>
    <t>User attempts to edit Release ID</t>
  </si>
  <si>
    <t>Block edit; system-generated</t>
  </si>
  <si>
    <t>CAB Date MUST be before Go-Live Date. CAB cannot occur after deployment begins. A CAB Date in the past triggers a WARNING (not a block), similar to VR-04's back-dated Start Date handling — the RM must enter a reason to proceed.</t>
  </si>
  <si>
    <t>If required CAB approver is on leave at CAB Date, display WARNING. Suggest delegate approver. Organisations may optionally designate approvers as Required or Optional; only Required-approver leave triggers this warning.</t>
  </si>
  <si>
    <t>If environment owner is on leave during booked slot, display WARNING. Suggest escalation contact. This is a flat WARNING by default; organisations may optionally configure severity scaling by leave duration or type via CFG-03.</t>
  </si>
  <si>
    <t>Nightly scan: If risk with Severity = High is unmitigated ≥ 3 days (configurable), escalate alert to Release Owner and their manager. Critical-severity risks additionally escalate to VP immediately (configurable).</t>
  </si>
  <si>
    <t>When a dependency release transitions to Deployed/Closed, auto-update dependent release's Dependency Status to 'Met'. Met is always system-assigned by this rule and can never be manually set by a user creating or editing a dependency — whether the predecessor was already Deployed/Closed at creation time (immediate Met) or becomes so later (Met on transition). See AV-26 for the reverse case (predecessor rolled back).</t>
  </si>
  <si>
    <t>When an environment slot is booked, check for overlapping bookings. Rather than blocking outright, the booking is ALLOWED and a Conflict record is automatically created (per CASC-07) for the Release Manager to review and resolve.</t>
  </si>
  <si>
    <t>24 hours before a scheduled maintenance window (configurable per org), notify all releases with overlapping Deploy Dates. Maintenance Windows flagged Emergency send an immediate alert instead of waiting for the standard T-minus window.</t>
  </si>
  <si>
    <t>Approvals older than 30 days without corresponding deployment auto-expire. Release reverts to Pending CAB. Reminders escalate as the 30-day expiry approaches, on a configurable schedule (default: T-7, T-3, and T-1 days).</t>
  </si>
  <si>
    <t>Release Size (Small/Medium/Large) is required before transitioning to Planning. Start Date is also required before transitioning to Testing.</t>
  </si>
  <si>
    <t>Risks with Severity = High MUST have a Mitigation Plan before release can transition to Ready (now WARN + override, per FI-11). An earlier, non-blocking WARNING is also shown at Pending CAB if a High-severity risk still lacks a mitigation plan, giving the RM advance notice before the Ready gate. A completed Mitigation may be reversed by the Risk Owner or RM with a mandatory reason if circumstances change (e.g. the control is later found ineffective) — this is a WARN, not a hard lock, since no audit or physical fact prevents reconsideration.</t>
  </si>
  <si>
    <t>CLONE-xx</t>
  </si>
  <si>
    <t>DRIFT-xx</t>
  </si>
  <si>
    <t>Baseline Management</t>
  </si>
  <si>
    <t>Baseline establishment, update, lock, and revert behaviour for Drift</t>
  </si>
  <si>
    <t>Resolved — VR-03 updated: a past CAB Date now triggers a WARNING (not a block), matching VR-04's back-dated Start Date precedent; RM must enter a reason to proceed.</t>
  </si>
  <si>
    <t>Resolved — AV-07 softened to match CASC-07: an overlapping booking is now ALLOWED and a Conflict record is auto-created for review, rather than blocked. The two rules no longer conflict.</t>
  </si>
  <si>
    <t>Resolved — AV-04 clarified: Met is always system-assigned, whether the predecessor was already Deployed/Closed at creation (this case) or becomes so later. Never user-settable.</t>
  </si>
  <si>
    <t>Resolved — same clarification as DEP-TC-014 (AV-04): Met is always system-assigned.</t>
  </si>
  <si>
    <t>Resolved — AV-04 clarified: user-set Met is correctly blocked (this test stands); system-set Met (on creation or predecessor deploy) is the only path.</t>
  </si>
  <si>
    <t>Resolved — added DRIFT-01 (Baseline Establishment &amp; Management), formalising establish/update/lock/revert/mask-secrets behaviour.</t>
  </si>
  <si>
    <t>Resolved — added VR-38 (Incident Post-Implementation Review): Critical incidents with an outage over a configurable threshold require PIR before Closed, with a configurable completion window; now WARN+override, not invented-and-unbacked.</t>
  </si>
  <si>
    <t>Resolved — VR-13 amended: immediate escalation to a default owner remains mandatory; organisations may additionally configure timed escalation tiers (e.g. Line Manager/Director) on top of that.</t>
  </si>
  <si>
    <t>Resolved — by design: Resolved → Reopened has no fixed time limit by default; a reopen window can optionally be configured per org rather than being a fixed 30-day rule.</t>
  </si>
  <si>
    <t>Resolved — VR-11 amended: the Required/Optional approver distinction is now an explicit, optional org configuration; only Required-approver leave triggers the warning.</t>
  </si>
  <si>
    <t>Resolved — VR-12 amended: flat WARN remains the default; severity scaling by leave duration is an optional per-org configuration (CFG-03), not a hard requirement.</t>
  </si>
  <si>
    <t>Resolved — same as LV-TC-060 (VR-12): severity scaling by leave type is optional per-org configuration, not required.</t>
  </si>
  <si>
    <t>Resolved — added §3-23 (Leave Record Immutability): leave is External/read-only in RD by design (OWN-01/OWN-03); manual create/modify/delete is correctly blocked.</t>
  </si>
  <si>
    <t>Resolved — added §1-17 (Maintenance Window Duration): 30-minute minimum, configurable, with its own rule rather than borrowing §1-08.</t>
  </si>
  <si>
    <t>Resolved — added ROLE-12 (Maintenance Window Management): Admin/MW-Manager only; other roles view-only.</t>
  </si>
  <si>
    <t>Resolved — AV-09 amended: the 24-hour window is now explicitly configurable, and Emergency-flagged maintenance sends an immediate alert instead.</t>
  </si>
  <si>
    <t>Resolved — AV-02 amended: 3-day High-risk escalation is now configurable, and Critical risks additionally escalate to VP immediately (also configurable).</t>
  </si>
  <si>
    <t>Resolved — added NOTIF-17 (Configurable SLA Thresholds): Sign-off SLA (~7 days default) and warning lead-time are now explicit, configurable rules.</t>
  </si>
  <si>
    <t>Resolved — decision: VR-31 stays as-is (Ops Sign-off required before Ready, now WARN+override per FI-11); the 'must wait until Approved' precondition is dropped as unbacked — Ops can be approved any time before Ready.</t>
  </si>
  <si>
    <t>Resolved — same fix as INC-TC-123: VR-13 now explicitly allows configurable escalation tiers on top of the mandatory immediate default-owner escalation.</t>
  </si>
  <si>
    <t>Resolved — added §1-18 (Configurable Field Length Constraints): Blocker Description max length 10,000 chars, configurable.</t>
  </si>
  <si>
    <t>Resolved — AV-22 amended: expiry reminder cadence is now an explicit, configurable schedule (default T-7/T-3/T-1 days), reconciling the inconsistency with TC-092.</t>
  </si>
  <si>
    <t>Resolved — added §1-18: Dependency Waiver Reason max length 2,000 chars, configurable.</t>
  </si>
  <si>
    <t>Resolved — added NOTIF-17: Incident SLA (Critical = 4 hrs default) and breach-warning threshold are now explicit, configurable rules.</t>
  </si>
  <si>
    <t>Resolved — added §1-18: Risk Mitigation Plan max length 4,000 chars (min 10 unchanged, VR-27) and Risk Description max length 10,000 chars, both configurable.</t>
  </si>
  <si>
    <t>Resolved — added §1-16 (Incident Field Constraints): Description required, minimum 10 characters (configurable), replacing the orphaned §1-12 citation.</t>
  </si>
  <si>
    <t>Resolved — added §2-13 (Incident Reported Date/By): auto-set at creation, read-only, matching the §2-04/05 pattern.</t>
  </si>
  <si>
    <t>Resolved — same as INC-TC-012 (§2-13): Reported By is auto-set and read-only.</t>
  </si>
  <si>
    <t>Resolved — §1-16 now covers required incident fields; the separate INC-TC-002 ID gap is a pre-existing, unrelated numbering note (test IDs aren't resequenced).</t>
  </si>
  <si>
    <t>Resolved — §1-16 (Incident Field Constraints): Severity is a required field.</t>
  </si>
  <si>
    <t>Resolved — §1-16: Description is a required field.</t>
  </si>
  <si>
    <t>Resolved — §1-16: Description minimum length is 10 characters (configurable).</t>
  </si>
  <si>
    <t>Resolved — added VR-39 (Deployment-Time Lock Extension): existing Blockers become read-only from Ready onward, a deliberate deployment-integrity lock, not overridable — matching the VR-35/36 precedent.</t>
  </si>
  <si>
    <t>Resolved — VR-27 amended: a completed Mitigation CAN be reversed by the Risk Owner/RM with a mandatory reason — flexible (WARN), not a hard lock, since no audit fact prevents reconsideration.</t>
  </si>
  <si>
    <t>Resolved — VR-39 also covers Conflict records: read-only from Ready onward, deployment-integrity lock, not overridable.</t>
  </si>
  <si>
    <t>Resolved — decision: a confirmed booking stays reschedulable with a warning (AV-07/CASC-08 already handle overlap detection and conflict auto-resolution on date change) — flexible by default, not a hard immutability rule.</t>
  </si>
  <si>
    <t>Resolved — VR-39 also covers Work Item links: frozen (no new links, no unlinking) from Ready onward, deployment-integrity lock, not overridable.</t>
  </si>
  <si>
    <t>Resolved — decision: no new hard-blocking rule; post-deployment validation is covered by VR-33 (open incidents block closure) and VR-34 (PIR before closure), both already WARN+override — no separate mandatory checklist rule needed.</t>
  </si>
  <si>
    <t>Resolved — §1-04 amended: Start Date is now explicitly required before transitioning to Testing, alongside the existing Size-before-Planning requirement.</t>
  </si>
  <si>
    <t>Resolved — VR-27 amended: an earlier, non-blocking warning is now shown at Pending CAB if a High risk lacks mitigation, ahead of the existing (now WARN+override) Ready-stage requirement.</t>
  </si>
  <si>
    <t>Resolved — added SYNC-13 (Polling Fallback): 5-minute polling when webhooks are unavailable, configurable interval.</t>
  </si>
  <si>
    <t>Resolved — added ROLE-14 (Sync Administration): only Sync Administrators may manually trigger an out-of-cycle sync.</t>
  </si>
  <si>
    <t>Resolved — added SYNC-14 (Sync Suspended for Archived Releases): archived releases are excluded from ongoing sync polling.</t>
  </si>
  <si>
    <t>Resolved — added ROLE-13 (Release Manager App-Scope Edit Authority): RM can edit releases within their assigned Application scope; outside it requires Admin.</t>
  </si>
  <si>
    <t>Resolved — duplicate of REL-TC-230; same fix, ROLE-14 (Sync Administration).</t>
  </si>
  <si>
    <t>Resolved — decision: rollback attempt/version counter is a minor UI/reporting detail, not a rule — tracked as a computed display field alongside §2-03 (Duration Days); no new rule required.</t>
  </si>
  <si>
    <t>Resolved — added SEC-13 (File Upload Validation): file type/size validated on upload, hard block if disallowed.</t>
  </si>
  <si>
    <t>Resolved — added SEC-14 (Per-Request Authorization): every request checks current permissions, not cached from login.</t>
  </si>
  <si>
    <t>Resolved — added SEC-15 (Multi-Factor Authentication): enforced for all logins, configurable minimum for Admin/CCB.</t>
  </si>
  <si>
    <t>Resolved — added SEC-16 (API Token Expiry &amp; Rotation): 90-day expiry, configurable, rejected on use if expired.</t>
  </si>
  <si>
    <t>Resolved — added SEC-17 (Privilege Escalation Prevention): a user cannot self-grant or grant others a higher role/permission than their own.</t>
  </si>
  <si>
    <t>Resolved — added §2-14 (Release ID): auto-generated at creation, read-only, matching the §2 computed-field pattern.</t>
  </si>
  <si>
    <t>Rules DONE (Section 16: CFG-06/07 + §4-01..13,16 flipped to WARN+override; Section 17: 20 supporting rules). Tests (Phase D, ~111 cases) still pending.</t>
  </si>
  <si>
    <t>Rules DONE (CLONE-01 added: fresh Approvals/Sign-offs required on clone, old ones copied as reference only). Tests pending.</t>
  </si>
  <si>
    <t>Rules DONE (CAB Approved rename complete). Test-suite ripple (42 cells) still pending.</t>
  </si>
  <si>
    <t>FI-16</t>
  </si>
  <si>
    <t>Rule Gap Register full resolution (all 52 open items closed)</t>
  </si>
  <si>
    <t>Went through every open item in the Rule Gap Register and resolved it, guided by the Release Desk Theme (read-not-write, one source of truth, configurable per org) and the rigid/flexible principle (lock only true invariants; make everything else configurable with sensible defaults, warn-and-override where it's a judgment call).</t>
  </si>
  <si>
    <t>All 13 test suites; Release Fields; Rules Specification Sections 16 &amp; 17</t>
  </si>
  <si>
    <t>20 new rules added (Section 17): §1-16/17/18, §2-13/14, §3-23, ROLE-12/13/14, NOTIF-17, DRIFT-01, VR-38/39, SYNC-13/14, SEC-13..17. Plus 10 existing rules amended for configurability/clarity (VR-03, VR-11, VR-12, VR-27, AV-02, AV-04, AV-07, AV-09, AV-22, §1-04).</t>
  </si>
  <si>
    <t>Register: all 52 items now Closed with resolution notes. Tests: none of the 20 new rules have test coverage yet — that's new work, not part of the original Phase D backlog.</t>
  </si>
  <si>
    <t>Rules DONE. Test coverage for the 20 new rules is a new, not-yet-started item.</t>
  </si>
  <si>
    <t>Block if target is not Deployed, Rolled Back, or Blocked. No override — see CFG-06.</t>
  </si>
  <si>
    <t>Block if target is not Closed or Rolled Back. No override — see CFG-06.</t>
  </si>
  <si>
    <t>Non-Negotiable Deployment-Stage Transitions</t>
  </si>
  <si>
    <t>A release's active-deployment mechanics have a genuinely exhaustive set of real-world outcomes, unlike its earlier planning/governance stages where an organisation's process can reasonably justify skipping or reordering steps. Three specific transitions stay hard, non-overridable invariants for that reason: (1) a release cannot transition directly to Deploying or Deployed from any status earlier than Ready — it must reach Ready first, because Ready's own gate (VR-16 — rollback plan, deployment checklist, no open impediments) is the last safety check before code goes live, and skipping it entirely would mean deploying with none of those checks ever made; (2) from Deploying, the release can only become Deployed, Rolled Back, or Blocked — an active deployment is either succeeding, failing, or stuck, and there is no fourth real outcome (§4-08); (3) from Deployed, the release can only become Closed or Rolled Back — once code is live and stable, there is nowhere else for it to go (§4-09). Every OTHER gate on the way to Ready (sign-offs, CAB approval, dependency completion, blocker resolution, risk mitigation) remains warn-and-override per CFG-07 — a release CAN reach Ready quickly by consciously overriding several individual warnings — but none of these three specific moves can ever be bypassed.</t>
  </si>
  <si>
    <t>Block. No override exists for any of these three specific moves (see §4-08, §4-09 for the exact enforcement).</t>
  </si>
  <si>
    <t>On release cancellation: unlink ALL children; cancel only Approvals, Dependencies. External Entities — unlinked, never cancelled/updated.</t>
  </si>
  <si>
    <t>Native (RD) for an incident logged directly with no external ticketing system; External (ServiceNow/Jira) when incidents are managed there — linked and auto-synced, read-only in RD</t>
  </si>
  <si>
    <t>Reference, Severity, Status, Owner, Origin (Native/External)</t>
  </si>
  <si>
    <t>Native (RD) for a sign-off tracked directly in Release Desk (the default); External when an organisation's formal sign-off process runs in another system (e.g. an e-signature/compliance tool) — linked and auto-synced, read-only in RD</t>
  </si>
  <si>
    <t>Type, Status, Signatory, Release Link, Origin (Native/External)</t>
  </si>
  <si>
    <t>Native (RD) for a dependency between two releases tracked directly in Release Desk (the default); External when the dependency is on something tracked in another system (e.g. a third-party vendor delivery tracked in an external ticketing tool) — linked and auto-synced, read-only in RD</t>
  </si>
  <si>
    <t>Type, Dependent Release, Status, Origin (Native/External)</t>
  </si>
  <si>
    <t>Native (RD) for a conflict auto-detected by Release Desk itself (the default); External when conflict information is sourced from another scheduling/CMDB system — linked and auto-synced, read-only in RD</t>
  </si>
  <si>
    <t>Type, Conflicting Release, Status, Origin (Native/External)</t>
  </si>
  <si>
    <t>Native (RD) if Release Desk performs its own config scan; External (Terraform, Spacelift, AWS Config, etc.) when a dedicated IaC/CSPM tool is the source (recommended) — linked and auto-synced, read-only in RD</t>
  </si>
  <si>
    <t>Baseline, Current, Delta, Status, Origin (Native/External)</t>
  </si>
  <si>
    <t>Impediments &amp; Enablers Must Reach Terminal State by Pending CAB</t>
  </si>
  <si>
    <t>Before a release can enter Pending CAB, and for as long as it remains in Pending CAB or any later status, every linked Blocker, Risk, Conflict, and Work Item must already be in a terminal state for its own entity type — Blocker: Resolved/Closed/Cancelled; Risk: Accepted/Closed; Conflict: Resolved/Dismissed; Work Item: Done/Closed. This is not a separate release-status-triggered lock: it is the natural, combined effect of the entry gates already in place (VR-15, VR-27, VR-32, VR-28/29) plus the fact that a terminal-state entity is already read-only under its own lifecycle rules (e.g. §3-09 for Blockers). No additional rule is needed to freeze it a second time based on the release's status. If a linked item is somehow still open at this stage (for example, because an entry gate was consciously overridden per FI-11), the Release Manager must unlink it (per LNK-02) to proceed — it is never silently frozen in an open, contradictory state. If the user needs to add a NEW impediment or enabler after the release has reached Pending CAB, the release status must first move back to Planning, Testing, or UAT (per CFG-07).</t>
  </si>
  <si>
    <t>Release is at, or attempting to enter, Pending CAB or any later status</t>
  </si>
  <si>
    <t>Verify all linked Blockers/Risks/Conflicts/Work Items are terminal; if not, the RM must unlink the open item (LNK-02) or revert the release status to add new ones (CFG-07)</t>
  </si>
  <si>
    <t>Risk records become read-only once the Risk ITSELF reaches a terminal status (Accepted or Closed) — not because of the release's own status. VR-27 already requires a High-severity risk to be mitigated (or its mitigation reversed with a reason) before the release can be Ready, so by that point every linked risk is naturally terminal and therefore already read-only under its own lifecycle. See VR-39 for how this same pattern applies across all impediment/enabler types (Blockers, Risks, Conflicts, Work Items).</t>
  </si>
  <si>
    <t>CLONE-02</t>
  </si>
  <si>
    <t>Entity Cloning for Terminal Records</t>
  </si>
  <si>
    <t>Any entity that has reached a terminal, read-only status — a Closed Blocker, an Accepted/Closed Risk, a Resolved Conflict, a Done Work Item, and so on — can be cloned into a new record if the user needs to act on it again, carrying over its Attachments, Links, and Comments/conversation history. The original terminal record is never edited or un-terminal-ized; cloning preserves its history exactly as CLONE-01 does for Releases.</t>
  </si>
  <si>
    <t>User clones a terminal entity</t>
  </si>
  <si>
    <t>Create a new entity record; copy Attachments, Links, and Comments/conversation history from the source; the original stays immutable</t>
  </si>
  <si>
    <t>VR-39, LNK-02</t>
  </si>
  <si>
    <t>No separate lock is needed: by Pending CAB every Blocker must already be Resolved/Closed/Cancelled (terminal, and therefore already read-only per §3-09) — see VR-39. If one is somehow still open, the RM unlinks it (LNK-02) rather than the record being silently frozen open.</t>
  </si>
  <si>
    <t>§3-22, VR-39</t>
  </si>
  <si>
    <t>Risks become read-only once the RISK ITSELF reaches a terminal status (Accepted/Closed) — not a release-status-triggered lock. VR-27 already requires mitigation (or a reasoned reversal) before Ready. See VR-39 for the blanket principle across all impediment/enabler types.</t>
  </si>
  <si>
    <t>A completed Mitigation can be reversed by the Risk Owner/RM with a mandatory reason — flexible (WARN), not a hard lock, since no audit fact prevents reconsideration.</t>
  </si>
  <si>
    <t>No separate lock is needed: by Pending CAB every Conflict must already be Resolved/Dismissed (terminal, already read-only) — see VR-39. If one is somehow still open, the RM unlinks it (LNK-02).</t>
  </si>
  <si>
    <t>AV-07, CASC-08</t>
  </si>
  <si>
    <t>A confirmed booking stays reschedulable with a warning; AV-07/CASC-08 already handle overlap detection and conflict auto-resolution when the date changes — not a hard immutability rule.</t>
  </si>
  <si>
    <t>No separate lock is needed: by Pending CAB every Work Item must already be Done/Closed (terminal) — see VR-39. If one is somehow still open, the RM unlinks it (LNK-02); new Work Items require reverting the release to Planning/Testing/UAT first.</t>
  </si>
  <si>
    <t>Start Date is required before transitioning to Testing (§1-04).</t>
  </si>
  <si>
    <t>Cloning a release (FI-13) or any terminal entity (CLONE-02) into a new record, with fresh Approvals/Sign-offs required for releases</t>
  </si>
  <si>
    <t>RELATED ENTITY READ-ONLY &amp; LOCK RULES - ALL LINKED ENTITY TYPES (BLOCKERS, APPROVALS, SIGN-OFFS, RISKS, DEPENDENCIES, CONFLICTS, ENVIRONMENT BOOKING, WORK ITEMS, CHECKLIST ITEMS)</t>
  </si>
  <si>
    <t>One-Way Inbound Sync</t>
  </si>
  <si>
    <t>Changes made in external systems (Jira, ServiceNow) sync INTO Release Desk automatically, keeping linked records (Blockers, Incidents, Risks, etc.) up to date. This is one-way, inbound-only — Release Desk never sends a change back out to the external system, per OWN-03 and the Release Desk Theme's 'we read, we do not write' rule.</t>
  </si>
  <si>
    <t>External system field changes on a linked record</t>
  </si>
  <si>
    <t>Pull the change into Release Desk; never push a change out</t>
  </si>
  <si>
    <t>Changes originating from an external system are recognised as inbound updates and simply applied — there is no 'echo' risk, because Release Desk never sends anything back to the external system in the first place (see SYNC-01).</t>
  </si>
  <si>
    <t>Apply the inbound change; no outbound echo is possible by design</t>
  </si>
  <si>
    <t>If a linked record's field is updated in the external system while Release Desk is displaying an older value, the external system's value always wins, since Release Desk never edits synced external fields itself (see OWN-03). There is no true two-way conflict to resolve — only a timing question of when the latest inbound value is applied.</t>
  </si>
  <si>
    <t>External system update received for a field Release Desk is displaying</t>
  </si>
  <si>
    <t>Apply the latest inbound value; no local edit ever competes with it</t>
  </si>
  <si>
    <t>When an external system (Jira, ServiceNow) sends a webhook event — for example, a linked ticket's status changes — Release Desk receives it and updates the corresponding record in real time. This is inbound only; Release Desk never creates or pushes a record into the external system. If something needs to be tracked that doesn't have a ticket yet, a user creates it directly in Jira/ServiceNow and then links it in Release Desk (see LNK-01).</t>
  </si>
  <si>
    <t>External system sends a webhook event for a linked record</t>
  </si>
  <si>
    <t>Receive and apply the webhook update in real time; never create or push records externally</t>
  </si>
  <si>
    <t>Flexible (warn + override)</t>
  </si>
  <si>
    <t>Required — only Deployed/Rolled Back/Blocked, no override (CFG-06)</t>
  </si>
  <si>
    <t>Required — only Closed/Rolled Back, no override (CFG-06)</t>
  </si>
  <si>
    <t>Required — terminal, immutable</t>
  </si>
  <si>
    <t>Required — terminal, immutable (decision rendered)</t>
  </si>
  <si>
    <t>Flexible (warn + override) — no longer terminal</t>
  </si>
  <si>
    <t>FI-17</t>
  </si>
  <si>
    <t>Gap Review (ChatGPT) checked and resolved — see GR2 tab</t>
  </si>
  <si>
    <t>A ChatGPT-authored 'Gap Review' tab raised 10 findings. Checked every one against the real sheets before trusting any of it. 3 were real theme violations/gaps, 1 was factually wrong (would have re-broken the CAB Approved fix), 5 were already-known test-case work, 1 was a good documentation suggestion. Found 2 more real issues of the same kind while checking. Full reasoning is in the GR2 tab.</t>
  </si>
  <si>
    <t>Rules Specification (SYNC-01/02/03/10), Reference Data, Status Lifecycles</t>
  </si>
  <si>
    <t>SYNC-01/02/03/10 rewritten to one-way inbound-only sync (they previously described Release Desk writing into Jira/ServiceNow, breaking the Golden Rule). Reference Data 'Approved' → 'CAB Approved' (a miss from FI-15). New 'Enforcement' column added to Status Lifecycles (Required vs Flexible vs Automated) across all 11 lifecycles.</t>
  </si>
  <si>
    <t>No test impact — these were spec-only corrections and a new documentation column, not new testable behaviour beyond what FI-11/FI-12 already require.</t>
  </si>
  <si>
    <t>Done (rules fixed + documentation added)</t>
  </si>
  <si>
    <t>* RESOLVED: all nine transactional entities (Blockers, Incidents, Approvals, Sign-Offs, Risks, Dependencies, Conflicts, Alerts, Drift Records) now support both Native and External origin — the user confirmed this generalisation directly. Only Leave stays External-only (HR-sourced), correctly.</t>
  </si>
  <si>
    <t>#</t>
  </si>
  <si>
    <t>Critical Incident Alert (RM Decides)</t>
  </si>
  <si>
    <t>If a Critical-severity incident is linked to a release, Release Desk shows the Release Manager a conscious alert: 'Critical incident [Reference] is linked to this release.' The RM must acknowledge by typing the release name and their own name, then choose to either leave it linked (the release stays blocked while it remains linked) or unlink it to let the release proceed. Either choice is recorded in the audit trail. The system no longer decides this automatically — only the RM has the full context to judge whether this incident should stop this specific release.</t>
  </si>
  <si>
    <t>A Critical-severity incident is linked to a release (and the release is not already Deploying/Deployed)</t>
  </si>
  <si>
    <t>Show conscious alert (release name + RM name required); RM chooses leave-linked (blocks) or unlink (proceeds); log the choice</t>
  </si>
  <si>
    <t>Conscious alert (release name + your name)</t>
  </si>
  <si>
    <t>A Critical incident linked to a release no longer automatically blocks it — see AV-06. The Release Manager sees a conscious alert and decides whether to leave it linked (blocks) or unlink it (proceeds). This entry stays here only to note the cross-entity relationship between Incidents and Releases; the actual behaviour is fully defined in AV-06 so the two rules can't drift out of sync with each other.</t>
  </si>
  <si>
    <t>Incident created/updated with Critical severity</t>
  </si>
  <si>
    <t>See AV-06 for the full behaviour (conscious alert + RM decision)</t>
  </si>
  <si>
    <t>LNK-04</t>
  </si>
  <si>
    <t>Unlink Watchlist &amp; Conscious CAB Acknowledgment</t>
  </si>
  <si>
    <t>When an entity is unlinked from a release (per LNK-02/LNK-03), it moves onto that release's Watchlist rather than simply disappearing, so the Release Manager doesn't lose track of it. It drops off the Watchlist automatically once the entity itself reaches its own terminal/closed status. Before the release can transition to Pending CAB, the Release Manager must consciously acknowledge the Watchlist: they type the release name and their own name to confirm they have reviewed everything on it. This acknowledgment is recorded in the audit trail.</t>
  </si>
  <si>
    <t>Release attempts to transition to Pending CAB with one or more items on its Watchlist</t>
  </si>
  <si>
    <t>Require conscious acknowledgment (release name + RM name) before allowing the transition; log it</t>
  </si>
  <si>
    <t>Dependency Rollback Alert &amp; Manual Resolution</t>
  </si>
  <si>
    <t>If a dependency's predecessor release is Rolled Back after having satisfied the dependency (Met, via AV-04/CASC-04), the dependency is automatically flagged At Risk — not silently left showing Met, since that would be factually wrong — and the Release Manager is shown a conscious alert: '[Predecessor Release] has been rolled back. This dependency is no longer met.' The RM must acknowledge by typing the release name and their own name, then Clone the existing dependency or Create a new one (pointing at a replacement predecessor) to resolve it. The dependency stays At Risk until the RM takes one of these actions — it is never silently reverted or resolved without the RM's conscious involvement. Because a real person now takes the resolving action, the audit trail attributes it to that RM, not to 'System'.</t>
  </si>
  <si>
    <t>A predecessor release transitions from Deployed to Rolled Back while a dependency on it is Met</t>
  </si>
  <si>
    <t>Auto-flag dependency At Risk; show conscious alert (release name + RM name); RM clones or creates a new dependency to resolve</t>
  </si>
  <si>
    <t>Required — terminal (auto-flagged At Risk + conscious RM alert if predecessor is rolled back, per AV-26; RM resolves via clone/new dependency, no silent auto-revert)</t>
  </si>
  <si>
    <t>SUPERSEDED by FI-18 below: no longer a silent automatic revert. AV-26 now flags the dependency At Risk and requires the RM to consciously acknowledge (type release name + their own name) before cloning or creating a new dependency to resolve it.</t>
  </si>
  <si>
    <t>See FI-18 — AV-26 rewritten</t>
  </si>
  <si>
    <t>Superseded by FI-18 (design changed per Deepseek review)</t>
  </si>
  <si>
    <t>FI-18</t>
  </si>
  <si>
    <t>Deepseek review acted on — conscious alerts (release name + your name)</t>
  </si>
  <si>
    <t>A 'Deepseek review' tab proposed 5 ideas. Checked each one (see the now-deleted 'response to deepseek' tab for the full reasoning). Acted on 3 of them, all using a new 'conscious alert' pattern: the person must type the release name and their own name before proceeding, not just click a button. One idea (external data shown as-is) already matched our design. One idea (auto-revert dependencies) directly contradicted an earlier explicit decision, so it replaced that decision only because the user re-confirmed it after seeing the conflict.</t>
  </si>
  <si>
    <t>Dependencies (AV-26), Incidents (AV-06, CASC-03), Link/Unlink (new LNK-04), Status Lifecycles (Dependency Met enforcement note)</t>
  </si>
  <si>
    <t>LNK-04 added (unlink watchlist + conscious CAB acknowledgment). AV-06 + CASC-03 rewritten (Critical incident no longer auto-blocks; RM alerted and decides, with conscious alert). AV-26 rewritten (dependency rollback now alerts + flags At Risk, RM resolves manually via clone/new dependency, conscious alert required) — this replaces FI-14's original automatic-revert design.</t>
  </si>
  <si>
    <t>New test coverage needed for all three (watchlist behaviour, incident alert choice, dependency rollback alert) — not yet written.</t>
  </si>
  <si>
    <t>Rules DONE. Tests not yet started.</t>
  </si>
  <si>
    <t>CHANGE LOG — HOW WE ENDED UP AT EACH RULE</t>
  </si>
  <si>
    <t>A running history of every major decision made in this workbook, in the order they happened, so anyone can see why a rule is the way it is without having to ask. Add a new row here every time a rule-level decision is made — don't delete old rows. For the detailed backlog of what's built vs still pending, see 'RD Functional improvements'.</t>
  </si>
  <si>
    <t>What changed</t>
  </si>
  <si>
    <t>Why (in plain words)</t>
  </si>
  <si>
    <t>Decided by</t>
  </si>
  <si>
    <t>Where to look for detail</t>
  </si>
  <si>
    <t>Reviewed all 13 test suites and added colour-coded 'Review Findings' columns.</t>
  </si>
  <si>
    <t>Needed a systematic check for accuracy — invalid statuses, wrong or fabricated rule IDs, and outright contradictions between tests — before any of it could be trusted.</t>
  </si>
  <si>
    <t>My analysis, at the user's request</t>
  </si>
  <si>
    <t>Each test suite tab, column K</t>
  </si>
  <si>
    <t>Deleted §1-12 (Incident Reference Format) and its two tests.</t>
  </si>
  <si>
    <t>Reference numbers are created and managed by external systems, not typed in by hand — so a rule validating their format by hand didn't make sense.</t>
  </si>
  <si>
    <t>User decision</t>
  </si>
  <si>
    <t>Rules Specification; Incident Test Suite</t>
  </si>
  <si>
    <t>Split CASC-12 into CASC-12 (Circular Dependency Block) and CASC-13 (Cancellation Cascade). Fixed VR-32, §4-17, and several rule descriptions that had been copy-pasted from the wrong neighbouring rule.</t>
  </si>
  <si>
    <t>One rule ID was doing two unrelated jobs at once, and a handful of rules had the right name but the wrong explanation underneath.</t>
  </si>
  <si>
    <t>My analysis, user approved</t>
  </si>
  <si>
    <t>Rules Specification</t>
  </si>
  <si>
    <t>Introduced the Native vs External Origin model, the Provisional Status Override + Reconciliation, Verified vs Projected Readiness, Link/Unlink rules, and rewrote the cancellation cascade so external entities are unlinked (not cancelled).</t>
  </si>
  <si>
    <t>This is the foundation of the Release Desk Theme: read external systems, never write to them, and give the RM a way to reflect reality ahead of a slow-to-update source.</t>
  </si>
  <si>
    <t>User decision (Release Desk Theme)</t>
  </si>
  <si>
    <t>FI-01, FI-04, FI-05, FI-06, FI-08, FI-09 in 'RD Functional improvements'</t>
  </si>
  <si>
    <t>Changed 14 governance gates from hard BLOCK to WARN + audited override. Added a Blocking/Advisory Impact flag to Blockers.</t>
  </si>
  <si>
    <t>Too many hard blocks were getting in the Release Manager's way for things that are really business judgement calls, not physical impossibilities.</t>
  </si>
  <si>
    <t>FI-11 in 'RD Functional improvements'</t>
  </si>
  <si>
    <t>Resolved all 52 open items in the Rule Gap Register: added 20 new rules, amended 10 existing ones.</t>
  </si>
  <si>
    <t>A full backlog clear-out, using the Release Desk Theme and the rigid/flexible principle as the decision rule for each item.</t>
  </si>
  <si>
    <t>My analysis, guided by the user's stated principles</t>
  </si>
  <si>
    <t>FI-16 in 'RD Functional improvements'</t>
  </si>
  <si>
    <t>Renamed the release status 'Approved' to 'CAB Approved' everywhere.</t>
  </si>
  <si>
    <t>Approved' meant three different things at once — the release status, an Approval's decision, and a Sign-off's decision — and it was causing real confusion.</t>
  </si>
  <si>
    <t>FI-15 in 'RD Functional improvements'</t>
  </si>
  <si>
    <t>Flipped §4 transition rules (01-13, 16) from BLOCK to WARN + override. Added CFG-06/CFG-07.</t>
  </si>
  <si>
    <t>Most status changes are business decisions that differ by organisation. Only a release actually running in production, or one that's Closed/Cancelled, is a genuine invariant.</t>
  </si>
  <si>
    <t>FI-12 in 'RD Functional improvements'</t>
  </si>
  <si>
    <t>Reverted §4-08 and §4-09 back to hard BLOCK. Expanded CFG-06.</t>
  </si>
  <si>
    <t>The user caught that 'Deploying can only become Deployed/Rolled Back/Blocked' has no real alternative anywhere — it should never have been made flexible.</t>
  </si>
  <si>
    <t>User caught this</t>
  </si>
  <si>
    <t>Rules Specification, CFG-06</t>
  </si>
  <si>
    <t>Made Incidents, Sign-Offs, Dependencies, Conflicts, and Drift Records all dual-origin (Native or External), matching Blockers/Risks/Approvals/Alerts.</t>
  </si>
  <si>
    <t>The user pointed out any of these could come from an external tool, or be created directly in Release Desk, and the rules should say so consistently — not just for some entities.</t>
  </si>
  <si>
    <t>Rewrote the 'RELATED ENTITY LOCK RULES' section in Release Fields: added the VR-39 blanket rule, reframed §3-22, added CLONE-02.</t>
  </si>
  <si>
    <t>The user identified that 'make it read-only once the release reaches a certain status' was solving a problem that didn't exist — an item is already read-only once IT reaches its own terminal state, and the entry gates already force that by the time it matters.</t>
  </si>
  <si>
    <t>Release Fields; Rules Specification VR-39, §3-22, CLONE-02</t>
  </si>
  <si>
    <t>Rewrote SYNC-01/02/03/10 to one-way inbound sync only. Fixed a missed 'Approved' in Reference Data. Added an 'Enforcement' column to Status Lifecycles.</t>
  </si>
  <si>
    <t>Checked a ChatGPT-authored gap review before trusting it. Two of its findings were real — these sync rules genuinely described Release Desk writing into Jira/ServiceNow, breaking the core promise. Also caught a rename we'd missed, and added a good documentation suggestion.</t>
  </si>
  <si>
    <t>External review (ChatGPT), verified before acting</t>
  </si>
  <si>
    <t>FI-17 in 'RD Functional improvements'</t>
  </si>
  <si>
    <t>Added LNK-04 (unlink watchlist + conscious CAB acknowledgment). Rewrote AV-06 + CASC-03 (Critical incident now alerts the RM instead of auto-blocking). Rewrote AV-26 (dependency rollback now alerts + flags At Risk; RM resolves manually).</t>
  </si>
  <si>
    <t>Checked a Deepseek-authored review. Two ideas were genuine improvements. One idea directly contradicted an earlier decision (automatic dependency revert) — flagged the conflict, and the user chose the new approach instead. All three now require a 'conscious alert': typing the release name and your own name, not just a click.</t>
  </si>
  <si>
    <t>External review (Deepseek); user confirmed all three, including reversing an earlier decision</t>
  </si>
  <si>
    <t>FI-18 in 'RD Functional improvements'</t>
  </si>
  <si>
    <t>A weekly compliance report is automatically generated, summarising all releases, their audit trail activity, and any exceptions or overrides recorded during the period, for governance and compliance review.</t>
  </si>
  <si>
    <t>Classification of all Release Desk entities by data behavior and lifecycle characteristics</t>
  </si>
  <si>
    <t>Characteristics</t>
  </si>
  <si>
    <t>Examples</t>
  </si>
  <si>
    <t>Status changes, approvals, escalations; Has defined lifecycle; Requires audit trail</t>
  </si>
  <si>
    <t>Releases, Incidents, Risks</t>
  </si>
  <si>
    <t>Maintained by admins; Used as FK in other tables; Slow-changing dimension</t>
  </si>
  <si>
    <t>Applications, Users, Departments</t>
  </si>
  <si>
    <t>Create, Update, Delete; No workflow states; Time-bound records</t>
  </si>
  <si>
    <t>Env Bookings, Leave, Maintenance</t>
  </si>
  <si>
    <t>System-generated; Immutable after creation; Append-only</t>
  </si>
  <si>
    <t>Versions, Change History</t>
  </si>
  <si>
    <t>Formulas, aggregations, KPIs; Refreshed on demand</t>
  </si>
  <si>
    <t>Dashboard, Risk Scores</t>
  </si>
  <si>
    <t>Admin-managed; Drives business rules; Version-controlled</t>
  </si>
  <si>
    <t>Risk Factors, Reference Data</t>
  </si>
  <si>
    <t>ENTITY CLASSIFICATION MATRIX</t>
  </si>
  <si>
    <t>Data Sheet</t>
  </si>
  <si>
    <t>LC_Releases</t>
  </si>
  <si>
    <t>Core workflow: Draft → Planning → Testing → UAT → Pending CAB → Approved → Deployed</t>
  </si>
  <si>
    <t>LC_Approvals</t>
  </si>
  <si>
    <t>Immutable decisions: Pending → Approved/Rejected (FINAL)</t>
  </si>
  <si>
    <t>LC_Sign-Offs</t>
  </si>
  <si>
    <t>Pre-CAB approvals: Pending → Approved/Rejected (FINAL)</t>
  </si>
  <si>
    <t>LC_Incidents</t>
  </si>
  <si>
    <t>ITIL workflow: Active → Investigating → Resolved → Closed</t>
  </si>
  <si>
    <t>LC_Alerts</t>
  </si>
  <si>
    <t>Monitoring workflow: Active → Acknowledged → Resolved</t>
  </si>
  <si>
    <t>LC_Blockers</t>
  </si>
  <si>
    <t>Impediment tracking: Open → In Progress → Resolved → Closed</t>
  </si>
  <si>
    <t>LC_Conflict</t>
  </si>
  <si>
    <t>Resource conflict: Open → In Progress → Resolved</t>
  </si>
  <si>
    <t>LC_Risk</t>
  </si>
  <si>
    <t>Risk workflow: Open → Mitigating → Accepted → Closed</t>
  </si>
  <si>
    <t>LC_Drift</t>
  </si>
  <si>
    <t>Deviation tracking: Open → In Progress → Resolved → Closed</t>
  </si>
  <si>
    <t>LC_Dependency</t>
  </si>
  <si>
    <t>Dependency tracking: Clear → At Risk → Blocked → Resolved</t>
  </si>
  <si>
    <t>Master app registry by department/environment</t>
  </si>
  <si>
    <t>User directory with roles and access levels</t>
  </si>
  <si>
    <t>Release Managers</t>
  </si>
  <si>
    <t>Authorized release managers</t>
  </si>
  <si>
    <t>Super Admins</t>
  </si>
  <si>
    <t>System administrators</t>
  </si>
  <si>
    <t>8 departments (Finance, IT, HR, etc.)</t>
  </si>
  <si>
    <t>6 environments (Dev → Prod → DR)</t>
  </si>
  <si>
    <t>Env Booking</t>
  </si>
  <si>
    <t>CRUD: Create/update/delete bookings; auto-conflict detection</t>
  </si>
  <si>
    <t>Leave Calendar</t>
  </si>
  <si>
    <t>CRUD: HR-managed staff availability</t>
  </si>
  <si>
    <t>Maintenance</t>
  </si>
  <si>
    <t>CRUD: Scheduled outage windows</t>
  </si>
  <si>
    <t>Calendar</t>
  </si>
  <si>
    <t>CRUD: CAB meetings, milestones display</t>
  </si>
  <si>
    <t>Versions</t>
  </si>
  <si>
    <t>Read-only: Auto-populated deployment history</t>
  </si>
  <si>
    <t>App Status</t>
  </si>
  <si>
    <t>Point-in-time application health snapshots</t>
  </si>
  <si>
    <t>Dashboard</t>
  </si>
  <si>
    <t>KPIs and metrics aggregated from other sheets</t>
  </si>
  <si>
    <t>Risk Scores</t>
  </si>
  <si>
    <t>Risks (Score column)</t>
  </si>
  <si>
    <t>Calculated from Risk Factors weightings</t>
  </si>
  <si>
    <t>Risk Factors</t>
  </si>
  <si>
    <t>44+ weighted factors for risk scoring</t>
  </si>
  <si>
    <t>Status codes, thresholds, lookups</t>
  </si>
  <si>
    <t>Technical Specs</t>
  </si>
  <si>
    <t>Technical Specifications</t>
  </si>
  <si>
    <t>Data dictionary, FK/PK definitions</t>
  </si>
  <si>
    <t>SUMMARY BY CLASSIFICATION</t>
  </si>
  <si>
    <t>Transactional (TXN)</t>
  </si>
  <si>
    <t>Reference/Master (REF)</t>
  </si>
  <si>
    <t>Operational (OPS)</t>
  </si>
  <si>
    <t>Audit/Log (AUD)</t>
  </si>
  <si>
    <t>Derived/Calculated (DRV)</t>
  </si>
  <si>
    <t>Configuration (CFG)</t>
  </si>
  <si>
    <t>Color</t>
  </si>
  <si>
    <t>📊 ENTITY CLASSIFICATION — Data Type Taxonomy</t>
  </si>
  <si>
    <t>Full Name</t>
  </si>
  <si>
    <t>Approvals (CAB Approvals)</t>
  </si>
  <si>
    <t>Calendars (Calendar Events)</t>
  </si>
  <si>
    <t>Auto-populated deployment version history</t>
  </si>
  <si>
    <t>Entity Classification (Merged) v1.0  |  Data taxonomy for Release Desk  |  Consolidated: 06-Aug-2026</t>
  </si>
  <si>
    <t>🎯 SIGNAL CLASSIFICATION — Two-Polarity Model</t>
  </si>
  <si>
    <t>My thoughts on collapsing every release parameter into 2 classes, and handling org-to-org differences. Suggestion only — nothing else changed.</t>
  </si>
  <si>
    <t>1 ·  THE CORE IDEA</t>
  </si>
  <si>
    <t>Every parameter that touches a release does one of two things: it HELPS the release advance, or it HOLDS it back. So model them all as one thing — a "Signal" — and give each a Polarity. That's the only hard classification you need.</t>
  </si>
  <si>
    <t>ENABLER  (+)</t>
  </si>
  <si>
    <t>Must be PRESENT / COMPLETE to proceed</t>
  </si>
  <si>
    <t>e.g. Approvals, Sign-offs, Rollback plan ready, Go-live checklist, Test pass</t>
  </si>
  <si>
    <t>IMPEDIMENT  (−)</t>
  </si>
  <si>
    <t>Must be ABSENT / CLEARED to proceed</t>
  </si>
  <si>
    <t>e.g. Blockers, Risks, Drift, Conflicts, Incidents, Alerts, Freeze, blocked Dependencies</t>
  </si>
  <si>
    <t>🔑 The unifier: both classes reduce to ONE question — "Is this gate satisfied?"  An enabler is satisfied when it is PRESENT; an impediment is satisfied when it is CLEARED. Your engine only ever asks that one boolean, whatever the parameter.</t>
  </si>
  <si>
    <t>2 ·  POLARITY MAP (your current entities)</t>
  </si>
  <si>
    <t>Polarity</t>
  </si>
  <si>
    <t>"Satisfied" means…</t>
  </si>
  <si>
    <t>Enabler (+)</t>
  </si>
  <si>
    <t>Signed off</t>
  </si>
  <si>
    <t>Go-Live Checklist</t>
  </si>
  <si>
    <t>Complete (100%)</t>
  </si>
  <si>
    <t>Impediment (−)</t>
  </si>
  <si>
    <t>Resolved / Closed</t>
  </si>
  <si>
    <t xml:space="preserve">Risks </t>
  </si>
  <si>
    <t>Closed / Accepted</t>
  </si>
  <si>
    <t>Change Freeze</t>
  </si>
  <si>
    <t>Outside freeze, or exemption granted</t>
  </si>
  <si>
    <t>Leave / Resource gap</t>
  </si>
  <si>
    <t>Backup covered</t>
  </si>
  <si>
    <t>Contextual ⇄</t>
  </si>
  <si>
    <t>Satisfied when clear; becomes an impediment when blocked — polarity follows the STATE, not the label</t>
  </si>
  <si>
    <t>💡 Note: a few parameters flip polarity by state (a dependency helps when satisfied, hurts when blocked). That's fine — it reinforces that polarity is really a property of the current gate check, not a fixed tag.</t>
  </si>
  <si>
    <t>3 ·  PROBLEM 1 — same thing, different names (Risk vs Issue)</t>
  </si>
  <si>
    <t>Fix: an ALIAS layer. Keep one canonical/internal name; let each org set its own display label. The engine references the canonical name; the UI shows the org's word. No logic changes.</t>
  </si>
  <si>
    <t>Canonical (internal)</t>
  </si>
  <si>
    <t>Example labels different orgs use</t>
  </si>
  <si>
    <t>IMP_RISK</t>
  </si>
  <si>
    <t>Risk  /  Issue  /  Concern  /  Threat</t>
  </si>
  <si>
    <t>IMP_BLOCKER</t>
  </si>
  <si>
    <t>Blocker  /  Impediment  /  Showstopper</t>
  </si>
  <si>
    <t>ENA_APPROVAL</t>
  </si>
  <si>
    <t>Approval  /  Sign-off  /  Gate  /  Authorisation</t>
  </si>
  <si>
    <t>4 ·  PROBLEM 2 — same thing, different number of statuses (2 vs 4)</t>
  </si>
  <si>
    <t>Fix: STATUS NORMALIZATION. However many custom statuses an org has, each one maps to a tiny fixed set of canonical states. App logic runs on the canonical state + a single 'satisfies gate?' flag — never on the org's raw status text.</t>
  </si>
  <si>
    <t>Minimal universal set (drives go/no-go):  OPEN  →  CLOSED.   Optional richer set for reporting:  NOT STARTED → IN PROGRESS → RESOLVED → CLOSED.</t>
  </si>
  <si>
    <t>Org status (their words)</t>
  </si>
  <si>
    <t>Maps to canonical</t>
  </si>
  <si>
    <t>Satisfies gate?</t>
  </si>
  <si>
    <t>Terminal / immutable?</t>
  </si>
  <si>
    <t>Org A — 4-status Risk</t>
  </si>
  <si>
    <t>OPEN</t>
  </si>
  <si>
    <t>IN PROGRESS</t>
  </si>
  <si>
    <t>CLOSED</t>
  </si>
  <si>
    <t>Org B — 2-status Risk</t>
  </si>
  <si>
    <t>→ Both orgs feed the SAME engine, which only sees 'satisfies gate? Yes/No'. Depth of workflow becomes a config choice, not a code change.</t>
  </si>
  <si>
    <t>5 ·  NET RECOMMENDATION</t>
  </si>
  <si>
    <t>Make the whole system org-agnostic with 3 small config layers. Only the first is fixed by you; the other two are filled per-org at onboarding.</t>
  </si>
  <si>
    <t>Layer</t>
  </si>
  <si>
    <t>What it defines</t>
  </si>
  <si>
    <t>Set by</t>
  </si>
  <si>
    <t>1. Polarity</t>
  </si>
  <si>
    <t>Enabler vs Impediment — the only hard classification. Tiny, fixed list.</t>
  </si>
  <si>
    <t>You (product)</t>
  </si>
  <si>
    <t>2. Alias map</t>
  </si>
  <si>
    <t>Canonical name → the org's own word (Risk = Issue).</t>
  </si>
  <si>
    <t>Per org</t>
  </si>
  <si>
    <t>3. Status map</t>
  </si>
  <si>
    <t>Org's custom statuses → canonical state + 'satisfies gate?' flag + terminal flag.</t>
  </si>
  <si>
    <t>Release readiness (works for any org):</t>
  </si>
  <si>
    <t>READY  =  ( every ENABLER gate satisfied )   AND   ( no OPEN IMPEDIMENT gate )</t>
  </si>
  <si>
    <t>Payoff: onboarding a new org = fill 2 small tables (alias + status map). No schema change, no new sheets per parameter, no code branching. The 10 LC_ lifecycle sheets you already have effectively become one generic, config-driven lifecycle.</t>
  </si>
  <si>
    <t xml:space="preserve">Signal Classification v1.0  |  Thought-starter, not a spec  |  </t>
  </si>
  <si>
    <t>No action required</t>
  </si>
  <si>
    <t>Status is Cancelled</t>
  </si>
  <si>
    <t>Release health not applicable (cancelled)</t>
  </si>
  <si>
    <t>⚫ N/A</t>
  </si>
  <si>
    <t>NA</t>
  </si>
  <si>
    <t>Escalate and resolve external dependency</t>
  </si>
  <si>
    <t>Has dependency on unresolved external blocker</t>
  </si>
  <si>
    <t>Release is blocked by external dependencies or constraints</t>
  </si>
  <si>
    <t>⚫ Blocked</t>
  </si>
  <si>
    <t>BLOCKED</t>
  </si>
  <si>
    <t>Await decision to resume or cancel</t>
  </si>
  <si>
    <t>Status set to On Hold</t>
  </si>
  <si>
    <t>Release is intentionally paused</t>
  </si>
  <si>
    <t>🟠 On Hold</t>
  </si>
  <si>
    <t>ON_HOLD</t>
  </si>
  <si>
    <t>Resolve blocking issues before proceeding</t>
  </si>
  <si>
    <t>Any sign-off failed (❌), active blockers, or unresolved conflicts</t>
  </si>
  <si>
    <t>Release has critical issues blocking deployment</t>
  </si>
  <si>
    <t>🔴 Critical</t>
  </si>
  <si>
    <t>NO_GO</t>
  </si>
  <si>
    <t>Monitor progress, follow up on pending items</t>
  </si>
  <si>
    <t>Some sign-offs pending (⏳ or ⬜), no failures or blockers</t>
  </si>
  <si>
    <t>Release is progressing but has items requiring attention</t>
  </si>
  <si>
    <t>🟡 Caution</t>
  </si>
  <si>
    <t>CAUTION</t>
  </si>
  <si>
    <t>Proceed with deployment</t>
  </si>
  <si>
    <t>All sign-offs complete (✅ or NA), no blockers, no conflicts</t>
  </si>
  <si>
    <t>Release is fully prepared and cleared for deployment</t>
  </si>
  <si>
    <t>🟢 Go</t>
  </si>
  <si>
    <t>GO</t>
  </si>
  <si>
    <t>Action Required</t>
  </si>
  <si>
    <t>Criteria</t>
  </si>
  <si>
    <t>Display</t>
  </si>
  <si>
    <t>Health Code</t>
  </si>
  <si>
    <t>All plan types</t>
  </si>
  <si>
    <t>Plan is not required for this release</t>
  </si>
  <si>
    <t>NOT_APPLICABLE</t>
  </si>
  <si>
    <t>Plan submitted for approval/review</t>
  </si>
  <si>
    <t>In Review</t>
  </si>
  <si>
    <t>IN_REVIEW</t>
  </si>
  <si>
    <t>Plan creation has not begun</t>
  </si>
  <si>
    <t>Not Started</t>
  </si>
  <si>
    <t>NOT_STARTED</t>
  </si>
  <si>
    <t>Plan is being developed, not yet finalized</t>
  </si>
  <si>
    <t>DRAFT</t>
  </si>
  <si>
    <t>Plan is complete, reviewed and approved</t>
  </si>
  <si>
    <t>READY</t>
  </si>
  <si>
    <t>Display Order</t>
  </si>
  <si>
    <t>Applies To</t>
  </si>
  <si>
    <t>Status Code</t>
  </si>
  <si>
    <t>All sign-off types</t>
  </si>
  <si>
    <t>Sign-off is not required for this release</t>
  </si>
  <si>
    <t>Sign-off process has not begun</t>
  </si>
  <si>
    <t>Sign-off was rejected or criteria not met</t>
  </si>
  <si>
    <t>FAILED</t>
  </si>
  <si>
    <t>Sign-off is in progress, awaiting approval</t>
  </si>
  <si>
    <t>PENDING</t>
  </si>
  <si>
    <t>Sign-off has been obtained and documented</t>
  </si>
  <si>
    <t>COMPLETE</t>
  </si>
  <si>
    <t>Variable - Depends on component criticality</t>
  </si>
  <si>
    <t>Version compatibility check, coordinated deployment windows</t>
  </si>
  <si>
    <t>Releases share infrastructure components (API gateway, message queue, etc.)</t>
  </si>
  <si>
    <t>Shared infrastructure conflict</t>
  </si>
  <si>
    <t>ENV-CONF-08</t>
  </si>
  <si>
    <t>High - Can reset test progress</t>
  </si>
  <si>
    <t>Coordinate refresh timing with all impacted releases, backup test data</t>
  </si>
  <si>
    <t>Planned DB refresh will impact active testing in the environment</t>
  </si>
  <si>
    <t>Database refresh conflict</t>
  </si>
  <si>
    <t>ENV-CONF-07</t>
  </si>
  <si>
    <t>Critical - Final gate before production</t>
  </si>
  <si>
    <t>Strict scheduling, Pre-Prod is typically single-tenant - cannot share</t>
  </si>
  <si>
    <t>Multiple releases need Pre-Production environment for dress rehearsal</t>
  </si>
  <si>
    <t>Pre-Prod env conflict</t>
  </si>
  <si>
    <t>ENV-CONF-06</t>
  </si>
  <si>
    <t>Medium - Risk of test contamination</t>
  </si>
  <si>
    <t>Define data boundaries, schedule non-overlapping UAT sessions</t>
  </si>
  <si>
    <t>UAT testing periods overlap with potential for data or configuration conflicts</t>
  </si>
  <si>
    <t>UAT environment overlap</t>
  </si>
  <si>
    <t>ENV-CONF-05</t>
  </si>
  <si>
    <t>Medium - May cause data interference</t>
  </si>
  <si>
    <t>Coordinate timing to avoid data conflicts, isolate test data sets</t>
  </si>
  <si>
    <t>Test or UAT windows overlap even if not same environment (shared resources/data)</t>
  </si>
  <si>
    <t>Overlapping Test/UAT window</t>
  </si>
  <si>
    <t>ENV-CONF-04</t>
  </si>
  <si>
    <t>Medium - Testing can often be parallelized</t>
  </si>
  <si>
    <t>Share Test env with partitioning, stagger test cycles, or use alternate env</t>
  </si>
  <si>
    <t>Multiple releases need the same Test environment only (UAT environments differ)</t>
  </si>
  <si>
    <t>Same Test env required</t>
  </si>
  <si>
    <t>ENV-CONF-03</t>
  </si>
  <si>
    <t>High - Blocks user acceptance</t>
  </si>
  <si>
    <t>Coordinate UAT windows, parallel UAT if environment supports, or prioritize</t>
  </si>
  <si>
    <t>Multiple releases need the same UAT environment only (Test environments differ)</t>
  </si>
  <si>
    <t>Same UAT env required</t>
  </si>
  <si>
    <t>ENV-CONF-02</t>
  </si>
  <si>
    <t>High - Direct resource conflict</t>
  </si>
  <si>
    <t>Negotiate schedule, stagger testing windows, or prioritize by business criticality</t>
  </si>
  <si>
    <t>Multiple releases need the same Test and UAT environment during overlapping periods</t>
  </si>
  <si>
    <t>Same Test/UAT env required</t>
  </si>
  <si>
    <t>ENV-CONF-01</t>
  </si>
  <si>
    <t>Priority Impact</t>
  </si>
  <si>
    <t>Resolution Approach</t>
  </si>
  <si>
    <t>Conflict Type</t>
  </si>
  <si>
    <t>Quarterly survey</t>
  </si>
  <si>
    <t>&lt; 3.5</t>
  </si>
  <si>
    <t>3.5-4.0</t>
  </si>
  <si>
    <t>&gt; 4.0/5</t>
  </si>
  <si>
    <t>Stakeholder Satisfaction</t>
  </si>
  <si>
    <t>Per release</t>
  </si>
  <si>
    <t>&lt; 95%</t>
  </si>
  <si>
    <t>95-100%</t>
  </si>
  <si>
    <t>Documentation Complete</t>
  </si>
  <si>
    <t>7 days post</t>
  </si>
  <si>
    <t>&gt; 5%</t>
  </si>
  <si>
    <t>2-5%</t>
  </si>
  <si>
    <t>&lt; 2%</t>
  </si>
  <si>
    <t>Incident Rate Post-Deploy</t>
  </si>
  <si>
    <t>&gt; 21 days</t>
  </si>
  <si>
    <t>14-21 days</t>
  </si>
  <si>
    <t>&lt; 14 days</t>
  </si>
  <si>
    <t>Change Lead Time</t>
  </si>
  <si>
    <t>95-98%</t>
  </si>
  <si>
    <t>&gt; 98%</t>
  </si>
  <si>
    <t>Test Pass Rate</t>
  </si>
  <si>
    <t>Weekly</t>
  </si>
  <si>
    <t>95-99%</t>
  </si>
  <si>
    <t>&gt; 99%</t>
  </si>
  <si>
    <t>&gt; 72 hours</t>
  </si>
  <si>
    <t>48-72 hours</t>
  </si>
  <si>
    <t>&lt; 48 hours</t>
  </si>
  <si>
    <t>CAB Approval Time</t>
  </si>
  <si>
    <t>Monthly</t>
  </si>
  <si>
    <t>&gt; 10%</t>
  </si>
  <si>
    <t>5-10%</t>
  </si>
  <si>
    <t>&lt; 5%</t>
  </si>
  <si>
    <t>Rollback Rate</t>
  </si>
  <si>
    <t>&gt; 6 hours</t>
  </si>
  <si>
    <t>4-6 hours</t>
  </si>
  <si>
    <t>&lt; 4 hours</t>
  </si>
  <si>
    <t>Mean Time to Deploy</t>
  </si>
  <si>
    <t>&lt; 90%</t>
  </si>
  <si>
    <t>90-95%</t>
  </si>
  <si>
    <t>&gt; 95%</t>
  </si>
  <si>
    <t>Release Success Rate</t>
  </si>
  <si>
    <t>Measurement</t>
  </si>
  <si>
    <t>Critical</t>
  </si>
  <si>
    <t>Warning</t>
  </si>
  <si>
    <t>Target</t>
  </si>
  <si>
    <t>Major upgrades</t>
  </si>
  <si>
    <t>12 hours</t>
  </si>
  <si>
    <t>00:00 - 12:00</t>
  </si>
  <si>
    <t>Saturday</t>
  </si>
  <si>
    <t>Quarterly Major</t>
  </si>
  <si>
    <t>Regional releases</t>
  </si>
  <si>
    <t>4 hours</t>
  </si>
  <si>
    <t>22:00 - 02:00</t>
  </si>
  <si>
    <t>Fri</t>
  </si>
  <si>
    <t>Off-Peak</t>
  </si>
  <si>
    <t>Low risk, no downtime</t>
  </si>
  <si>
    <t>Variable</t>
  </si>
  <si>
    <t>10:00 - 16:00</t>
  </si>
  <si>
    <t>Mon-Fri</t>
  </si>
  <si>
    <t>Infra, patching</t>
  </si>
  <si>
    <t>02:00 - 06:00</t>
  </si>
  <si>
    <t>Sunday</t>
  </si>
  <si>
    <t>P1 hotfixes only</t>
  </si>
  <si>
    <t>Minimal</t>
  </si>
  <si>
    <t>As needed</t>
  </si>
  <si>
    <t>Emergency</t>
  </si>
  <si>
    <t>Large releases, migrations</t>
  </si>
  <si>
    <t>8 hours</t>
  </si>
  <si>
    <t>00:00 - 08:00</t>
  </si>
  <si>
    <t>Extended</t>
  </si>
  <si>
    <t>Medium/Low risk releases</t>
  </si>
  <si>
    <t>Tue-Thu</t>
  </si>
  <si>
    <t>Standard</t>
  </si>
  <si>
    <t>Suitable For</t>
  </si>
  <si>
    <t>Duration</t>
  </si>
  <si>
    <t>Time (Local)</t>
  </si>
  <si>
    <t>Day</t>
  </si>
  <si>
    <t>Window</t>
  </si>
  <si>
    <t>CAB</t>
  </si>
  <si>
    <t>Final approval</t>
  </si>
  <si>
    <t>All gates passed</t>
  </si>
  <si>
    <t>Go/No-Go</t>
  </si>
  <si>
    <t>Release Manager</t>
  </si>
  <si>
    <t>Prod-mirror verified</t>
  </si>
  <si>
    <t>UAT complete</t>
  </si>
  <si>
    <t>PREPROD</t>
  </si>
  <si>
    <t>Pre-Prod Validation</t>
  </si>
  <si>
    <t>Business sign-off</t>
  </si>
  <si>
    <t>System test pass</t>
  </si>
  <si>
    <t>Security Team</t>
  </si>
  <si>
    <t>No critical vulnerabilities</t>
  </si>
  <si>
    <t>Code freeze</t>
  </si>
  <si>
    <t>TEST</t>
  </si>
  <si>
    <t>Security Test</t>
  </si>
  <si>
    <t>Performance Team</t>
  </si>
  <si>
    <t>Meet SLA benchmarks</t>
  </si>
  <si>
    <t>TEST/PERF</t>
  </si>
  <si>
    <t>Performance Test</t>
  </si>
  <si>
    <t>QA Lead</t>
  </si>
  <si>
    <t>End-to-end scenarios pass</t>
  </si>
  <si>
    <t>Integration complete</t>
  </si>
  <si>
    <t>System Test</t>
  </si>
  <si>
    <t>Tech Lead</t>
  </si>
  <si>
    <t>All APIs verified</t>
  </si>
  <si>
    <t>Unit tests pass</t>
  </si>
  <si>
    <t>Integration Test</t>
  </si>
  <si>
    <t>Developer</t>
  </si>
  <si>
    <t>&gt; 80% coverage</t>
  </si>
  <si>
    <t>Code complete</t>
  </si>
  <si>
    <t>Unit Testing</t>
  </si>
  <si>
    <t>Sign-off Required</t>
  </si>
  <si>
    <t>Exit Criteria</t>
  </si>
  <si>
    <t>Entry Criteria</t>
  </si>
  <si>
    <t>Phase</t>
  </si>
  <si>
    <t>Email, SMS, Phone</t>
  </si>
  <si>
    <t>All teams, Management</t>
  </si>
  <si>
    <t>Failure detected</t>
  </si>
  <si>
    <t>Rollback Initiated</t>
  </si>
  <si>
    <t>Email, Teams</t>
  </si>
  <si>
    <t>All stakeholders</t>
  </si>
  <si>
    <t>Release finished</t>
  </si>
  <si>
    <t>Deployment Complete</t>
  </si>
  <si>
    <t>Teams, Slack</t>
  </si>
  <si>
    <t>Operations, Support</t>
  </si>
  <si>
    <t>Release begins</t>
  </si>
  <si>
    <t>Deployment Started</t>
  </si>
  <si>
    <t>Email, SMS, Teams</t>
  </si>
  <si>
    <t>All teams</t>
  </si>
  <si>
    <t>24h before deployment</t>
  </si>
  <si>
    <t>Go-Live Alert</t>
  </si>
  <si>
    <t>Email, Calendar</t>
  </si>
  <si>
    <t>CAB meeting set</t>
  </si>
  <si>
    <t>CAB Scheduled</t>
  </si>
  <si>
    <t>Designated approver</t>
  </si>
  <si>
    <t>Review stage reached</t>
  </si>
  <si>
    <t>Approval Required</t>
  </si>
  <si>
    <t>Tech Lead, QA Lead</t>
  </si>
  <si>
    <t>New release created</t>
  </si>
  <si>
    <t>Release Submitted</t>
  </si>
  <si>
    <t>Channel</t>
  </si>
  <si>
    <t>Recipients</t>
  </si>
  <si>
    <t>Trigger</t>
  </si>
  <si>
    <t>CI/CD, Repositories, IDEs</t>
  </si>
  <si>
    <t>Low</t>
  </si>
  <si>
    <t>Tier 3</t>
  </si>
  <si>
    <t>Development Tools</t>
  </si>
  <si>
    <t>Email, Messaging, Document Mgmt</t>
  </si>
  <si>
    <t>Collaboration</t>
  </si>
  <si>
    <t>BI Tools, Data Warehouse</t>
  </si>
  <si>
    <t>Analytics/Reporting</t>
  </si>
  <si>
    <t>IAM, SIEM, GRC</t>
  </si>
  <si>
    <t>High</t>
  </si>
  <si>
    <t>Tier 2</t>
  </si>
  <si>
    <t>Security/Compliance</t>
  </si>
  <si>
    <t>HCM, Payroll, Recruiting</t>
  </si>
  <si>
    <t>HR Systems</t>
  </si>
  <si>
    <t>MES, WMS, Supply Chain</t>
  </si>
  <si>
    <t>Manufacturing/Operations</t>
  </si>
  <si>
    <t>CRM, E-commerce, Portal</t>
  </si>
  <si>
    <t>Tier 1</t>
  </si>
  <si>
    <t>Customer Facing</t>
  </si>
  <si>
    <t>Treasury, Tax, Revenue Recognition</t>
  </si>
  <si>
    <t>Mission Critical</t>
  </si>
  <si>
    <t>Financial Systems</t>
  </si>
  <si>
    <t>SAP S/4HANA, Oracle EBS</t>
  </si>
  <si>
    <t>Core ERP</t>
  </si>
  <si>
    <t>Example Applications</t>
  </si>
  <si>
    <t>Criticality</t>
  </si>
  <si>
    <t>Tier</t>
  </si>
  <si>
    <t>Complete service failure, regulatory breach</t>
  </si>
  <si>
    <t>&gt; $1M</t>
  </si>
  <si>
    <t>Catastrophic</t>
  </si>
  <si>
    <t>Major disruption, critical functions affected</t>
  </si>
  <si>
    <t>$500K-$1M</t>
  </si>
  <si>
    <t>Major</t>
  </si>
  <si>
    <t>Significant impact, degraded service</t>
  </si>
  <si>
    <t>$100K-$500K</t>
  </si>
  <si>
    <t>Moderate</t>
  </si>
  <si>
    <t>Limited impact, workarounds available</t>
  </si>
  <si>
    <t>$10K-$100K</t>
  </si>
  <si>
    <t>Minor</t>
  </si>
  <si>
    <t>Minor inconvenience, no service impact</t>
  </si>
  <si>
    <t>&lt; $10K</t>
  </si>
  <si>
    <t>Negligible</t>
  </si>
  <si>
    <t>Business Impact</t>
  </si>
  <si>
    <t>Score</t>
  </si>
  <si>
    <t>Level</t>
  </si>
  <si>
    <t>Expected to occur in most circumstances</t>
  </si>
  <si>
    <t>&gt; 75%</t>
  </si>
  <si>
    <t>Almost Certain</t>
  </si>
  <si>
    <t>Will probably occur</t>
  </si>
  <si>
    <t>50-75%</t>
  </si>
  <si>
    <t>Likely</t>
  </si>
  <si>
    <t>May occur at some time</t>
  </si>
  <si>
    <t>25-50%</t>
  </si>
  <si>
    <t>Possible</t>
  </si>
  <si>
    <t>Could occur but not expected</t>
  </si>
  <si>
    <t>5-25%</t>
  </si>
  <si>
    <t>Unlikely</t>
  </si>
  <si>
    <t>Unlikely to occur in normal circumstances</t>
  </si>
  <si>
    <t>Rare</t>
  </si>
  <si>
    <t>Probability</t>
  </si>
  <si>
    <t>Human-initiated data entry</t>
  </si>
  <si>
    <t>MANUAL</t>
  </si>
  <si>
    <t>Manual</t>
  </si>
  <si>
    <t>ESB or integration platform</t>
  </si>
  <si>
    <t>MW</t>
  </si>
  <si>
    <t>Middleware</t>
  </si>
  <si>
    <t>Event-driven architecture</t>
  </si>
  <si>
    <t>Near real-time</t>
  </si>
  <si>
    <t>EVENT</t>
  </si>
  <si>
    <t>Event Stream</t>
  </si>
  <si>
    <t>Direct database connections</t>
  </si>
  <si>
    <t>&lt; 500ms</t>
  </si>
  <si>
    <t>DBLINK</t>
  </si>
  <si>
    <t>Database Link</t>
  </si>
  <si>
    <t>Asynchronous messaging (Kafka, MQ)</t>
  </si>
  <si>
    <t>&lt; 1 sec</t>
  </si>
  <si>
    <t>MQ</t>
  </si>
  <si>
    <t>Message Queue</t>
  </si>
  <si>
    <t>Nightly or scheduled file transfers</t>
  </si>
  <si>
    <t>Scheduled</t>
  </si>
  <si>
    <t>BATCH</t>
  </si>
  <si>
    <t>Batch File</t>
  </si>
  <si>
    <t>Synchronous REST/SOAP calls</t>
  </si>
  <si>
    <t>&lt; 100ms</t>
  </si>
  <si>
    <t>RT-API</t>
  </si>
  <si>
    <t>Real-Time API</t>
  </si>
  <si>
    <t>Latency Req</t>
  </si>
  <si>
    <t>17. INTEGRATION TYPES</t>
  </si>
  <si>
    <t>1 team</t>
  </si>
  <si>
    <t>Finance, HR</t>
  </si>
  <si>
    <t>Data Migration</t>
  </si>
  <si>
    <t>2 teams</t>
  </si>
  <si>
    <t>All Departments</t>
  </si>
  <si>
    <t>Security Scan</t>
  </si>
  <si>
    <t>IT, CRM, Manufacturing</t>
  </si>
  <si>
    <t>Performance Lab</t>
  </si>
  <si>
    <t>DR-Test</t>
  </si>
  <si>
    <t>Finance, Manufacturing</t>
  </si>
  <si>
    <t>Pre-Prod-Core</t>
  </si>
  <si>
    <t>3 teams</t>
  </si>
  <si>
    <t>Test-Integration</t>
  </si>
  <si>
    <t>IT, Security</t>
  </si>
  <si>
    <t>UAT-Shared-2</t>
  </si>
  <si>
    <t>Finance, HR, Legal</t>
  </si>
  <si>
    <t>UAT-Shared-1</t>
  </si>
  <si>
    <t>Contention Level</t>
  </si>
  <si>
    <t>Max Concurrent</t>
  </si>
  <si>
    <t>Shared By</t>
  </si>
  <si>
    <t>16. SHARED ENVIRONMENTS</t>
  </si>
  <si>
    <t>Full weighted risk assessment</t>
  </si>
  <si>
    <t>Revenue Impact, User Blast Radius</t>
  </si>
  <si>
    <t>2 factors</t>
  </si>
  <si>
    <t>Business Criticality</t>
  </si>
  <si>
    <t>Past Failures, MTBR, MTBF</t>
  </si>
  <si>
    <t>6 factors</t>
  </si>
  <si>
    <t>Release History</t>
  </si>
  <si>
    <t>Load Test, Performance Regression</t>
  </si>
  <si>
    <t>Performance &amp; Scalability</t>
  </si>
  <si>
    <t>Rollback Time, Runbook, Automation Level</t>
  </si>
  <si>
    <t>Operational Readiness</t>
  </si>
  <si>
    <t>Upstream/Downstream, Feature Flags</t>
  </si>
  <si>
    <t>4 factors</t>
  </si>
  <si>
    <t>Environment &amp; Dependencies</t>
  </si>
  <si>
    <t>Team Availability, Overlapping Releases</t>
  </si>
  <si>
    <t>5 factors</t>
  </si>
  <si>
    <t>Resource &amp; Schedule</t>
  </si>
  <si>
    <t>Migration Required, Scripts Tested, Backup</t>
  </si>
  <si>
    <t>3 factors</t>
  </si>
  <si>
    <t>Vulnerabilities, Pen Test, Compliance Gate</t>
  </si>
  <si>
    <t>Security &amp; Compliance</t>
  </si>
  <si>
    <t>Test Coverage, Env Parity, Automation</t>
  </si>
  <si>
    <t>8 factors</t>
  </si>
  <si>
    <t>Testing Quality</t>
  </si>
  <si>
    <t>New Tech Stack, Code Complexity, DB Changes</t>
  </si>
  <si>
    <t>Technical Complexity</t>
  </si>
  <si>
    <t>Key Factors</t>
  </si>
  <si>
    <t># Factors</t>
  </si>
  <si>
    <t>Weight %</t>
  </si>
  <si>
    <t>Minimal changes</t>
  </si>
  <si>
    <t>Public holidays</t>
  </si>
  <si>
    <t>Advisory</t>
  </si>
  <si>
    <t>Holiday Periods</t>
  </si>
  <si>
    <t>Emergency only</t>
  </si>
  <si>
    <t>Board meetings, audits</t>
  </si>
  <si>
    <t>As defined</t>
  </si>
  <si>
    <t>Major Events</t>
  </si>
  <si>
    <t>Pre-approved only</t>
  </si>
  <si>
    <t>Sep 28 - Sep 30</t>
  </si>
  <si>
    <t>3 days</t>
  </si>
  <si>
    <t>Q3 Quarter-End</t>
  </si>
  <si>
    <t>Jun 28 - Jun 30</t>
  </si>
  <si>
    <t>Q2 Quarter-End</t>
  </si>
  <si>
    <t>Mar 29 - Mar 31</t>
  </si>
  <si>
    <t>Q1 Quarter-End</t>
  </si>
  <si>
    <t>P1 emergencies only</t>
  </si>
  <si>
    <t>Mandatory</t>
  </si>
  <si>
    <t>Exceptions</t>
  </si>
  <si>
    <t>Timing</t>
  </si>
  <si>
    <t>Unauthorized code changes</t>
  </si>
  <si>
    <t>CODE</t>
  </si>
  <si>
    <t>Security patch or certificate drift</t>
  </si>
  <si>
    <t>API or interface version mismatch</t>
  </si>
  <si>
    <t>INTG</t>
  </si>
  <si>
    <t>Database schema or data inconsistency</t>
  </si>
  <si>
    <t>DATA</t>
  </si>
  <si>
    <t>Data</t>
  </si>
  <si>
    <t>Application or system settings drift</t>
  </si>
  <si>
    <t>CONFIG</t>
  </si>
  <si>
    <t>Server, network, or hardware drift</t>
  </si>
  <si>
    <t>INFRA</t>
  </si>
  <si>
    <t>Infrastructure</t>
  </si>
  <si>
    <t>VIEW</t>
  </si>
  <si>
    <t>Viewer</t>
  </si>
  <si>
    <t>Tester</t>
  </si>
  <si>
    <t>BA</t>
  </si>
  <si>
    <t>Business Analyst</t>
  </si>
  <si>
    <t>TLEAD</t>
  </si>
  <si>
    <t>QALEAD</t>
  </si>
  <si>
    <t>DEVMGR</t>
  </si>
  <si>
    <t>Development Manager</t>
  </si>
  <si>
    <t>RELMGR</t>
  </si>
  <si>
    <t>SADM</t>
  </si>
  <si>
    <t>Super Admin</t>
  </si>
  <si>
    <t>Admin</t>
  </si>
  <si>
    <t>Approve</t>
  </si>
  <si>
    <t>Create Release</t>
  </si>
  <si>
    <t>Role</t>
  </si>
  <si>
    <t>Planned, limited availability</t>
  </si>
  <si>
    <t>TRN</t>
  </si>
  <si>
    <t>Training</t>
  </si>
  <si>
    <t>Planned, backup assigned</t>
  </si>
  <si>
    <t>CONF</t>
  </si>
  <si>
    <t>Conference</t>
  </si>
  <si>
    <t>Emergency coverage protocol</t>
  </si>
  <si>
    <t>SL</t>
  </si>
  <si>
    <t>Sick Leave</t>
  </si>
  <si>
    <t>Standard handover</t>
  </si>
  <si>
    <t>PL</t>
  </si>
  <si>
    <t>Personal Leave</t>
  </si>
  <si>
    <t>If key resource, backup needed</t>
  </si>
  <si>
    <t>Low-Medium</t>
  </si>
  <si>
    <t>AL</t>
  </si>
  <si>
    <t>Annual Leave</t>
  </si>
  <si>
    <t>Coverage Required</t>
  </si>
  <si>
    <t>Risk Impact</t>
  </si>
  <si>
    <t>Leave Type</t>
  </si>
  <si>
    <t>Previously blocked, now cleared</t>
  </si>
  <si>
    <t>#0070C0</t>
  </si>
  <si>
    <t>Active blocker, must be resolved</t>
  </si>
  <si>
    <t>#FF0000</t>
  </si>
  <si>
    <t>Potential issue, requires monitoring</t>
  </si>
  <si>
    <t>#FFC000</t>
  </si>
  <si>
    <t>Dependency resolved, no action needed</t>
  </si>
  <si>
    <t>#00B050</t>
  </si>
  <si>
    <t>Clear</t>
  </si>
  <si>
    <t>Blocking</t>
  </si>
  <si>
    <t>TECH</t>
  </si>
  <si>
    <t>Technical</t>
  </si>
  <si>
    <t>9. DEPENDENCY TYPES</t>
  </si>
  <si>
    <t>Change Manager</t>
  </si>
  <si>
    <t>CM</t>
  </si>
  <si>
    <t>CAB Chair / Members</t>
  </si>
  <si>
    <t>CAB Final</t>
  </si>
  <si>
    <t>Sequence</t>
  </si>
  <si>
    <t>SLA (Hours)</t>
  </si>
  <si>
    <t>Approver Role</t>
  </si>
  <si>
    <t>QA</t>
  </si>
  <si>
    <t>QA Sign-off</t>
  </si>
  <si>
    <t>BIZ</t>
  </si>
  <si>
    <t>Business Review</t>
  </si>
  <si>
    <t>Security Review</t>
  </si>
  <si>
    <t>Tech Lead / Architect</t>
  </si>
  <si>
    <t>Sign-Off Type</t>
  </si>
  <si>
    <t>Consider postponement</t>
  </si>
  <si>
    <t>#7030A0</t>
  </si>
  <si>
    <t>≥ 4.0</t>
  </si>
  <si>
    <t>SEVERE</t>
  </si>
  <si>
    <t>Executive review, CAB escalation</t>
  </si>
  <si>
    <t>3.5 - 4.0</t>
  </si>
  <si>
    <t>CRITICAL</t>
  </si>
  <si>
    <t>Risk mitigation plan required</t>
  </si>
  <si>
    <t>#FF6600</t>
  </si>
  <si>
    <t>2.5 - 3.5</t>
  </si>
  <si>
    <t>HIGH</t>
  </si>
  <si>
    <t>Enhanced monitoring</t>
  </si>
  <si>
    <t>1.5 - 2.5</t>
  </si>
  <si>
    <t>MEDIUM</t>
  </si>
  <si>
    <t>Standard process</t>
  </si>
  <si>
    <t>&lt; 1.5</t>
  </si>
  <si>
    <t>LOW</t>
  </si>
  <si>
    <t>Approval Level</t>
  </si>
  <si>
    <t>Color Code</t>
  </si>
  <si>
    <t>Score Range</t>
  </si>
  <si>
    <t>Risk Level</t>
  </si>
  <si>
    <t>Failed</t>
  </si>
  <si>
    <t>Completed</t>
  </si>
  <si>
    <t>On Hold</t>
  </si>
  <si>
    <t>6. RELEASE STATUS CODES</t>
  </si>
  <si>
    <t>Minor issues, enhancements</t>
  </si>
  <si>
    <t>5 business days</t>
  </si>
  <si>
    <t>P4</t>
  </si>
  <si>
    <t>Important but not urgent issues</t>
  </si>
  <si>
    <t>Manager Level</t>
  </si>
  <si>
    <t>1 business day</t>
  </si>
  <si>
    <t>Major degradation, customer impacting</t>
  </si>
  <si>
    <t>Director Level</t>
  </si>
  <si>
    <t>Business-stopping issues, security breaches</t>
  </si>
  <si>
    <t>CIO/VP Level</t>
  </si>
  <si>
    <t>Immediate</t>
  </si>
  <si>
    <t>Response Time</t>
  </si>
  <si>
    <t>5. PRIORITY LEVELS</t>
  </si>
  <si>
    <t>UI changes, Minor enhancements</t>
  </si>
  <si>
    <t>Minimal impact, easily recoverable</t>
  </si>
  <si>
    <t>Reporting, Secondary CRM</t>
  </si>
  <si>
    <t>Moderate impact, workarounds exist</t>
  </si>
  <si>
    <t>Core ERP, Payment Systems</t>
  </si>
  <si>
    <t>Critical business impact</t>
  </si>
  <si>
    <t>H</t>
  </si>
  <si>
    <t>4. IMPACT LEVELS</t>
  </si>
  <si>
    <t>Major releases, platform upgrades</t>
  </si>
  <si>
    <t>~22 days</t>
  </si>
  <si>
    <t>Feature enhancements, integrations</t>
  </si>
  <si>
    <t>~12 days</t>
  </si>
  <si>
    <t>Bug fixes, minor UI changes</t>
  </si>
  <si>
    <t>~8 days</t>
  </si>
  <si>
    <t>Total Lead Time</t>
  </si>
  <si>
    <t>Pre-Prod Days</t>
  </si>
  <si>
    <t>UAT Days</t>
  </si>
  <si>
    <t>Test Days</t>
  </si>
  <si>
    <t>3. RELEASE SIZES</t>
  </si>
  <si>
    <t>Business continuity failover</t>
  </si>
  <si>
    <t>24/7</t>
  </si>
  <si>
    <t>PROD</t>
  </si>
  <si>
    <t>Production mirror for final validation</t>
  </si>
  <si>
    <t>Pre-Production</t>
  </si>
  <si>
    <t>Business validation environment</t>
  </si>
  <si>
    <t>QA and integration testing</t>
  </si>
  <si>
    <t>Developer sandbox environment</t>
  </si>
  <si>
    <t>Availability</t>
  </si>
  <si>
    <t>Promotion Order</t>
  </si>
  <si>
    <t>Env Code</t>
  </si>
  <si>
    <t>2. ENVIRONMENTS</t>
  </si>
  <si>
    <t>Legal</t>
  </si>
  <si>
    <t>IT</t>
  </si>
  <si>
    <t>Manufacturing</t>
  </si>
  <si>
    <t>CRM</t>
  </si>
  <si>
    <t>Logistics</t>
  </si>
  <si>
    <t>1. DEPARTMENTS</t>
  </si>
  <si>
    <t>Risk Factors sheet</t>
  </si>
  <si>
    <t>44-46</t>
  </si>
  <si>
    <t>Users, Release Managers, Super Admins</t>
  </si>
  <si>
    <t>100+</t>
  </si>
  <si>
    <t>Total Users</t>
  </si>
  <si>
    <t>Releases sheet</t>
  </si>
  <si>
    <t>Total Releases</t>
  </si>
  <si>
    <t>Applications sheet</t>
  </si>
  <si>
    <t>Total Applications</t>
  </si>
  <si>
    <t>Total Departments</t>
  </si>
  <si>
    <t>Source</t>
  </si>
  <si>
    <t>WORKBOOK STATISTICS</t>
  </si>
  <si>
    <t>RELEASE DESK — REFERENCE DATA CATALOG</t>
  </si>
  <si>
    <t>Consolidated lookup tables, status codes, thresholds, and configuration data (merged from Reference Data + Reference Data (2))</t>
  </si>
  <si>
    <t>Version 2.0 (Merged) | Consolidated: 06-Aug-2026</t>
  </si>
  <si>
    <t>Departments sheet</t>
  </si>
  <si>
    <t>Department Name</t>
  </si>
  <si>
    <t>Environment Name</t>
  </si>
  <si>
    <t>Legacy Code</t>
  </si>
  <si>
    <t>Min CAB Lead Time</t>
  </si>
  <si>
    <t>SLA Notes</t>
  </si>
  <si>
    <t>7. RISK ASSESSMENT</t>
  </si>
  <si>
    <t>7a. Risk Scoring Matrix (Probability × Impact Grid)</t>
  </si>
  <si>
    <t>7b. Risk Likelihood Scale (Probability axis)</t>
  </si>
  <si>
    <t>7c. Risk Impact Scale (Impact axis)</t>
  </si>
  <si>
    <t>7d. Risk Score Thresholds (Weighted Factor Model)</t>
  </si>
  <si>
    <t>7e. Risk Factor Weights by Category</t>
  </si>
  <si>
    <t>44 factors</t>
  </si>
  <si>
    <t>8. APPROVAL &amp; SIGN-OFF TYPES</t>
  </si>
  <si>
    <t>8a. Approval Types</t>
  </si>
  <si>
    <t>8b. CAB Approval Sub-Type</t>
  </si>
  <si>
    <t>8c. Sign-Off Type</t>
  </si>
  <si>
    <t>Blocking dependency — must be complete before deployment</t>
  </si>
  <si>
    <t>Advisory dependency — should be complete but not blocking</t>
  </si>
  <si>
    <t>9b. Dependency Status</t>
  </si>
  <si>
    <t>10. BUSINESS CALENDAR DEFINITIONS</t>
  </si>
  <si>
    <t>11. CHANGE FREEZE / FREEZE WINDOWS</t>
  </si>
  <si>
    <t>12. THRESHOLD VALUES</t>
  </si>
  <si>
    <t>13. LEAVE TYPES</t>
  </si>
  <si>
    <t>14. USER ROLES &amp; PERMISSIONS</t>
  </si>
  <si>
    <t>15. DRIFT CATEGORIES</t>
  </si>
  <si>
    <t>18. APPLICATION CATEGORIES</t>
  </si>
  <si>
    <t>19. NOTIFICATION TYPES</t>
  </si>
  <si>
    <t>20. TESTING PHASES &amp; GATES</t>
  </si>
  <si>
    <t>21. DEPLOYMENT WINDOWS</t>
  </si>
  <si>
    <t>22. SLA METRICS &amp; TARGETS</t>
  </si>
  <si>
    <t>23. ENVIRONMENT CONFLICT TYPES</t>
  </si>
  <si>
    <t>24. SIGN-OFF STATUSES</t>
  </si>
  <si>
    <t>25. PLAN STATUSES</t>
  </si>
  <si>
    <t>26. RELEASE HEALTH LEVELS</t>
  </si>
  <si>
    <t>Reference Data v1.0 (Merged) | Consolidated from Reference Data + Reference Data (2) | Consolidated: 06-Aug-2026</t>
  </si>
  <si>
    <t>100%</t>
  </si>
  <si>
    <t>COMPREHENSIVE RELEASE RISK SCORING MODEL</t>
  </si>
  <si>
    <t>Multi-factor weighted risk assessment for Release Desk Go/No-Go decisions</t>
  </si>
  <si>
    <t>Total Releases Assessed</t>
  </si>
  <si>
    <t>Category (Configurable)</t>
  </si>
  <si>
    <t>Risk Contribution (Configurable)</t>
  </si>
  <si>
    <t>Factor Name(Configurable)</t>
  </si>
  <si>
    <t>Weight</t>
  </si>
  <si>
    <t>Score 1 (Best)</t>
  </si>
  <si>
    <t>Score 5 (Worst)</t>
  </si>
  <si>
    <t>Data Source(Configurable)</t>
  </si>
  <si>
    <t>SEVERE Risk Releases</t>
  </si>
  <si>
    <t>Immediate review required</t>
  </si>
  <si>
    <t>Files Changed</t>
  </si>
  <si>
    <t>Number of modified files</t>
  </si>
  <si>
    <t>&lt;10</t>
  </si>
  <si>
    <t>≥100</t>
  </si>
  <si>
    <t>Git/SCM</t>
  </si>
  <si>
    <t>CRITICAL Risk Releases</t>
  </si>
  <si>
    <t>Executive approval needed</t>
  </si>
  <si>
    <t>Code Churn (LOC)</t>
  </si>
  <si>
    <t>Lines of code changed</t>
  </si>
  <si>
    <t>&lt;200</t>
  </si>
  <si>
    <t>≥3000</t>
  </si>
  <si>
    <t>HIGH Risk Releases</t>
  </si>
  <si>
    <t>CAB review required</t>
  </si>
  <si>
    <t>DB Schema Changes</t>
  </si>
  <si>
    <t>Database schema modifications</t>
  </si>
  <si>
    <t>≥5</t>
  </si>
  <si>
    <t>Migration Scripts</t>
  </si>
  <si>
    <t>MEDIUM Risk Releases</t>
  </si>
  <si>
    <t>API Contract Changes</t>
  </si>
  <si>
    <t>Breaking API changes</t>
  </si>
  <si>
    <t>≥4</t>
  </si>
  <si>
    <t>API Specs</t>
  </si>
  <si>
    <t>LOW Risk Releases</t>
  </si>
  <si>
    <t>Standard deployment</t>
  </si>
  <si>
    <t>New Technology Stack</t>
  </si>
  <si>
    <t>Unfamiliar tech introduced</t>
  </si>
  <si>
    <t>Proven stack</t>
  </si>
  <si>
    <t>Entirely new</t>
  </si>
  <si>
    <t>Architecture Review</t>
  </si>
  <si>
    <t>Test Coverage %</t>
  </si>
  <si>
    <t>Code coverage percentage</t>
  </si>
  <si>
    <t>&gt;90%</t>
  </si>
  <si>
    <t>&lt;60%</t>
  </si>
  <si>
    <t>SonarQube</t>
  </si>
  <si>
    <t>Average Risk Score</t>
  </si>
  <si>
    <t>Test Execution Days</t>
  </si>
  <si>
    <t>Testing duration</t>
  </si>
  <si>
    <t>&lt;3 days</t>
  </si>
  <si>
    <t>≥10 days</t>
  </si>
  <si>
    <t>Test Plan</t>
  </si>
  <si>
    <t>Highest Risk Release</t>
  </si>
  <si>
    <t>Bugs Found (Test)</t>
  </si>
  <si>
    <t>Defects discovered in testing</t>
  </si>
  <si>
    <t>&lt;3</t>
  </si>
  <si>
    <t>≥15</t>
  </si>
  <si>
    <t>Jira</t>
  </si>
  <si>
    <t>Bug Fix Rate %</t>
  </si>
  <si>
    <t>Defects fixed vs found</t>
  </si>
  <si>
    <t>&gt;95%</t>
  </si>
  <si>
    <t>UAT Duration Days</t>
  </si>
  <si>
    <t>UAT testing period</t>
  </si>
  <si>
    <t>UAT Plan</t>
  </si>
  <si>
    <t>UAT Defects</t>
  </si>
  <si>
    <t>Defects found in UAT</t>
  </si>
  <si>
    <t>&lt;2</t>
  </si>
  <si>
    <t>≥8</t>
  </si>
  <si>
    <t>UAT Sign-off</t>
  </si>
  <si>
    <t>Business sign-off status</t>
  </si>
  <si>
    <t>Full sign-off</t>
  </si>
  <si>
    <t>No sign-off</t>
  </si>
  <si>
    <t>UAT Tracker</t>
  </si>
  <si>
    <t>Test Env Parity</t>
  </si>
  <si>
    <t>Test env match with Prod</t>
  </si>
  <si>
    <t>≥95% match</t>
  </si>
  <si>
    <t>&lt;60% match</t>
  </si>
  <si>
    <t>Env Config</t>
  </si>
  <si>
    <t>Critical/High Vulns</t>
  </si>
  <si>
    <t>Open security vulnerabilities</t>
  </si>
  <si>
    <t>SAST/DAST</t>
  </si>
  <si>
    <t>Pen Test Sign-off</t>
  </si>
  <si>
    <t>Penetration test status</t>
  </si>
  <si>
    <t>Passed</t>
  </si>
  <si>
    <t>Not done</t>
  </si>
  <si>
    <t>Compliance Gate</t>
  </si>
  <si>
    <t>SOX/GDPR/PCI-DSS status</t>
  </si>
  <si>
    <t>All passed</t>
  </si>
  <si>
    <t>GRC System</t>
  </si>
  <si>
    <t>Migration Required</t>
  </si>
  <si>
    <t>Data migration needed</t>
  </si>
  <si>
    <t>Yes, complex</t>
  </si>
  <si>
    <t>RISK SCORE THRESHOLDS</t>
  </si>
  <si>
    <t>Backup Restore Tested</t>
  </si>
  <si>
    <t>Backup/restore verified</t>
  </si>
  <si>
    <t>Yes, verified</t>
  </si>
  <si>
    <t>Not tested</t>
  </si>
  <si>
    <t>DBA Team</t>
  </si>
  <si>
    <t>Action</t>
  </si>
  <si>
    <t>Migration Script Tested</t>
  </si>
  <si>
    <t>Migration scripts validated</t>
  </si>
  <si>
    <t>Tested in Pre-prod</t>
  </si>
  <si>
    <t>Testers Allocated</t>
  </si>
  <si>
    <t>QA resource count</t>
  </si>
  <si>
    <t>&gt;3</t>
  </si>
  <si>
    <t>1 or none</t>
  </si>
  <si>
    <t>Resource Plan</t>
  </si>
  <si>
    <t>Key Staff Availability</t>
  </si>
  <si>
    <t>Critical personnel present</t>
  </si>
  <si>
    <t>All available</t>
  </si>
  <si>
    <t>Key staff OOO</t>
  </si>
  <si>
    <t>Days Until Release</t>
  </si>
  <si>
    <t>Time to deployment</t>
  </si>
  <si>
    <t>&gt;30 days</t>
  </si>
  <si>
    <t>&lt;5 days</t>
  </si>
  <si>
    <t>Release Schedule</t>
  </si>
  <si>
    <t>Downstream Releases</t>
  </si>
  <si>
    <t>Dependent releases count</t>
  </si>
  <si>
    <t>Postpone or major mitigation</t>
  </si>
  <si>
    <t>Overlapping Releases</t>
  </si>
  <si>
    <t>Releases in same window</t>
  </si>
  <si>
    <t>Release Calendar</t>
  </si>
  <si>
    <t>Env &amp; Dependencies</t>
  </si>
  <si>
    <t>Drift Issues</t>
  </si>
  <si>
    <t>Environment drift count</t>
  </si>
  <si>
    <t>Drift Tracker</t>
  </si>
  <si>
    <t>Dependency Count</t>
  </si>
  <si>
    <t>External dependencies</t>
  </si>
  <si>
    <t>Dependency Health</t>
  </si>
  <si>
    <t>Upstream system status</t>
  </si>
  <si>
    <t>All healthy</t>
  </si>
  <si>
    <t>Critical blocked</t>
  </si>
  <si>
    <t>Health Dashboard</t>
  </si>
  <si>
    <t>Feature Flag Cleanup</t>
  </si>
  <si>
    <t>Stale feature flags</t>
  </si>
  <si>
    <t>Clean</t>
  </si>
  <si>
    <t>≥5 stale flags</t>
  </si>
  <si>
    <t>Feature Mgmt</t>
  </si>
  <si>
    <t>Rollback documented</t>
  </si>
  <si>
    <t>Full plan tested</t>
  </si>
  <si>
    <t>No plan</t>
  </si>
  <si>
    <t>Runbook</t>
  </si>
  <si>
    <t>Go-Live Checklist %</t>
  </si>
  <si>
    <t>Checklist completion</t>
  </si>
  <si>
    <t>&lt;50%</t>
  </si>
  <si>
    <t>Checklist</t>
  </si>
  <si>
    <t>Change Freeze Impact</t>
  </si>
  <si>
    <t>Freeze window conflict</t>
  </si>
  <si>
    <t>No conflict</t>
  </si>
  <si>
    <t>During freeze</t>
  </si>
  <si>
    <t>Vendor Coordination</t>
  </si>
  <si>
    <t>Vendor readiness</t>
  </si>
  <si>
    <t>Not coordinated</t>
  </si>
  <si>
    <t>Vendor Mgmt</t>
  </si>
  <si>
    <t>Rollback Time RTO</t>
  </si>
  <si>
    <t>Rollback duration (min)</t>
  </si>
  <si>
    <t>&lt;15 min</t>
  </si>
  <si>
    <t>&gt;120 min</t>
  </si>
  <si>
    <t>Deployment Automation %</t>
  </si>
  <si>
    <t>Automation level</t>
  </si>
  <si>
    <t>CI/CD Pipeline</t>
  </si>
  <si>
    <t>Load Test Status</t>
  </si>
  <si>
    <t>Load testing result</t>
  </si>
  <si>
    <t>Perf Team</t>
  </si>
  <si>
    <t>Perf Regression %</t>
  </si>
  <si>
    <t>Performance vs baseline</t>
  </si>
  <si>
    <t>&lt;5%</t>
  </si>
  <si>
    <t>&gt;25%</t>
  </si>
  <si>
    <t>APM Tools</t>
  </si>
  <si>
    <t>BC Tested</t>
  </si>
  <si>
    <t>Backward compatibility</t>
  </si>
  <si>
    <t>Fully tested</t>
  </si>
  <si>
    <t>Test Results</t>
  </si>
  <si>
    <t>Rollback Flow Tested</t>
  </si>
  <si>
    <t>Rollback rehearsal done</t>
  </si>
  <si>
    <t>Never tested</t>
  </si>
  <si>
    <t>Deployment Runbook</t>
  </si>
  <si>
    <t>Previous Failures</t>
  </si>
  <si>
    <t>Past failure history</t>
  </si>
  <si>
    <t>0 failures (12mo)</t>
  </si>
  <si>
    <t>≥3 failures</t>
  </si>
  <si>
    <t>Incident History</t>
  </si>
  <si>
    <t>Release Cadence Dev</t>
  </si>
  <si>
    <t>Deviation from schedule</t>
  </si>
  <si>
    <t>On schedule</t>
  </si>
  <si>
    <t>&gt;14 days late</t>
  </si>
  <si>
    <t>Release Plan</t>
  </si>
  <si>
    <t>MTBF Days</t>
  </si>
  <si>
    <t>Mean time between failures</t>
  </si>
  <si>
    <t>&gt;180 days</t>
  </si>
  <si>
    <t>&lt;14 days</t>
  </si>
  <si>
    <t>Incident Metrics</t>
  </si>
  <si>
    <t>Recent Incidents</t>
  </si>
  <si>
    <t>Incidents last 30 days</t>
  </si>
  <si>
    <t>≥3</t>
  </si>
  <si>
    <t>Incident Mgmt</t>
  </si>
  <si>
    <t>Revenue Impact</t>
  </si>
  <si>
    <t>Revenue risk if failed</t>
  </si>
  <si>
    <t>Business Team</t>
  </si>
  <si>
    <t>User Blast Radius</t>
  </si>
  <si>
    <t>Users/customers affected</t>
  </si>
  <si>
    <t>&lt;100</t>
  </si>
  <si>
    <t>&gt;100K or all</t>
  </si>
  <si>
    <t>Product Team</t>
  </si>
  <si>
    <t>WEIGHT SUMMARY BY CATEGORY</t>
  </si>
  <si>
    <t>Factors</t>
  </si>
  <si>
    <t>FORMULA: Weighted Score = Σ (Factor Score × Factor Weight)</t>
  </si>
  <si>
    <t>RELEASE RISK ASSESSMENT DATA</t>
  </si>
  <si>
    <t>Prod Date</t>
  </si>
  <si>
    <t>Days Out</t>
  </si>
  <si>
    <t>Code Churn</t>
  </si>
  <si>
    <t>DB Changes</t>
  </si>
  <si>
    <t>API Changes</t>
  </si>
  <si>
    <t>New Tech Stack</t>
  </si>
  <si>
    <t>Test Bugs</t>
  </si>
  <si>
    <t>Crit/High Vulns</t>
  </si>
  <si>
    <t>Pen Test</t>
  </si>
  <si>
    <t>Migration Req</t>
  </si>
  <si>
    <t>Backup Tested</t>
  </si>
  <si>
    <t>Migration Script</t>
  </si>
  <si>
    <t>Team Size</t>
  </si>
  <si>
    <t>Deploy Window</t>
  </si>
  <si>
    <t>Freeze Proximity</t>
  </si>
  <si>
    <t>Key Staff Avail</t>
  </si>
  <si>
    <t>Overlapping Rels</t>
  </si>
  <si>
    <t>Dep Count</t>
  </si>
  <si>
    <t>Dep Health</t>
  </si>
  <si>
    <t>Vendor Involvement</t>
  </si>
  <si>
    <t>Feature Flags</t>
  </si>
  <si>
    <t>Docs Complete</t>
  </si>
  <si>
    <t>Monitoring Ready</t>
  </si>
  <si>
    <t>Runbook Updated</t>
  </si>
  <si>
    <t>Rollback RTO</t>
  </si>
  <si>
    <t>Deploy Auto %</t>
  </si>
  <si>
    <t>Load Test</t>
  </si>
  <si>
    <t>Vendor Patch</t>
  </si>
  <si>
    <t>Cadence Dev</t>
  </si>
  <si>
    <t>Past Failures</t>
  </si>
  <si>
    <t>Rollback Tested</t>
  </si>
  <si>
    <t>Blast Radius</t>
  </si>
  <si>
    <t>WEIGHTED SCORE</t>
  </si>
  <si>
    <t>RISK LEVEL</t>
  </si>
  <si>
    <t>REL-0001</t>
  </si>
  <si>
    <t>Kyriba UI Tweak v4.5</t>
  </si>
  <si>
    <t>REL-0002</t>
  </si>
  <si>
    <t>Blue Workflow v2.1</t>
  </si>
  <si>
    <t>REL-0003</t>
  </si>
  <si>
    <t>Zendesk Minor v4.3</t>
  </si>
  <si>
    <t>REL-0004</t>
  </si>
  <si>
    <t>Oracle HFM Upgrade v12</t>
  </si>
  <si>
    <t>REL-0005</t>
  </si>
  <si>
    <t>Coupa Integration v3.0</t>
  </si>
  <si>
    <t>REL-0006</t>
  </si>
  <si>
    <t>Salesforce Patch v8.2</t>
  </si>
  <si>
    <t>REL-0007</t>
  </si>
  <si>
    <t>SAP S4 Finance v2.0</t>
  </si>
  <si>
    <t>REL-0008</t>
  </si>
  <si>
    <t>Workday HR Update v5.1</t>
  </si>
  <si>
    <t>REL-0009</t>
  </si>
  <si>
    <t>Jira Workflow v3.4</t>
  </si>
  <si>
    <t>REL-0010</t>
  </si>
  <si>
    <t>Manhattan WMS v6.0</t>
  </si>
  <si>
    <t>REL-0011</t>
  </si>
  <si>
    <t>ServiceNow ITSM v4.2</t>
  </si>
  <si>
    <t>REL-0012</t>
  </si>
  <si>
    <t>Tableau Dashboard v2.8</t>
  </si>
  <si>
    <t>WEIGHTED SCORE CALCULATION EXAMPLE - REL-0001</t>
  </si>
  <si>
    <t>The Weighted Risk Score combines 44 factors across 10 categories. Each factor is:</t>
  </si>
  <si>
    <t xml:space="preserve">  1. Converted from its raw value to a standardized score (1 = lowest risk, 5 = highest risk)</t>
  </si>
  <si>
    <t xml:space="preserve">  2. Multiplied by its assigned weight (all weights sum to 100%)</t>
  </si>
  <si>
    <t xml:space="preserve">  3. All weighted scores are summed to produce the final risk score</t>
  </si>
  <si>
    <t>For REL-0001 (Kyriba UI Tweak v4.5), here is the detailed breakdown:</t>
  </si>
  <si>
    <t>Factor</t>
  </si>
  <si>
    <t>Raw Value</t>
  </si>
  <si>
    <t>Score Logic</t>
  </si>
  <si>
    <t>Score (1-5)</t>
  </si>
  <si>
    <t>Contribution</t>
  </si>
  <si>
    <t>1 if &lt;10, 2 if &lt;30, 3 if &lt;60, 4 if &lt;100, else 5</t>
  </si>
  <si>
    <t>1 if &lt;200, 2 if &lt;500, 3 if &lt;1500, 4 if &lt;3000, else 5</t>
  </si>
  <si>
    <t>1 if 0, 2 if 1, 3 if 2, 4 if &lt;5, else 5</t>
  </si>
  <si>
    <t>1 if 0, 2 if 1, 3 if 2, 4 if 3, else 5</t>
  </si>
  <si>
    <t>Direct score (1=Proven, 5=Entirely new)</t>
  </si>
  <si>
    <t>1 if &gt;90, 2 if &gt;80, 3 if &gt;70, 4 if &gt;60, else 5</t>
  </si>
  <si>
    <t>1 if &lt;3, 2 if &lt;5, 3 if &lt;7, 4 if &lt;10, else 5</t>
  </si>
  <si>
    <t>1 if &lt;3, 2 if &lt;6, 3 if &lt;10, 4 if &lt;15, else 5</t>
  </si>
  <si>
    <t>1 if &gt;95, 2 if &gt;85, 3 if &gt;75, 4 if &gt;60, else 5</t>
  </si>
  <si>
    <t>UAT Defects Found</t>
  </si>
  <si>
    <t>1 if &lt;2, 2 if &lt;4, 3 if &lt;7, 4 if &lt;10, else 5</t>
  </si>
  <si>
    <t>UAT Sign-off Level</t>
  </si>
  <si>
    <t>INVERTED: 6 - value (5=full signoff=1)</t>
  </si>
  <si>
    <t>Test Env Parity Score</t>
  </si>
  <si>
    <t>INVERTED: 6 - value (5=perfect parity=1)</t>
  </si>
  <si>
    <t>1 if 0, 2 if &lt;3, 3 if &lt;5, 4 if &lt;10, else 5</t>
  </si>
  <si>
    <t>INVERTED: 6 - value (5=passed=1)</t>
  </si>
  <si>
    <t>INVERTED: 6 - value (5=passed all=1)</t>
  </si>
  <si>
    <t>Data Migration Req</t>
  </si>
  <si>
    <t>Boolean: 0=No(1), 1=Yes(3)</t>
  </si>
  <si>
    <t>INVERTED: 6 - value (5=tested=1)</t>
  </si>
  <si>
    <t>Deploy Window Hours</t>
  </si>
  <si>
    <t>1 if &lt;2, 2 if &lt;4, 3 if &lt;6, 4 if &lt;8, else 5</t>
  </si>
  <si>
    <t>Change Freeze Proximity</t>
  </si>
  <si>
    <t>1 if &gt;14, 2 if &gt;7, 3 if &gt;3, 4 if &gt;1, else 5</t>
  </si>
  <si>
    <t>Key Staff Available</t>
  </si>
  <si>
    <t>INVERTED: 6 - value (5=all available=1)</t>
  </si>
  <si>
    <t>Dependencies Count</t>
  </si>
  <si>
    <t>INVERTED: 6 - value (5=all healthy=1)</t>
  </si>
  <si>
    <t>1 if 0, 3 if 1, 5 if 2+</t>
  </si>
  <si>
    <t>INVERTED: 6 - value (5=clean=1)</t>
  </si>
  <si>
    <t>Rollback Plan Tested</t>
  </si>
  <si>
    <t>INVERTED: 6 - value (5=complete=1)</t>
  </si>
  <si>
    <t>Monitoring Readiness</t>
  </si>
  <si>
    <t>INVERTED: 6 - value (5=ready=1)</t>
  </si>
  <si>
    <t>INVERTED: 6 - value (5=updated=1)</t>
  </si>
  <si>
    <t>Rollback Time RTO (min)</t>
  </si>
  <si>
    <t>1 if &lt;15, 2 if &lt;30, 3 if &lt;60, 4 if &lt;120, else 5</t>
  </si>
  <si>
    <t>Deploy Automation %</t>
  </si>
  <si>
    <t>1 if &gt;90, 2 if &gt;75, 3 if &gt;50, 4 if &gt;25, else 5</t>
  </si>
  <si>
    <t>Load Test Completed</t>
  </si>
  <si>
    <t>1 if &lt;5, 2 if &lt;10, 3 if &lt;15, 4 if &lt;25, else 5</t>
  </si>
  <si>
    <t>Vendor Patch Status</t>
  </si>
  <si>
    <t>INVERTED: 6 - value (5=current=1)</t>
  </si>
  <si>
    <t>1 if &lt;2, 2 if &lt;5, 3 if &lt;10, 4 if &lt;20, else 5</t>
  </si>
  <si>
    <t>1 if &gt;60, 2 if &gt;30, 3 if &gt;14, 4 if &gt;7, else 5</t>
  </si>
  <si>
    <t>BC Not Tested</t>
  </si>
  <si>
    <t>Rollback Not Tested</t>
  </si>
  <si>
    <t>Direct score (1=Low, 3=Medium, 5=High)</t>
  </si>
  <si>
    <t>1 if &lt;1000, 2 if &lt;5000, 3 if &lt;20000, 4 if &lt;50000, else 5</t>
  </si>
  <si>
    <t>REL-0001 FINAL RISK ASSESSMENT</t>
  </si>
  <si>
    <t>Weighted Risk Score:</t>
  </si>
  <si>
    <t>Risk Level:</t>
  </si>
  <si>
    <t>Interpretation: REL-0001 has a LOW risk score, indicating minimal risk factors. It uses proven technology, has good test coverage (85%), zero critical vulnerabilities, and all dependencies are healthy. The small scope (12 files, 320 LOC) and experienced team contribute to the low risk profile.</t>
  </si>
  <si>
    <t>📖 QUICK REFERENCE: Weighted Risk Score (Collapsible Section for Web)</t>
  </si>
  <si>
    <t>WEIGHTED RISK SCORE = Σ (Factor Score × Factor Weight)     |     Range: 1.0-5.0</t>
  </si>
  <si>
    <t>TOP 3 FACTORS (50% of score): Technical Complexity (15%) + Testing Quality (15%) + Resource Availability (20%)</t>
  </si>
  <si>
    <t>RISK THRESHOLDS:</t>
  </si>
  <si>
    <t xml:space="preserve">  • &lt; 1.5: LOW → ✅ Proceed     • 1.5-2.4: MEDIUM → ✅ Proceed with monitoring</t>
  </si>
  <si>
    <t xml:space="preserve">  • 2.5-3.4: HIGH → ⚠️ Address concerns     • 3.5-3.9: CRITICAL → 🛑 Mitigation required</t>
  </si>
  <si>
    <t xml:space="preserve">  • ≥ 4.0: SEVERE → 🛑 Consider delay</t>
  </si>
  <si>
    <t>⚠️ DATA LIMITATION: Calculated for IMMEDIATE releases only. Dashboard filters do NOT apply.</t>
  </si>
  <si>
    <t>[▼ View full documentation below for all 10 factor categories and detailed guidance]</t>
  </si>
  <si>
    <t>📋 FULL DOCUMENTATION: Weighted Technical Risk Scoring</t>
  </si>
  <si>
    <t>🎯 PURPOSE OF WEIGHTED RISK SCORING</t>
  </si>
  <si>
    <t>This sheet provides QUANTITATIVE TECHNICAL RISK SCORING using 44 measurable factors.</t>
  </si>
  <si>
    <t>Unlike the Risk sheet (discrete events), this calculates an OBJECTIVE READINESS SCORE.</t>
  </si>
  <si>
    <t>The score answers: 'Is this release technically ready?' — independent of event-based risks.</t>
  </si>
  <si>
    <t>📊 HOW THE SCORE IS CALCULATED</t>
  </si>
  <si>
    <t>Formula: WEIGHTED RISK SCORE = Σ (Factor Score × Factor Weight)</t>
  </si>
  <si>
    <t>Each of 10 factor categories has a weight (totaling 100%). Each factor is scored 1-5.</t>
  </si>
  <si>
    <t>Final score range: 1.0 (excellent) to 5.0 (severe risk).</t>
  </si>
  <si>
    <t>📋 THE 10 FACTOR CATEGORIES</t>
  </si>
  <si>
    <t>CATEGORY               | WEIGHT | WHAT IT MEASURES</t>
  </si>
  <si>
    <t>───────────────────────────────────────────────────────────────────</t>
  </si>
  <si>
    <t>Resource Availability  | 20%    | Key staff availability, backup coverage</t>
  </si>
  <si>
    <t>Technical Complexity   | 15%    | Architecture changes, integration depth</t>
  </si>
  <si>
    <t>Testing Quality        | 15%    | Test coverage, defect rates, UAT sign-off</t>
  </si>
  <si>
    <t>Security &amp; Compliance  | 12%    | Security scan results, compliance checks</t>
  </si>
  <si>
    <t>Change Impact          | 10%    | Scope of changes, users affected</t>
  </si>
  <si>
    <t>Deployment Risk        | 8%     | Deployment complexity, rollback readiness</t>
  </si>
  <si>
    <t>Dependencies           | 7%     | External dependencies, API changes</t>
  </si>
  <si>
    <t>Environment Readiness  | 5%     | Env stability, data quality, config drift</t>
  </si>
  <si>
    <t>Documentation          | 5%     | Runbooks, release notes, training</t>
  </si>
  <si>
    <t>Historical Performance | 3%     | Past release success rate</t>
  </si>
  <si>
    <t>🚦 RISK LEVEL THRESHOLDS</t>
  </si>
  <si>
    <t>SCORE RANGE | RISK LEVEL | RECOMMENDED ACTION</t>
  </si>
  <si>
    <t>&lt; 1.5       | LOW        | ✅ Proceed — minimal technical risk</t>
  </si>
  <si>
    <t>1.5 - 2.4   | MEDIUM     | ✅ Proceed with standard monitoring</t>
  </si>
  <si>
    <t>2.5 - 3.4   | HIGH       | ⚠️ Address concerns before release</t>
  </si>
  <si>
    <t>3.5 - 3.9   | CRITICAL   | 🛑 Mitigation required; escalate</t>
  </si>
  <si>
    <t>≥ 4.0       | SEVERE     | 🛑 Consider delay; major remediation needed</t>
  </si>
  <si>
    <t>⚠️ IMPORTANT DATA LIMITATIONS</t>
  </si>
  <si>
    <t>1. IMMEDIATE RELEASES ONLY: Risk factors can only be calculated for releases</t>
  </si>
  <si>
    <t xml:space="preserve">   scheduled within the next 2 weeks. Future releases lack the data needed.</t>
  </si>
  <si>
    <t>2. DASHBOARD FILTERS DO NOT APPLY: The Risk Assessment Data section uses</t>
  </si>
  <si>
    <t xml:space="preserve">   its own date logic and is NOT affected by Dashboard filter selections.</t>
  </si>
  <si>
    <t>3. POINT-IN-TIME SNAPSHOT: Scores reflect current state and change as factors</t>
  </si>
  <si>
    <t xml:space="preserve">   are updated. Historical scores are not preserved automatically.</t>
  </si>
  <si>
    <t>✅ BEST PRACTICES</t>
  </si>
  <si>
    <t>1. REVIEW WEEKLY: Update factor scores as release planning progresses</t>
  </si>
  <si>
    <t>2. FOCUS ON TOP 3: Resource, Complexity, and Testing drive 50% of score</t>
  </si>
  <si>
    <t>3. USE WITH RISK SHEET: Technical score + Event risks = complete picture</t>
  </si>
  <si>
    <t>4. DOCUMENT CHANGES: Note why scores changed for audit trail</t>
  </si>
  <si>
    <t>5. CALIBRATE THRESHOLDS: Adjust thresholds based on your org's risk tolerance</t>
  </si>
  <si>
    <t>💡 TIP: A HIGH technical score with no event-based risks may still be safe.</t>
  </si>
  <si>
    <t>A LOW technical score with a CRITICAL event risk should still be delayed.</t>
  </si>
  <si>
    <t>Department</t>
  </si>
  <si>
    <t>Env</t>
  </si>
  <si>
    <t>Application Owner</t>
  </si>
  <si>
    <t>Env Owner</t>
  </si>
  <si>
    <t>SAP S/4HANA Finance (FICO)</t>
  </si>
  <si>
    <t>Dev</t>
  </si>
  <si>
    <t>Sarah Mitchell</t>
  </si>
  <si>
    <t>James Wilson</t>
  </si>
  <si>
    <t>Alex Rivera (Dev Mgr)</t>
  </si>
  <si>
    <t>Test</t>
  </si>
  <si>
    <t>Sam Anderson (QA Lead)</t>
  </si>
  <si>
    <t>Rachel Green (Bus Analyst)</t>
  </si>
  <si>
    <t>Pre-prod</t>
  </si>
  <si>
    <t>Nathan Cole (Release Mgr)</t>
  </si>
  <si>
    <t>Prod</t>
  </si>
  <si>
    <t>Victoria Sterling (Ops Mgr)</t>
  </si>
  <si>
    <t>Robert Shield (Infra Lead)</t>
  </si>
  <si>
    <t>Anaplan</t>
  </si>
  <si>
    <t>David Chen</t>
  </si>
  <si>
    <t>Emily Zhang</t>
  </si>
  <si>
    <t>Jordan Lee (Dev Mgr)</t>
  </si>
  <si>
    <t>Chris Park (QA Lead)</t>
  </si>
  <si>
    <t>Monica Geller (Bus Analyst)</t>
  </si>
  <si>
    <t>Ethan Black (Release Mgr)</t>
  </si>
  <si>
    <t>Elizabeth Crown (Ops Mgr)</t>
  </si>
  <si>
    <t>William Guard (Infra Lead)</t>
  </si>
  <si>
    <t>Oracle Hyperion HFM</t>
  </si>
  <si>
    <t>Jennifer Walsh</t>
  </si>
  <si>
    <t>Michael Brown</t>
  </si>
  <si>
    <t>Casey Chen (Dev Mgr)</t>
  </si>
  <si>
    <t>Pat Murphy (QA Lead)</t>
  </si>
  <si>
    <t>Phoebe Buffay (Bus Analyst)</t>
  </si>
  <si>
    <t>Lucas White (Release Mgr)</t>
  </si>
  <si>
    <t>Catherine Royal (Ops Mgr)</t>
  </si>
  <si>
    <t>James Fortress (Infra Lead)</t>
  </si>
  <si>
    <t>Kyriba</t>
  </si>
  <si>
    <t>Robert Kim</t>
  </si>
  <si>
    <t>Priya Sharma</t>
  </si>
  <si>
    <t>Morgan Taylor (Dev Mgr)</t>
  </si>
  <si>
    <t>Jesse Garcia (QA Lead)</t>
  </si>
  <si>
    <t>Emma Watson (Bus Analyst)</t>
  </si>
  <si>
    <t>Mason Gray (Release Mgr)</t>
  </si>
  <si>
    <t>Margaret Noble (Ops Mgr)</t>
  </si>
  <si>
    <t>Michael Bastion (Infra Lead)</t>
  </si>
  <si>
    <t>Coupa</t>
  </si>
  <si>
    <t>Michelle Torres</t>
  </si>
  <si>
    <t>Christopher Davis</t>
  </si>
  <si>
    <t>Jamie Patel (Dev Mgr)</t>
  </si>
  <si>
    <t>Robin Chen (QA Lead)</t>
  </si>
  <si>
    <t>Sophie Turner (Bus Analyst)</t>
  </si>
  <si>
    <t>Logan Stone (Release Mgr)</t>
  </si>
  <si>
    <t>Diana Prince (Ops Mgr)</t>
  </si>
  <si>
    <t>David Tower (Infra Lead)</t>
  </si>
  <si>
    <t>Zuora</t>
  </si>
  <si>
    <t>Andrew Patel</t>
  </si>
  <si>
    <t>Angela Liu</t>
  </si>
  <si>
    <t>Riley Kim (Dev Mgr)</t>
  </si>
  <si>
    <t>Dana Wilson (QA Lead)</t>
  </si>
  <si>
    <t>Mia Collins (Bus Analyst)</t>
  </si>
  <si>
    <t>Jacob Hill (Release Mgr)</t>
  </si>
  <si>
    <t>Helena Troy (Ops Mgr)</t>
  </si>
  <si>
    <t>Richard Wall (Infra Lead)</t>
  </si>
  <si>
    <t>RevPro</t>
  </si>
  <si>
    <t>Lisa Thompson</t>
  </si>
  <si>
    <t>Daniel Park</t>
  </si>
  <si>
    <t>Quinn Johnson (Dev Mgr)</t>
  </si>
  <si>
    <t>Kelly Nguyen (QA Lead)</t>
  </si>
  <si>
    <t>Isabella Moore (Bus Analyst)</t>
  </si>
  <si>
    <t>Aiden Clark (Release Mgr)</t>
  </si>
  <si>
    <t>Sophia Grace (Ops Mgr)</t>
  </si>
  <si>
    <t>Thomas Castle (Infra Lead)</t>
  </si>
  <si>
    <t>Thomson Reuters ONESOURCE</t>
  </si>
  <si>
    <t>Mark Rodriguez</t>
  </si>
  <si>
    <t>Jessica Nguyen</t>
  </si>
  <si>
    <t>Avery Williams (Dev Mgr)</t>
  </si>
  <si>
    <t>Terry Brooks (QA Lead)</t>
  </si>
  <si>
    <t>Olivia James (Bus Analyst)</t>
  </si>
  <si>
    <t>Jackson Moore (Release Mgr)</t>
  </si>
  <si>
    <t>Alexandra Reid (Ops Mgr)</t>
  </si>
  <si>
    <t>Charles Vault (Infra Lead)</t>
  </si>
  <si>
    <t>SAP Concur</t>
  </si>
  <si>
    <t>Amanda Foster</t>
  </si>
  <si>
    <t>Ryan Cooper</t>
  </si>
  <si>
    <t>Drew Martinez (Dev Mgr)</t>
  </si>
  <si>
    <t>Skyler Davis (QA Lead)</t>
  </si>
  <si>
    <t>Ava Mitchell (Bus Analyst)</t>
  </si>
  <si>
    <t>Sebastian Hall (Release Mgr)</t>
  </si>
  <si>
    <t>Christina Vale (Ops Mgr)</t>
  </si>
  <si>
    <t>Daniel Bunker (Infra Lead)</t>
  </si>
  <si>
    <t>Workday Financials</t>
  </si>
  <si>
    <t>Kevin O'Brien</t>
  </si>
  <si>
    <t>Samantha Reed</t>
  </si>
  <si>
    <t>Cameron Brown (Dev Mgr)</t>
  </si>
  <si>
    <t>Jordan Reed (QA Lead)</t>
  </si>
  <si>
    <t>Charlotte Price (Bus Analyst)</t>
  </si>
  <si>
    <t>Caleb Young (Release Mgr)</t>
  </si>
  <si>
    <t>Natasha Roman (Ops Mgr)</t>
  </si>
  <si>
    <t>Matthew Haven (Infra Lead)</t>
  </si>
  <si>
    <t>MetricStream</t>
  </si>
  <si>
    <t>Rachel Green</t>
  </si>
  <si>
    <t>William Chen</t>
  </si>
  <si>
    <t>Taylor Singh (Dev Mgr)</t>
  </si>
  <si>
    <t>Alex Foster (QA Lead)</t>
  </si>
  <si>
    <t>Amelia Scott (Bus Analyst)</t>
  </si>
  <si>
    <t>Owen King (Release Mgr)</t>
  </si>
  <si>
    <t>Amanda Cross (Ops Mgr)</t>
  </si>
  <si>
    <t>Anthony Secure (Infra Lead)</t>
  </si>
  <si>
    <t>IBM Cognos</t>
  </si>
  <si>
    <t>Thomas Wright</t>
  </si>
  <si>
    <t>Olivia Martinez</t>
  </si>
  <si>
    <t>Blake Thompson (Dev Mgr)</t>
  </si>
  <si>
    <t>Morgan Hayes (QA Lead)</t>
  </si>
  <si>
    <t>Harper Lewis (Bus Analyst)</t>
  </si>
  <si>
    <t>Liam Wright (Release Mgr)</t>
  </si>
  <si>
    <t>Rebecca Stone (Ops Mgr)</t>
  </si>
  <si>
    <t>Mark Backup (Infra Lead)</t>
  </si>
  <si>
    <t>HighRadius</t>
  </si>
  <si>
    <t>Diana Lee</t>
  </si>
  <si>
    <t>Nathan Brooks</t>
  </si>
  <si>
    <t>Basware</t>
  </si>
  <si>
    <t>Steven Martinez</t>
  </si>
  <si>
    <t>Karen Singh</t>
  </si>
  <si>
    <t>SAP Transportation Management (TM)</t>
  </si>
  <si>
    <t>Brian Murphy</t>
  </si>
  <si>
    <t>Marcus Johnson</t>
  </si>
  <si>
    <t>Oracle Transportation Management</t>
  </si>
  <si>
    <t>Catherine Hayes</t>
  </si>
  <si>
    <t>Tina Wang</t>
  </si>
  <si>
    <t>Blue Yonder WMS</t>
  </si>
  <si>
    <t>Eric Johansson</t>
  </si>
  <si>
    <t>Alexander Petrov</t>
  </si>
  <si>
    <t>Manhattan Associates WMS</t>
  </si>
  <si>
    <t>Patricia Wong</t>
  </si>
  <si>
    <t>Rachel Kim</t>
  </si>
  <si>
    <t>JDA Supply Chain Planning</t>
  </si>
  <si>
    <t>Gregory Adams</t>
  </si>
  <si>
    <t>Vincent Lopez</t>
  </si>
  <si>
    <t>Kinaxis RapidResponse</t>
  </si>
  <si>
    <t>Nicole Fraser</t>
  </si>
  <si>
    <t>Heather Stone</t>
  </si>
  <si>
    <t>E2open</t>
  </si>
  <si>
    <t>Jason Burke</t>
  </si>
  <si>
    <t>Brandon Lee</t>
  </si>
  <si>
    <t>Descartes Systems</t>
  </si>
  <si>
    <t>Laura Schmidt</t>
  </si>
  <si>
    <t>Melissa Chang</t>
  </si>
  <si>
    <t>project44</t>
  </si>
  <si>
    <t>Derek Coleman</t>
  </si>
  <si>
    <t>Tyler Morrison</t>
  </si>
  <si>
    <t>FourKites</t>
  </si>
  <si>
    <t>Stephanie Mills</t>
  </si>
  <si>
    <t>Christina Reyes</t>
  </si>
  <si>
    <t>Salesforce Sales Cloud</t>
  </si>
  <si>
    <t>Matthew Clarke</t>
  </si>
  <si>
    <t>Carlos Mendez</t>
  </si>
  <si>
    <t>Salesforce Service Cloud</t>
  </si>
  <si>
    <t>Victoria Santos</t>
  </si>
  <si>
    <t>Jennifer Park</t>
  </si>
  <si>
    <t>Microsoft Dynamics 365 CRM</t>
  </si>
  <si>
    <t>Benjamin Scott</t>
  </si>
  <si>
    <t>Michael Chang</t>
  </si>
  <si>
    <t>SAP CRM</t>
  </si>
  <si>
    <t>Alexis Rivera</t>
  </si>
  <si>
    <t>Natalie Brooks</t>
  </si>
  <si>
    <t>HubSpot CRM</t>
  </si>
  <si>
    <t>Jonathan Reed</t>
  </si>
  <si>
    <t>David Kim</t>
  </si>
  <si>
    <t>Zoho CRM</t>
  </si>
  <si>
    <t>Megan O'Connor</t>
  </si>
  <si>
    <t>Rebecca Torres</t>
  </si>
  <si>
    <t>Oracle CX Cloud</t>
  </si>
  <si>
    <t>Patrick Dunn</t>
  </si>
  <si>
    <t>Anthony Chen</t>
  </si>
  <si>
    <t>Pega CRM</t>
  </si>
  <si>
    <t>Ashley Gonzalez</t>
  </si>
  <si>
    <t>Stephanie Wu</t>
  </si>
  <si>
    <t>Zendesk</t>
  </si>
  <si>
    <t>Trevor Banks</t>
  </si>
  <si>
    <t>Justin Taylor</t>
  </si>
  <si>
    <t>Freshworks CRM</t>
  </si>
  <si>
    <t>Courtney Price</t>
  </si>
  <si>
    <t>Amanda Lee</t>
  </si>
  <si>
    <t>SAP S/4HANA Manufacturing</t>
  </si>
  <si>
    <t>Richard Hoffman</t>
  </si>
  <si>
    <t>Kenneth Wright</t>
  </si>
  <si>
    <t>Siemens Opcenter</t>
  </si>
  <si>
    <t>Sandra Peters</t>
  </si>
  <si>
    <t>Rockwell FactoryTalk</t>
  </si>
  <si>
    <t>Edward Mueller</t>
  </si>
  <si>
    <t>Paul Anderson</t>
  </si>
  <si>
    <t>AVEVA MES</t>
  </si>
  <si>
    <t>Christine Larson</t>
  </si>
  <si>
    <t>Michelle Davis</t>
  </si>
  <si>
    <t>Dassault DELMIA</t>
  </si>
  <si>
    <t>George Volkov</t>
  </si>
  <si>
    <t>Steven Nakamura</t>
  </si>
  <si>
    <t>Oracle Manufacturing Cloud</t>
  </si>
  <si>
    <t>Deborah Nash</t>
  </si>
  <si>
    <t>Teresa Gonzalez</t>
  </si>
  <si>
    <t>Plex Smart Manufacturing</t>
  </si>
  <si>
    <t>Harold Chen</t>
  </si>
  <si>
    <t>Bruce Thompson</t>
  </si>
  <si>
    <t>Epicor Kinetic</t>
  </si>
  <si>
    <t>Monica Fernandez</t>
  </si>
  <si>
    <t>Angela Park</t>
  </si>
  <si>
    <t>Infor CloudSuite Industrial</t>
  </si>
  <si>
    <t>Russell White</t>
  </si>
  <si>
    <t>Douglas Chen</t>
  </si>
  <si>
    <t>QAD Adaptive ERP</t>
  </si>
  <si>
    <t>Janet Kowalski</t>
  </si>
  <si>
    <t>Carolyn Reed</t>
  </si>
  <si>
    <t>ServiceNow ITSM</t>
  </si>
  <si>
    <t>Christopher Blake</t>
  </si>
  <si>
    <t>Jeffrey Kumar</t>
  </si>
  <si>
    <t>BMC Remedy</t>
  </si>
  <si>
    <t>Elizabeth Morgan</t>
  </si>
  <si>
    <t>Stephanie Liu</t>
  </si>
  <si>
    <t>Jira Service Management</t>
  </si>
  <si>
    <t>Joseph Turner</t>
  </si>
  <si>
    <t>Robert Chang</t>
  </si>
  <si>
    <t>Splunk Enterprise</t>
  </si>
  <si>
    <t>Margaret Sullivan</t>
  </si>
  <si>
    <t>Karen Patel</t>
  </si>
  <si>
    <t>Dynatrace</t>
  </si>
  <si>
    <t>Raymond Diaz</t>
  </si>
  <si>
    <t>Brian Yamamoto</t>
  </si>
  <si>
    <t>New Relic</t>
  </si>
  <si>
    <t>Pamela Anderson</t>
  </si>
  <si>
    <t>Lisa Hernandez</t>
  </si>
  <si>
    <t>PagerDuty</t>
  </si>
  <si>
    <t>Timothy Foster</t>
  </si>
  <si>
    <t>Scott McKenzie</t>
  </si>
  <si>
    <t>Datadog</t>
  </si>
  <si>
    <t>Diane Wilson</t>
  </si>
  <si>
    <t>Nicole Chen</t>
  </si>
  <si>
    <t>Ansible Tower</t>
  </si>
  <si>
    <t>Gary Martinez</t>
  </si>
  <si>
    <t>Adam Roberts</t>
  </si>
  <si>
    <t>Terraform Enterprise</t>
  </si>
  <si>
    <t>Barbara Collins</t>
  </si>
  <si>
    <t>Katherine Wong</t>
  </si>
  <si>
    <t>Workday HCM</t>
  </si>
  <si>
    <t>Daniel Crawford</t>
  </si>
  <si>
    <t>Nicholas Chen</t>
  </si>
  <si>
    <t>SAP SuccessFactors</t>
  </si>
  <si>
    <t>Susan Perry</t>
  </si>
  <si>
    <t>Oracle HCM Cloud</t>
  </si>
  <si>
    <t>William Hughes</t>
  </si>
  <si>
    <t>Jonathan Park</t>
  </si>
  <si>
    <t>ADP Workforce Now</t>
  </si>
  <si>
    <t>Dorothy Barnes</t>
  </si>
  <si>
    <t>Christine Lee</t>
  </si>
  <si>
    <t>UKG Pro</t>
  </si>
  <si>
    <t>Frank Reynolds</t>
  </si>
  <si>
    <t>Gregory Wang</t>
  </si>
  <si>
    <t>Ceridian Dayforce</t>
  </si>
  <si>
    <t>Helen Stewart</t>
  </si>
  <si>
    <t>Melissa Johnson</t>
  </si>
  <si>
    <t>BambooHR</t>
  </si>
  <si>
    <t>Keith Nelson</t>
  </si>
  <si>
    <t>Eric Tanaka</t>
  </si>
  <si>
    <t>Cornerstone OnDemand</t>
  </si>
  <si>
    <t>Gloria Ramirez</t>
  </si>
  <si>
    <t>Patricia Kim</t>
  </si>
  <si>
    <t>Greenhouse</t>
  </si>
  <si>
    <t>Ronald Cooper</t>
  </si>
  <si>
    <t>Howard Lin</t>
  </si>
  <si>
    <t>LinkedIn Talent Solutions</t>
  </si>
  <si>
    <t>Ruth Simmons</t>
  </si>
  <si>
    <t>Sandra Mitchell</t>
  </si>
  <si>
    <t>Thomson Reuters Legal Tracker</t>
  </si>
  <si>
    <t>Howard Blackwell</t>
  </si>
  <si>
    <t>Jeremy Thompson</t>
  </si>
  <si>
    <t>Mitratech TeamConnect</t>
  </si>
  <si>
    <t>Cynthia Drake</t>
  </si>
  <si>
    <t>Kimberly Chen</t>
  </si>
  <si>
    <t>Wolters Kluwer ELM Solutions</t>
  </si>
  <si>
    <t>Vincent Marshall</t>
  </si>
  <si>
    <t>Patrick Sullivan</t>
  </si>
  <si>
    <t>ContractPodAi</t>
  </si>
  <si>
    <t>Evelyn Rhodes</t>
  </si>
  <si>
    <t>Diana Wong</t>
  </si>
  <si>
    <t>Ironclad</t>
  </si>
  <si>
    <t>Lawrence Griffin</t>
  </si>
  <si>
    <t>Raymond Lee</t>
  </si>
  <si>
    <t>DocuSign CLM</t>
  </si>
  <si>
    <t>Judith Palmer</t>
  </si>
  <si>
    <t>Vanessa Garcia</t>
  </si>
  <si>
    <t>Conga Contracts</t>
  </si>
  <si>
    <t>Stanley Cross</t>
  </si>
  <si>
    <t>Derek Martin</t>
  </si>
  <si>
    <t>Agiloft CLM</t>
  </si>
  <si>
    <t>Marilyn Webb</t>
  </si>
  <si>
    <t>Julie Park</t>
  </si>
  <si>
    <t>SimpleLegal</t>
  </si>
  <si>
    <t>Leonard Foster</t>
  </si>
  <si>
    <t>Marcus Davis</t>
  </si>
  <si>
    <t>Onit</t>
  </si>
  <si>
    <t>Theresa Quinn</t>
  </si>
  <si>
    <t>Eleanor Kim</t>
  </si>
  <si>
    <t>CrowdStrike Falcon</t>
  </si>
  <si>
    <t>Charles Hamilton</t>
  </si>
  <si>
    <t>Donald Chen</t>
  </si>
  <si>
    <t>Palo Alto Cortex XDR</t>
  </si>
  <si>
    <t>Nancy Porter</t>
  </si>
  <si>
    <t>Sarah Yamamoto</t>
  </si>
  <si>
    <t>Splunk SIEM</t>
  </si>
  <si>
    <t>Franklin Shaw</t>
  </si>
  <si>
    <t>Bruce Lee</t>
  </si>
  <si>
    <t>Microsoft Sentinel</t>
  </si>
  <si>
    <t>Joan Mitchell</t>
  </si>
  <si>
    <t>Michelle Patel</t>
  </si>
  <si>
    <t>Okta Identity Cloud</t>
  </si>
  <si>
    <t>Gerald Davidson</t>
  </si>
  <si>
    <t>Victor Wang</t>
  </si>
  <si>
    <t>CyberArk PAM</t>
  </si>
  <si>
    <t>Alice Brennan</t>
  </si>
  <si>
    <t>Cynthia Kim</t>
  </si>
  <si>
    <t>Qualys VMDR</t>
  </si>
  <si>
    <t>Eugene Watts</t>
  </si>
  <si>
    <t>Arthur Santos</t>
  </si>
  <si>
    <t>Tenable.io</t>
  </si>
  <si>
    <t>Marie Coleman</t>
  </si>
  <si>
    <t>Linda Nguyen</t>
  </si>
  <si>
    <t>Zscaler</t>
  </si>
  <si>
    <t>Henry Sutton</t>
  </si>
  <si>
    <t>Norman Park</t>
  </si>
  <si>
    <t>Proofpoint</t>
  </si>
  <si>
    <t>Grace Hartley</t>
  </si>
  <si>
    <t>Betty Liu</t>
  </si>
  <si>
    <t>User ID</t>
  </si>
  <si>
    <t>Name</t>
  </si>
  <si>
    <t>Email</t>
  </si>
  <si>
    <t>Manager</t>
  </si>
  <si>
    <t>Access Level</t>
  </si>
  <si>
    <t>Last Login</t>
  </si>
  <si>
    <t>USR-001</t>
  </si>
  <si>
    <t>Alex Rivera</t>
  </si>
  <si>
    <t>alex.rivera@company.com</t>
  </si>
  <si>
    <t>CTO Office</t>
  </si>
  <si>
    <t>USR-002</t>
  </si>
  <si>
    <t>Jordan Lee</t>
  </si>
  <si>
    <t>jordan.lee@company.com</t>
  </si>
  <si>
    <t>USR-003</t>
  </si>
  <si>
    <t>Casey Chen</t>
  </si>
  <si>
    <t>casey.chen@company.com</t>
  </si>
  <si>
    <t>USR-004</t>
  </si>
  <si>
    <t>Morgan Taylor</t>
  </si>
  <si>
    <t>morgan.taylor@company.com</t>
  </si>
  <si>
    <t>USR-005</t>
  </si>
  <si>
    <t>Jamie Patel</t>
  </si>
  <si>
    <t>jamie.patel@company.com</t>
  </si>
  <si>
    <t>USR-006</t>
  </si>
  <si>
    <t>Riley Kim</t>
  </si>
  <si>
    <t>riley.kim@company.com</t>
  </si>
  <si>
    <t>USR-007</t>
  </si>
  <si>
    <t>Quinn Johnson</t>
  </si>
  <si>
    <t>quinn.johnson@company.com</t>
  </si>
  <si>
    <t>USR-008</t>
  </si>
  <si>
    <t>Avery Williams</t>
  </si>
  <si>
    <t>avery.williams@company.com</t>
  </si>
  <si>
    <t>USR-009</t>
  </si>
  <si>
    <t>Drew Martinez</t>
  </si>
  <si>
    <t>drew.martinez@company.com</t>
  </si>
  <si>
    <t>USR-010</t>
  </si>
  <si>
    <t>Cameron Brown</t>
  </si>
  <si>
    <t>cameron.brown@company.com</t>
  </si>
  <si>
    <t>USR-011</t>
  </si>
  <si>
    <t>Taylor Singh</t>
  </si>
  <si>
    <t>taylor.singh@company.com</t>
  </si>
  <si>
    <t>USR-012</t>
  </si>
  <si>
    <t>Blake Thompson</t>
  </si>
  <si>
    <t>blake.thompson@company.com</t>
  </si>
  <si>
    <t>USR-013</t>
  </si>
  <si>
    <t>Sam Anderson</t>
  </si>
  <si>
    <t>sam.anderson@company.com</t>
  </si>
  <si>
    <t>QA Director</t>
  </si>
  <si>
    <t>USR-014</t>
  </si>
  <si>
    <t>Chris Park</t>
  </si>
  <si>
    <t>chris.park@company.com</t>
  </si>
  <si>
    <t>USR-015</t>
  </si>
  <si>
    <t>Pat Murphy</t>
  </si>
  <si>
    <t>pat.murphy@company.com</t>
  </si>
  <si>
    <t>USR-016</t>
  </si>
  <si>
    <t>Jesse Garcia</t>
  </si>
  <si>
    <t>jesse.garcia@company.com</t>
  </si>
  <si>
    <t>USR-017</t>
  </si>
  <si>
    <t>Robin Chen</t>
  </si>
  <si>
    <t>robin.chen@company.com</t>
  </si>
  <si>
    <t>USR-018</t>
  </si>
  <si>
    <t>Dana Wilson</t>
  </si>
  <si>
    <t>dana.wilson@company.com</t>
  </si>
  <si>
    <t>USR-019</t>
  </si>
  <si>
    <t>Kelly Nguyen</t>
  </si>
  <si>
    <t>kelly.nguyen@company.com</t>
  </si>
  <si>
    <t>USR-020</t>
  </si>
  <si>
    <t>Terry Brooks</t>
  </si>
  <si>
    <t>terry.brooks@company.com</t>
  </si>
  <si>
    <t>USR-021</t>
  </si>
  <si>
    <t>Skyler Davis</t>
  </si>
  <si>
    <t>skyler.davis@company.com</t>
  </si>
  <si>
    <t>USR-022</t>
  </si>
  <si>
    <t>Jordan Reed</t>
  </si>
  <si>
    <t>jordan.reed@company.com</t>
  </si>
  <si>
    <t>USR-023</t>
  </si>
  <si>
    <t>Alex Foster</t>
  </si>
  <si>
    <t>alex.foster@company.com</t>
  </si>
  <si>
    <t>USR-024</t>
  </si>
  <si>
    <t>Morgan Hayes</t>
  </si>
  <si>
    <t>morgan.hayes@company.com</t>
  </si>
  <si>
    <t>USR-025</t>
  </si>
  <si>
    <t>rachel.green@company.com</t>
  </si>
  <si>
    <t>Business Ops</t>
  </si>
  <si>
    <t>BA Manager</t>
  </si>
  <si>
    <t>USR-026</t>
  </si>
  <si>
    <t>Monica Geller</t>
  </si>
  <si>
    <t>monica.geller@company.com</t>
  </si>
  <si>
    <t>USR-027</t>
  </si>
  <si>
    <t>Phoebe Buffay</t>
  </si>
  <si>
    <t>phoebe.buffay@company.com</t>
  </si>
  <si>
    <t>USR-028</t>
  </si>
  <si>
    <t>Emma Watson</t>
  </si>
  <si>
    <t>emma.watson@company.com</t>
  </si>
  <si>
    <t>USR-029</t>
  </si>
  <si>
    <t>Sophie Turner</t>
  </si>
  <si>
    <t>sophie.turner@company.com</t>
  </si>
  <si>
    <t>USR-030</t>
  </si>
  <si>
    <t>Mia Collins</t>
  </si>
  <si>
    <t>mia.collins@company.com</t>
  </si>
  <si>
    <t>USR-031</t>
  </si>
  <si>
    <t>Isabella Moore</t>
  </si>
  <si>
    <t>isabella.moore@company.com</t>
  </si>
  <si>
    <t>USR-032</t>
  </si>
  <si>
    <t>Olivia James</t>
  </si>
  <si>
    <t>olivia.james@company.com</t>
  </si>
  <si>
    <t>USR-033</t>
  </si>
  <si>
    <t>Ava Mitchell</t>
  </si>
  <si>
    <t>ava.mitchell@company.com</t>
  </si>
  <si>
    <t>USR-034</t>
  </si>
  <si>
    <t>Charlotte Price</t>
  </si>
  <si>
    <t>charlotte.price@company.com</t>
  </si>
  <si>
    <t>USR-035</t>
  </si>
  <si>
    <t>Amelia Scott</t>
  </si>
  <si>
    <t>amelia.scott@company.com</t>
  </si>
  <si>
    <t>USR-036</t>
  </si>
  <si>
    <t>Harper Lewis</t>
  </si>
  <si>
    <t>harper.lewis@company.com</t>
  </si>
  <si>
    <t>USR-037</t>
  </si>
  <si>
    <t>Nathan Cole</t>
  </si>
  <si>
    <t>nathan.cole@company.com</t>
  </si>
  <si>
    <t>IT Director</t>
  </si>
  <si>
    <t>USR-038</t>
  </si>
  <si>
    <t>Ethan Black</t>
  </si>
  <si>
    <t>ethan.black@company.com</t>
  </si>
  <si>
    <t>USR-039</t>
  </si>
  <si>
    <t>Lucas White</t>
  </si>
  <si>
    <t>lucas.white@company.com</t>
  </si>
  <si>
    <t>USR-040</t>
  </si>
  <si>
    <t>Mason Gray</t>
  </si>
  <si>
    <t>mason.gray@company.com</t>
  </si>
  <si>
    <t>USR-041</t>
  </si>
  <si>
    <t>Logan Stone</t>
  </si>
  <si>
    <t>logan.stone@company.com</t>
  </si>
  <si>
    <t>USR-042</t>
  </si>
  <si>
    <t>Jacob Hill</t>
  </si>
  <si>
    <t>jacob.hill@company.com</t>
  </si>
  <si>
    <t>USR-043</t>
  </si>
  <si>
    <t>Aiden Clark</t>
  </si>
  <si>
    <t>aiden.clark@company.com</t>
  </si>
  <si>
    <t>USR-044</t>
  </si>
  <si>
    <t>Jackson Moore</t>
  </si>
  <si>
    <t>jackson.moore@company.com</t>
  </si>
  <si>
    <t>USR-045</t>
  </si>
  <si>
    <t>Sebastian Hall</t>
  </si>
  <si>
    <t>sebastian.hall@company.com</t>
  </si>
  <si>
    <t>USR-046</t>
  </si>
  <si>
    <t>Caleb Young</t>
  </si>
  <si>
    <t>caleb.young@company.com</t>
  </si>
  <si>
    <t>USR-047</t>
  </si>
  <si>
    <t>Owen King</t>
  </si>
  <si>
    <t>owen.king@company.com</t>
  </si>
  <si>
    <t>USR-048</t>
  </si>
  <si>
    <t>Liam Wright</t>
  </si>
  <si>
    <t>liam.wright@company.com</t>
  </si>
  <si>
    <t>USR-049</t>
  </si>
  <si>
    <t>Victoria Sterling</t>
  </si>
  <si>
    <t>victoria.sterling@company.com</t>
  </si>
  <si>
    <t>Operations Manager</t>
  </si>
  <si>
    <t>Operations</t>
  </si>
  <si>
    <t>VP Operations</t>
  </si>
  <si>
    <t>USR-050</t>
  </si>
  <si>
    <t>Elizabeth Crown</t>
  </si>
  <si>
    <t>elizabeth.crown@company.com</t>
  </si>
  <si>
    <t>USR-051</t>
  </si>
  <si>
    <t>Catherine Royal</t>
  </si>
  <si>
    <t>catherine.royal@company.com</t>
  </si>
  <si>
    <t>USR-052</t>
  </si>
  <si>
    <t>Margaret Noble</t>
  </si>
  <si>
    <t>margaret.noble@company.com</t>
  </si>
  <si>
    <t>USR-053</t>
  </si>
  <si>
    <t>Diana Prince</t>
  </si>
  <si>
    <t>diana.prince@company.com</t>
  </si>
  <si>
    <t>USR-054</t>
  </si>
  <si>
    <t>Helena Troy</t>
  </si>
  <si>
    <t>helena.troy@company.com</t>
  </si>
  <si>
    <t>USR-055</t>
  </si>
  <si>
    <t>Sophia Grace</t>
  </si>
  <si>
    <t>sophia.grace@company.com</t>
  </si>
  <si>
    <t>USR-056</t>
  </si>
  <si>
    <t>Alexandra Reid</t>
  </si>
  <si>
    <t>alexandra.reid@company.com</t>
  </si>
  <si>
    <t>USR-057</t>
  </si>
  <si>
    <t>Christina Vale</t>
  </si>
  <si>
    <t>christina.vale@company.com</t>
  </si>
  <si>
    <t>USR-058</t>
  </si>
  <si>
    <t>Natasha Roman</t>
  </si>
  <si>
    <t>natasha.roman@company.com</t>
  </si>
  <si>
    <t>USR-059</t>
  </si>
  <si>
    <t>Amanda Cross</t>
  </si>
  <si>
    <t>amanda.cross@company.com</t>
  </si>
  <si>
    <t>USR-060</t>
  </si>
  <si>
    <t>Rebecca Stone</t>
  </si>
  <si>
    <t>rebecca.stone@company.com</t>
  </si>
  <si>
    <t>USR-061</t>
  </si>
  <si>
    <t>Robert Shield</t>
  </si>
  <si>
    <t>robert.shield@company.com</t>
  </si>
  <si>
    <t>Infrastructure Lead</t>
  </si>
  <si>
    <t>Infra Director</t>
  </si>
  <si>
    <t>USR-062</t>
  </si>
  <si>
    <t>William Guard</t>
  </si>
  <si>
    <t>william.guard@company.com</t>
  </si>
  <si>
    <t>USR-063</t>
  </si>
  <si>
    <t>James Fortress</t>
  </si>
  <si>
    <t>james.fortress@company.com</t>
  </si>
  <si>
    <t>USR-064</t>
  </si>
  <si>
    <t>Michael Bastion</t>
  </si>
  <si>
    <t>michael.bastion@company.com</t>
  </si>
  <si>
    <t>USR-065</t>
  </si>
  <si>
    <t>David Tower</t>
  </si>
  <si>
    <t>david.tower@company.com</t>
  </si>
  <si>
    <t>USR-066</t>
  </si>
  <si>
    <t>Richard Wall</t>
  </si>
  <si>
    <t>richard.wall@company.com</t>
  </si>
  <si>
    <t>USR-067</t>
  </si>
  <si>
    <t>Thomas Castle</t>
  </si>
  <si>
    <t>thomas.castle@company.com</t>
  </si>
  <si>
    <t>USR-068</t>
  </si>
  <si>
    <t>Charles Vault</t>
  </si>
  <si>
    <t>charles.vault@company.com</t>
  </si>
  <si>
    <t>USR-069</t>
  </si>
  <si>
    <t>Daniel Bunker</t>
  </si>
  <si>
    <t>daniel.bunker@company.com</t>
  </si>
  <si>
    <t>USR-070</t>
  </si>
  <si>
    <t>Matthew Haven</t>
  </si>
  <si>
    <t>matthew.haven@company.com</t>
  </si>
  <si>
    <t>USR-071</t>
  </si>
  <si>
    <t>Anthony Secure</t>
  </si>
  <si>
    <t>anthony.secure@company.com</t>
  </si>
  <si>
    <t>USR-072</t>
  </si>
  <si>
    <t>Mark Backup</t>
  </si>
  <si>
    <t>mark.backup@company.com</t>
  </si>
  <si>
    <t>USR-073</t>
  </si>
  <si>
    <t>sarah.mitchell@company.com</t>
  </si>
  <si>
    <t>Finance Director</t>
  </si>
  <si>
    <t>USR-074</t>
  </si>
  <si>
    <t>david.chen@company.com</t>
  </si>
  <si>
    <t>USR-075</t>
  </si>
  <si>
    <t>brian.murphy@company.com</t>
  </si>
  <si>
    <t>Logistics Director</t>
  </si>
  <si>
    <t>USR-076</t>
  </si>
  <si>
    <t>matthew.clarke@company.com</t>
  </si>
  <si>
    <t>Sales Director</t>
  </si>
  <si>
    <t>USR-077</t>
  </si>
  <si>
    <t>richard.hoffman@company.com</t>
  </si>
  <si>
    <t>Mfg Director</t>
  </si>
  <si>
    <t>USR-078</t>
  </si>
  <si>
    <t>christopher.blake@company.com</t>
  </si>
  <si>
    <t>USR-079</t>
  </si>
  <si>
    <t>daniel.crawford@company.com</t>
  </si>
  <si>
    <t>HR Director</t>
  </si>
  <si>
    <t>USR-080</t>
  </si>
  <si>
    <t>howard.blackwell@company.com</t>
  </si>
  <si>
    <t>Legal Director</t>
  </si>
  <si>
    <t>USR-081</t>
  </si>
  <si>
    <t>charles.hamilton@company.com</t>
  </si>
  <si>
    <t>CISO</t>
  </si>
  <si>
    <t>USR-082</t>
  </si>
  <si>
    <t>james.wilson@company.com</t>
  </si>
  <si>
    <t>App Owner</t>
  </si>
  <si>
    <t>USR-083</t>
  </si>
  <si>
    <t>marcus.johnson@company.com</t>
  </si>
  <si>
    <t>USR-084</t>
  </si>
  <si>
    <t>carlos.mendez@company.com</t>
  </si>
  <si>
    <t>USR-085</t>
  </si>
  <si>
    <t>kenneth.wright@company.com</t>
  </si>
  <si>
    <t>USR-086</t>
  </si>
  <si>
    <t>jeffrey.kumar@company.com</t>
  </si>
  <si>
    <t>USR-087</t>
  </si>
  <si>
    <t>nicholas.chen@company.com</t>
  </si>
  <si>
    <t>USR-088</t>
  </si>
  <si>
    <t>Michael Sterling</t>
  </si>
  <si>
    <t>michael.sterling@company.com</t>
  </si>
  <si>
    <t>CTO</t>
  </si>
  <si>
    <t>CEO</t>
  </si>
  <si>
    <t>USR-089</t>
  </si>
  <si>
    <t>Jennifer Morrison</t>
  </si>
  <si>
    <t>jennifer.morrison@company.com</t>
  </si>
  <si>
    <t>CIO</t>
  </si>
  <si>
    <t>USR-090</t>
  </si>
  <si>
    <t>Robert Anderson</t>
  </si>
  <si>
    <t>robert.anderson@company.com</t>
  </si>
  <si>
    <t>CFO</t>
  </si>
  <si>
    <t>USR-091</t>
  </si>
  <si>
    <t>Linda Prescott</t>
  </si>
  <si>
    <t>linda.prescott@company.com</t>
  </si>
  <si>
    <t>VP Engineering</t>
  </si>
  <si>
    <t>USR-092</t>
  </si>
  <si>
    <t>Thomas Reynolds</t>
  </si>
  <si>
    <t>thomas.reynolds@company.com</t>
  </si>
  <si>
    <t>COO</t>
  </si>
  <si>
    <t>USR-093</t>
  </si>
  <si>
    <t>emily.zhang@company.com</t>
  </si>
  <si>
    <t>Senior Developer</t>
  </si>
  <si>
    <t>Dev Manager</t>
  </si>
  <si>
    <t>USR-094</t>
  </si>
  <si>
    <t>michael.brown@company.com</t>
  </si>
  <si>
    <t>USR-095</t>
  </si>
  <si>
    <t>priya.sharma@company.com</t>
  </si>
  <si>
    <t>Database Admin</t>
  </si>
  <si>
    <t>Infra Lead</t>
  </si>
  <si>
    <t>USR-096</t>
  </si>
  <si>
    <t>angela.liu@company.com</t>
  </si>
  <si>
    <t>Systems Analyst</t>
  </si>
  <si>
    <t>USR-097</t>
  </si>
  <si>
    <t>ryan.cooper@company.com</t>
  </si>
  <si>
    <t>DevOps Engineer</t>
  </si>
  <si>
    <t>USR-098</t>
  </si>
  <si>
    <t>jessica.nguyen@company.com</t>
  </si>
  <si>
    <t>Security Analyst</t>
  </si>
  <si>
    <t>USR-099</t>
  </si>
  <si>
    <t>brandon.lee@company.com</t>
  </si>
  <si>
    <t>Network Engineer</t>
  </si>
  <si>
    <t>USR-100</t>
  </si>
  <si>
    <t>michelle.davis@company.com</t>
  </si>
  <si>
    <t>Project Manager</t>
  </si>
  <si>
    <t>PMO</t>
  </si>
  <si>
    <t>PMO Director</t>
  </si>
  <si>
    <t>USR-101</t>
  </si>
  <si>
    <t>Conflict Resolution Specialist</t>
  </si>
  <si>
    <t>Release Director</t>
  </si>
  <si>
    <t>USR-102</t>
  </si>
  <si>
    <t>Marcus Chen</t>
  </si>
  <si>
    <t>marcus.chen@company.com</t>
  </si>
  <si>
    <t>USR-103</t>
  </si>
  <si>
    <t>Diana Foster</t>
  </si>
  <si>
    <t>diana.foster@company.com</t>
  </si>
  <si>
    <t>USR-104</t>
  </si>
  <si>
    <t>Kevin Walsh</t>
  </si>
  <si>
    <t>kevin.walsh@company.com</t>
  </si>
  <si>
    <t>🔍 FILTERS</t>
  </si>
  <si>
    <t>Time Period:</t>
  </si>
  <si>
    <t>All Time</t>
  </si>
  <si>
    <t>Department:</t>
  </si>
  <si>
    <t>All</t>
  </si>
  <si>
    <t>Application:</t>
  </si>
  <si>
    <t>Conflict:</t>
  </si>
  <si>
    <t>💡 Select filters above to highlight matching bookings</t>
  </si>
  <si>
    <t>Showing:</t>
  </si>
  <si>
    <t>Booking ID</t>
  </si>
  <si>
    <t>Release Size</t>
  </si>
  <si>
    <t>Test End</t>
  </si>
  <si>
    <t>UAT Env</t>
  </si>
  <si>
    <t>UAT Start</t>
  </si>
  <si>
    <t>UAT End</t>
  </si>
  <si>
    <t>Pre-Prod Env</t>
  </si>
  <si>
    <t>Pre-Prod Start</t>
  </si>
  <si>
    <t>Pre-Prod End</t>
  </si>
  <si>
    <t>Conflict Flag</t>
  </si>
  <si>
    <t>Environment Conflict ID</t>
  </si>
  <si>
    <t>ENV-0001</t>
  </si>
  <si>
    <t>FIN-TEST-01</t>
  </si>
  <si>
    <t>FIN-UAT-01</t>
  </si>
  <si>
    <t>FIN-PREPROD-01</t>
  </si>
  <si>
    <t>⚠️ CONFLICT</t>
  </si>
  <si>
    <t>Resource conflict with REL-0003 - Same Test/UAT env required</t>
  </si>
  <si>
    <t>CNF-0001</t>
  </si>
  <si>
    <t>ENV-0002</t>
  </si>
  <si>
    <t>LOG-TEST-01</t>
  </si>
  <si>
    <t>LOG-UAT-01</t>
  </si>
  <si>
    <t>LOG-PREPROD-01</t>
  </si>
  <si>
    <t>Executive sponsor: CFO</t>
  </si>
  <si>
    <t>ENV-0003</t>
  </si>
  <si>
    <t>CRM-PREPROD-01</t>
  </si>
  <si>
    <t>Resource conflict with REL-0007 - Same Test/UAT env required</t>
  </si>
  <si>
    <t>ENV-0004</t>
  </si>
  <si>
    <t>MAN-TEST-03</t>
  </si>
  <si>
    <t>MAN-UAT-01</t>
  </si>
  <si>
    <t>Blackout period consideration</t>
  </si>
  <si>
    <t>ENV-0005</t>
  </si>
  <si>
    <t>IT-TEST-01</t>
  </si>
  <si>
    <t>IT-UAT-01</t>
  </si>
  <si>
    <t>IT-PREPROD-01</t>
  </si>
  <si>
    <t>CNF-0003</t>
  </si>
  <si>
    <t>ENV-0006</t>
  </si>
  <si>
    <t>HR-TEST-01</t>
  </si>
  <si>
    <t>HR-UAT-01</t>
  </si>
  <si>
    <t>HR-PREPROD-01</t>
  </si>
  <si>
    <t>Integration testing with downstream systems</t>
  </si>
  <si>
    <t>ENV-0007</t>
  </si>
  <si>
    <t>LEG-PREPROD-01</t>
  </si>
  <si>
    <t>Resource conflict with REL-0012 - Same Test/UAT env required</t>
  </si>
  <si>
    <t>ENV-0008</t>
  </si>
  <si>
    <t>SEC-TEST-01</t>
  </si>
  <si>
    <t>SEC-UAT-02</t>
  </si>
  <si>
    <t>SEC-PREPROD-01</t>
  </si>
  <si>
    <t>Data migration included</t>
  </si>
  <si>
    <t>ENV-0009</t>
  </si>
  <si>
    <t>FIN-TEST-03</t>
  </si>
  <si>
    <t>Resource conflict with REL-0014 - Same Test/UAT env required</t>
  </si>
  <si>
    <t>CNF-0005</t>
  </si>
  <si>
    <t>ENV-0010</t>
  </si>
  <si>
    <t>ENV-0011</t>
  </si>
  <si>
    <t>CRM-TEST-02</t>
  </si>
  <si>
    <t>CRM-UAT-01</t>
  </si>
  <si>
    <t>CNF-0006</t>
  </si>
  <si>
    <t>ENV-0012</t>
  </si>
  <si>
    <t>CNF-0004</t>
  </si>
  <si>
    <t>ENV-0013</t>
  </si>
  <si>
    <t>REL-0013</t>
  </si>
  <si>
    <t>IT-TEST-03</t>
  </si>
  <si>
    <t>Resource conflict with REL-0015 - Same Test/UAT env required</t>
  </si>
  <si>
    <t>CNF-0007</t>
  </si>
  <si>
    <t>ENV-0014</t>
  </si>
  <si>
    <t>REL-0014</t>
  </si>
  <si>
    <t>Resource conflict with REL-0011 - Same Test/UAT env required</t>
  </si>
  <si>
    <t>ENV-0015</t>
  </si>
  <si>
    <t>REL-0015</t>
  </si>
  <si>
    <t>Resource conflict with REL-0017 - Same Test/UAT env required</t>
  </si>
  <si>
    <t>ENV-0016</t>
  </si>
  <si>
    <t>REL-0016</t>
  </si>
  <si>
    <t>Change Advisory Board approval needed</t>
  </si>
  <si>
    <t>ENV-0017</t>
  </si>
  <si>
    <t>REL-0017</t>
  </si>
  <si>
    <t>Resource conflict with REL-0022 - Same Test/UAT env required</t>
  </si>
  <si>
    <t>ENV-0018</t>
  </si>
  <si>
    <t>REL-0018</t>
  </si>
  <si>
    <t>LOG-TEST-03</t>
  </si>
  <si>
    <t>LOG-UAT-02</t>
  </si>
  <si>
    <t>Audit finding remediation</t>
  </si>
  <si>
    <t>ENV-0019</t>
  </si>
  <si>
    <t>REL-0019</t>
  </si>
  <si>
    <t>CRM-TEST-01</t>
  </si>
  <si>
    <t>CRM-UAT-02</t>
  </si>
  <si>
    <t>Resource conflict with REL-0021 - Same Test/UAT env required</t>
  </si>
  <si>
    <t>CNF-0009</t>
  </si>
  <si>
    <t>ENV-0020</t>
  </si>
  <si>
    <t>REL-0020</t>
  </si>
  <si>
    <t>Holiday freeze exception requested</t>
  </si>
  <si>
    <t>ENV-0021</t>
  </si>
  <si>
    <t>REL-0021</t>
  </si>
  <si>
    <t>Resource conflict with REL-0026 - Same Test/UAT env required</t>
  </si>
  <si>
    <t>ENV-0022</t>
  </si>
  <si>
    <t>REL-0022</t>
  </si>
  <si>
    <t>CNF-0010</t>
  </si>
  <si>
    <t>ENV-0023</t>
  </si>
  <si>
    <t>REL-0023</t>
  </si>
  <si>
    <t>LEG-TEST-02</t>
  </si>
  <si>
    <t>LEG-UAT-02</t>
  </si>
  <si>
    <t>Resource conflict with REL-0027 - Same Test/UAT env required</t>
  </si>
  <si>
    <t>CNF-0012</t>
  </si>
  <si>
    <t>ENV-0024</t>
  </si>
  <si>
    <t>REL-0024</t>
  </si>
  <si>
    <t>Security review pending</t>
  </si>
  <si>
    <t>ENV-0025</t>
  </si>
  <si>
    <t>REL-0025</t>
  </si>
  <si>
    <t>FIN-UAT-02</t>
  </si>
  <si>
    <t>DR sync required post-deployment</t>
  </si>
  <si>
    <t>ENV-0026</t>
  </si>
  <si>
    <t>REL-0026</t>
  </si>
  <si>
    <t>CNF-0011</t>
  </si>
  <si>
    <t>ENV-0027</t>
  </si>
  <si>
    <t>REL-0027</t>
  </si>
  <si>
    <t>Resource conflict with REL-0023 - Same Test/UAT env required</t>
  </si>
  <si>
    <t>ENV-0028</t>
  </si>
  <si>
    <t>REL-0028</t>
  </si>
  <si>
    <t>Critical for Q3 financial close</t>
  </si>
  <si>
    <t>ENV-0029</t>
  </si>
  <si>
    <t>REL-0029</t>
  </si>
  <si>
    <t>Dependencies on infrastructure team</t>
  </si>
  <si>
    <t>ENV-0030</t>
  </si>
  <si>
    <t>REL-0030</t>
  </si>
  <si>
    <t>HR-TEST-02</t>
  </si>
  <si>
    <t>Dependent on vendor patch delivery</t>
  </si>
  <si>
    <t>ENV-0031</t>
  </si>
  <si>
    <t>REL-0031</t>
  </si>
  <si>
    <t>Executive sponsor: CIO</t>
  </si>
  <si>
    <t>ENV-0032</t>
  </si>
  <si>
    <t>REL-0032</t>
  </si>
  <si>
    <t>ENV-0033</t>
  </si>
  <si>
    <t>REL-0033</t>
  </si>
  <si>
    <t>ENV-0034</t>
  </si>
  <si>
    <t>REL-0034</t>
  </si>
  <si>
    <t>ENV-0035</t>
  </si>
  <si>
    <t>REL-0035</t>
  </si>
  <si>
    <t>ENV-0036</t>
  </si>
  <si>
    <t>REL-0036</t>
  </si>
  <si>
    <t>ENV-0037</t>
  </si>
  <si>
    <t>REL-0037</t>
  </si>
  <si>
    <t>IT-UAT-02</t>
  </si>
  <si>
    <t>Customer-facing impact - coordinate with support</t>
  </si>
  <si>
    <t>ENV-0038</t>
  </si>
  <si>
    <t>REL-0038</t>
  </si>
  <si>
    <t>HR-UAT-02</t>
  </si>
  <si>
    <t>ENV-0039</t>
  </si>
  <si>
    <t>REL-0039</t>
  </si>
  <si>
    <t>LEG-TEST-03</t>
  </si>
  <si>
    <t>LEG-UAT-01</t>
  </si>
  <si>
    <t>ENV-0040</t>
  </si>
  <si>
    <t>REL-0040</t>
  </si>
  <si>
    <t>SEC-TEST-03</t>
  </si>
  <si>
    <t>ENV-0041</t>
  </si>
  <si>
    <t>REL-0041</t>
  </si>
  <si>
    <t>Resource conflict with REL-0043 - Overlapping Test/UAT window</t>
  </si>
  <si>
    <t>CNF-0013</t>
  </si>
  <si>
    <t>ENV-0042</t>
  </si>
  <si>
    <t>REL-0042</t>
  </si>
  <si>
    <t>ENV-0043</t>
  </si>
  <si>
    <t>REL-0043</t>
  </si>
  <si>
    <t>Resource conflict with REL-0041 - Overlapping Test/UAT window</t>
  </si>
  <si>
    <t>ENV-0044</t>
  </si>
  <si>
    <t>REL-0044</t>
  </si>
  <si>
    <t>MAN-TEST-01</t>
  </si>
  <si>
    <t>License renewal dependency</t>
  </si>
  <si>
    <t>ENV-0045</t>
  </si>
  <si>
    <t>REL-0045</t>
  </si>
  <si>
    <t>ENV-0046</t>
  </si>
  <si>
    <t>REL-0046</t>
  </si>
  <si>
    <t>HR-TEST-03</t>
  </si>
  <si>
    <t>ENV-0047</t>
  </si>
  <si>
    <t>REL-0047</t>
  </si>
  <si>
    <t>ENV-0048</t>
  </si>
  <si>
    <t>REL-0048</t>
  </si>
  <si>
    <t>SEC-UAT-01</t>
  </si>
  <si>
    <t>External vendor coordination needed</t>
  </si>
  <si>
    <t>ENV-0049</t>
  </si>
  <si>
    <t>REL-0049</t>
  </si>
  <si>
    <t>FIN-TEST-02</t>
  </si>
  <si>
    <t>ENV-0050</t>
  </si>
  <si>
    <t>REL-0050</t>
  </si>
  <si>
    <t>ENV-0051</t>
  </si>
  <si>
    <t>REL-0051</t>
  </si>
  <si>
    <t>CRM-TEST-03</t>
  </si>
  <si>
    <t>Requires weekend deployment window</t>
  </si>
  <si>
    <t>ENV-0052</t>
  </si>
  <si>
    <t>REL-0052</t>
  </si>
  <si>
    <t>ENV-0053</t>
  </si>
  <si>
    <t>REL-0053</t>
  </si>
  <si>
    <t>ENV-0054</t>
  </si>
  <si>
    <t>REL-0054</t>
  </si>
  <si>
    <t>Training materials to be updated</t>
  </si>
  <si>
    <t>ENV-0055</t>
  </si>
  <si>
    <t>REL-0055</t>
  </si>
  <si>
    <t>Rollback plan required</t>
  </si>
  <si>
    <t>ENV-0056</t>
  </si>
  <si>
    <t>REL-0056</t>
  </si>
  <si>
    <t>Resource conflict with REL-0058 - Overlapping Test/UAT window</t>
  </si>
  <si>
    <t>CNF-0014</t>
  </si>
  <si>
    <t>ENV-0057</t>
  </si>
  <si>
    <t>REL-0057</t>
  </si>
  <si>
    <t>ENV-0058</t>
  </si>
  <si>
    <t>REL-0058</t>
  </si>
  <si>
    <t>Resource conflict with REL-0056 - Overlapping Test/UAT window</t>
  </si>
  <si>
    <t>ENV-0059</t>
  </si>
  <si>
    <t>REL-0059</t>
  </si>
  <si>
    <t>ENV-0060</t>
  </si>
  <si>
    <t>REL-0060</t>
  </si>
  <si>
    <t>MAN-TEST-02</t>
  </si>
  <si>
    <t>MAN-UAT-02</t>
  </si>
  <si>
    <t>Performance testing mandatory</t>
  </si>
  <si>
    <t>ENV-0061</t>
  </si>
  <si>
    <t>REL-0061</t>
  </si>
  <si>
    <t>IT-TEST-02</t>
  </si>
  <si>
    <t>ENV-0062</t>
  </si>
  <si>
    <t>REL-0062</t>
  </si>
  <si>
    <t>ENV-0063</t>
  </si>
  <si>
    <t>REL-0063</t>
  </si>
  <si>
    <t>LEG-TEST-01</t>
  </si>
  <si>
    <t>Business continuity testing required</t>
  </si>
  <si>
    <t>ENV-0064</t>
  </si>
  <si>
    <t>REL-0064</t>
  </si>
  <si>
    <t>ENV-0065</t>
  </si>
  <si>
    <t>REL-0065</t>
  </si>
  <si>
    <t>ENV-0066</t>
  </si>
  <si>
    <t>REL-0066</t>
  </si>
  <si>
    <t>LOG-TEST-02</t>
  </si>
  <si>
    <t>Resource conflict with REL-0068 - Overlapping Test/UAT window</t>
  </si>
  <si>
    <t>CNF-0015</t>
  </si>
  <si>
    <t>ENV-0067</t>
  </si>
  <si>
    <t>REL-0067</t>
  </si>
  <si>
    <t>ENV-0068</t>
  </si>
  <si>
    <t>REL-0068</t>
  </si>
  <si>
    <t>Resource conflict with REL-0066 - Overlapping Test/UAT window</t>
  </si>
  <si>
    <t>ENV-0069</t>
  </si>
  <si>
    <t>REL-0069</t>
  </si>
  <si>
    <t>ENV-0070</t>
  </si>
  <si>
    <t>REL-0070</t>
  </si>
  <si>
    <t>ENV-0071</t>
  </si>
  <si>
    <t>REL-0071</t>
  </si>
  <si>
    <t>Resource conflict with REL-0073 - Overlapping Test/UAT window</t>
  </si>
  <si>
    <t>CNF-0016</t>
  </si>
  <si>
    <t>ENV-0072</t>
  </si>
  <si>
    <t>REL-0072</t>
  </si>
  <si>
    <t>ENV-0073</t>
  </si>
  <si>
    <t>REL-0073</t>
  </si>
  <si>
    <t>Resource conflict with REL-0071 - Overlapping Test/UAT window</t>
  </si>
  <si>
    <t>ENV-0074</t>
  </si>
  <si>
    <t>REL-0074</t>
  </si>
  <si>
    <t>ENV-0075</t>
  </si>
  <si>
    <t>REL-0075</t>
  </si>
  <si>
    <t>ENV-0076</t>
  </si>
  <si>
    <t>REL-0076</t>
  </si>
  <si>
    <t>ENV-0077</t>
  </si>
  <si>
    <t>REL-0077</t>
  </si>
  <si>
    <t>ENV-0078</t>
  </si>
  <si>
    <t>REL-0078</t>
  </si>
  <si>
    <t>Regulatory deadline driven</t>
  </si>
  <si>
    <t>ENV-0079</t>
  </si>
  <si>
    <t>REL-0079</t>
  </si>
  <si>
    <t>ENV-0080</t>
  </si>
  <si>
    <t>REL-0080</t>
  </si>
  <si>
    <t>ENVIRONMENT BOOKING SUMMARY</t>
  </si>
  <si>
    <t>Testing Phase Durations:</t>
  </si>
  <si>
    <t>• Large Releases: Test (10 days) → UAT (5 days) → Pre-Prod (4 days) → CAB (-3 days) → Prod (+2 days max)</t>
  </si>
  <si>
    <t>• Medium Releases: Test (5 days) → UAT (3 days) → Pre-Prod (2 days) → CAB (-2 days) → Prod (+1 day)</t>
  </si>
  <si>
    <t>• Small Releases: Test (3 days) → UAT (2 days) → Pre-Prod (1 day) → CAB (-2 days) → Prod (same day)</t>
  </si>
  <si>
    <t>Color Legend:</t>
  </si>
  <si>
    <t>Blue = Test Phase | Green = UAT Phase | Orange = Pre-Prod Phase | Purple = CAB Date | Peach = Prod Date | Red = Conflict</t>
  </si>
  <si>
    <t>Test Phase</t>
  </si>
  <si>
    <t>UAT Phase</t>
  </si>
  <si>
    <t>Pre-Prod Phase</t>
  </si>
  <si>
    <t>Environment Usage Statistics</t>
  </si>
  <si>
    <t>Releases with Conflicts</t>
  </si>
  <si>
    <t>Large Releases</t>
  </si>
  <si>
    <t>Medium Releases</t>
  </si>
  <si>
    <t>Small Releases</t>
  </si>
  <si>
    <t>Total Test Days Required</t>
  </si>
  <si>
    <t>CAB Meetings Required</t>
  </si>
  <si>
    <t>CHANGE FREEZE PERIODS</t>
  </si>
  <si>
    <t>Freeze Period</t>
  </si>
  <si>
    <t>Impact</t>
  </si>
  <si>
    <t>Year-End Freeze 2026</t>
  </si>
  <si>
    <t>No production deployments. Emergency hotfixes only.</t>
  </si>
  <si>
    <t>Q1 Quarter-End Freeze</t>
  </si>
  <si>
    <t>Finance close period. Limited deployments.</t>
  </si>
  <si>
    <t>Q2 Quarter-End Freeze</t>
  </si>
  <si>
    <t>📖 QUICK REFERENCE: Environment Booking (Collapsible Section for Web)</t>
  </si>
  <si>
    <t>ENVIRONMENT TYPES:</t>
  </si>
  <si>
    <t xml:space="preserve">  • DEV → Development sandbox</t>
  </si>
  <si>
    <t xml:space="preserve">  • TEST → QA and integration testing</t>
  </si>
  <si>
    <t xml:space="preserve">  • UAT → User Acceptance Testing</t>
  </si>
  <si>
    <t xml:space="preserve">  • PRE-PROD → Production mirror for final validation</t>
  </si>
  <si>
    <t xml:space="preserve">  • PROD → Live production environment</t>
  </si>
  <si>
    <t>CONFLICT INDICATORS:</t>
  </si>
  <si>
    <t xml:space="preserve">  • 🔴 CONFLICT → Same environment booked by multiple releases</t>
  </si>
  <si>
    <t xml:space="preserve">  • ⚠️ ADJACENT → Bookings are back-to-back with no buffer</t>
  </si>
  <si>
    <t>BOOKING RULE: First-come-first-served, but P1 releases can bump lower priority</t>
  </si>
  <si>
    <t>QUICK TIP: Check for conflicts BEFORE submitting to CAB</t>
  </si>
  <si>
    <t>[▼ View full documentation below for detailed explanations, tables, and best practices]</t>
  </si>
  <si>
    <t>📋 FULL DOCUMENTATION: Environment Booking Guide</t>
  </si>
  <si>
    <t>🎯 PURPOSE OF THIS SHEET</t>
  </si>
  <si>
    <t>This sheet manages environment reservations for release testing and validation.</t>
  </si>
  <si>
    <t>It ensures non-production environments are allocated without conflicts.</t>
  </si>
  <si>
    <t>Use this sheet to plan testing timelines and coordinate environment usage across teams.</t>
  </si>
  <si>
    <t>🖥️ ENVIRONMENT TYPES</t>
  </si>
  <si>
    <t>ENV CODE   | NAME              | PURPOSE                          | AVAILABILITY</t>
  </si>
  <si>
    <t>───────────────────────────────────────────────────────────────────────────────────────</t>
  </si>
  <si>
    <t>DEV        | Development       | Developer sandbox, initial coding| 24/7</t>
  </si>
  <si>
    <t>TEST       | Testing           | QA, integration, regression tests| Business Hours</t>
  </si>
  <si>
    <t>UAT        | User Acceptance   | Business validation, sign-off    | Business Hours</t>
  </si>
  <si>
    <t>PRE-PROD   | Pre-Production    | Final validation, prod mirror    | Business Hours</t>
  </si>
  <si>
    <t>PROD       | Production        | Live system                      | 24/7</t>
  </si>
  <si>
    <t>DR         | Disaster Recovery | Business continuity failover     | 24/7</t>
  </si>
  <si>
    <t>📅 BOOKING DURATION BY RELEASE SIZE</t>
  </si>
  <si>
    <t>SIZE    | TEST DAYS | UAT DAYS | PRE-PROD DAYS | TOTAL LEAD TIME</t>
  </si>
  <si>
    <t>Small   | 3         | 2        | 1             | ~8 days</t>
  </si>
  <si>
    <t>Medium  | 5         | 3        | 2             | ~12 days</t>
  </si>
  <si>
    <t>Large   | 10        | 5        | 4             | ~22 days</t>
  </si>
  <si>
    <t>⚠️ CONFLICT MANAGEMENT</t>
  </si>
  <si>
    <t>Conflicts occur when multiple releases need the same environment simultaneously:</t>
  </si>
  <si>
    <t>CONFLICT TYPE      | INDICATOR    | RESOLUTION</t>
  </si>
  <si>
    <t>Direct Overlap     | 🔴 CONFLICT  | Reschedule one release or share with caution</t>
  </si>
  <si>
    <t>Adjacent Booking   | ⚠️ ADJACENT  | Add buffer day between releases</t>
  </si>
  <si>
    <t>Priority Conflict  | P1 BUMP      | Higher priority release takes precedence</t>
  </si>
  <si>
    <t>CONFLICT RESOLUTION PROCESS:</t>
  </si>
  <si>
    <t>1. Identify conflict using Conflict column filters</t>
  </si>
  <si>
    <t>2. Contact both release owners to negotiate</t>
  </si>
  <si>
    <t>3. Consider parallel usage if environments support it</t>
  </si>
  <si>
    <t>4. Escalate to Release Manager if no agreement reached</t>
  </si>
  <si>
    <t>5. Update bookings once resolved</t>
  </si>
  <si>
    <t>📋 KEY COLUMNS EXPLAINED</t>
  </si>
  <si>
    <t>• Booking ID: Unique environment reservation identifier (ENV-####)</t>
  </si>
  <si>
    <t>• Release ID: Links to the Releases sheet</t>
  </si>
  <si>
    <t>• Application: System requiring the environment</t>
  </si>
  <si>
    <t>• Department: Business unit making the request</t>
  </si>
  <si>
    <t>• Test Env / UAT Env: Specific environment instances booked</t>
  </si>
  <si>
    <t>• Test Start/End: Testing phase dates</t>
  </si>
  <si>
    <t>• UAT Start/End: User acceptance testing dates</t>
  </si>
  <si>
    <t>• Pre-Prod Start/End: Final validation dates</t>
  </si>
  <si>
    <t>• Conflict: Indicates booking overlaps with another release</t>
  </si>
  <si>
    <t>• Conflicting Release: Shows which release has the conflict</t>
  </si>
  <si>
    <t>🔗 ENVIRONMENT NAMING CONVENTION</t>
  </si>
  <si>
    <t>Format: [DEPT]-[ENV TYPE]-[##]</t>
  </si>
  <si>
    <t>Examples:</t>
  </si>
  <si>
    <t xml:space="preserve">  • FIN-TEST-01 → Finance Test Environment #1</t>
  </si>
  <si>
    <t xml:space="preserve">  • LOG-UAT-01 → Logistics UAT Environment #1</t>
  </si>
  <si>
    <t xml:space="preserve">  • IT-PREPROD-01 → IT Pre-Production Environment #1</t>
  </si>
  <si>
    <t>1. BOOK EARLY: Reserve environments as soon as release dates are known</t>
  </si>
  <si>
    <t>2. ADD BUFFER: Include 1 day buffer between bookings for handoff</t>
  </si>
  <si>
    <t>3. CHECK CONFLICTS: Review conflict column before finalizing schedules</t>
  </si>
  <si>
    <t>4. COORDINATE SHARED ENVS: Some departments share environments - communicate!</t>
  </si>
  <si>
    <t>5. RELEASE ON TIME: Holding environments past booking delays other releases</t>
  </si>
  <si>
    <t>6. UPDATE STATUS: Mark booking complete when testing finishes</t>
  </si>
  <si>
    <t>⚠️ This sheet links to: Releases (release details), Calendar (timeline view),</t>
  </si>
  <si>
    <t>Drift (environment configuration issues), Application Status (env health)</t>
  </si>
  <si>
    <t>Region</t>
  </si>
  <si>
    <t>Phone</t>
  </si>
  <si>
    <t>Specialization</t>
  </si>
  <si>
    <t>RM-001</t>
  </si>
  <si>
    <t>North America</t>
  </si>
  <si>
    <t>+1-555-0101</t>
  </si>
  <si>
    <t>Finance &amp; HR Systems</t>
  </si>
  <si>
    <t>RM-002</t>
  </si>
  <si>
    <t>+1-555-0102</t>
  </si>
  <si>
    <t>Manufacturing &amp; Logistics</t>
  </si>
  <si>
    <t>RM-003</t>
  </si>
  <si>
    <t>EMEA</t>
  </si>
  <si>
    <t>+44-20-5550103</t>
  </si>
  <si>
    <t>CRM &amp; Sales Systems</t>
  </si>
  <si>
    <t>RM-004</t>
  </si>
  <si>
    <t>+44-20-5550104</t>
  </si>
  <si>
    <t>Security &amp; Infrastructure</t>
  </si>
  <si>
    <t>RM-005</t>
  </si>
  <si>
    <t>APAC</t>
  </si>
  <si>
    <t>+61-2-5550105</t>
  </si>
  <si>
    <t>Legal &amp; Compliance</t>
  </si>
  <si>
    <t>RM-006</t>
  </si>
  <si>
    <t>+61-2-5550106</t>
  </si>
  <si>
    <t>HR &amp; Talent Systems</t>
  </si>
  <si>
    <t>RM-007</t>
  </si>
  <si>
    <t>+1-555-0107</t>
  </si>
  <si>
    <t>Integration &amp; Middleware</t>
  </si>
  <si>
    <t>RM-008</t>
  </si>
  <si>
    <t>+44-20-5550108</t>
  </si>
  <si>
    <t>Data &amp; Analytics</t>
  </si>
  <si>
    <t>RM-009</t>
  </si>
  <si>
    <t>LATAM</t>
  </si>
  <si>
    <t>+55-11-5550109</t>
  </si>
  <si>
    <t>ERP Systems</t>
  </si>
  <si>
    <t>RM-010</t>
  </si>
  <si>
    <t>+1-555-0110</t>
  </si>
  <si>
    <t>Cloud &amp; SaaS Platforms</t>
  </si>
  <si>
    <t>RM-011</t>
  </si>
  <si>
    <t>+65-5550111</t>
  </si>
  <si>
    <t>Manufacturing Execution</t>
  </si>
  <si>
    <t>RM-012</t>
  </si>
  <si>
    <t>+49-30-5550112</t>
  </si>
  <si>
    <t>On Leave</t>
  </si>
  <si>
    <t>Finance Reporting</t>
  </si>
  <si>
    <t>Admin ID</t>
  </si>
  <si>
    <t>Title</t>
  </si>
  <si>
    <t>Access Scope</t>
  </si>
  <si>
    <t>Granted Date</t>
  </si>
  <si>
    <t>Granted By</t>
  </si>
  <si>
    <t>Expiry Date</t>
  </si>
  <si>
    <t>SA-001</t>
  </si>
  <si>
    <t>Michael Stevens</t>
  </si>
  <si>
    <t>michael.stevens@company.com</t>
  </si>
  <si>
    <t>Chief Information Officer</t>
  </si>
  <si>
    <t>Global - All Systems</t>
  </si>
  <si>
    <t>CEO Office</t>
  </si>
  <si>
    <t>Executive sponsor for all IT initiatives</t>
  </si>
  <si>
    <t>SA-002</t>
  </si>
  <si>
    <t>jennifer.walsh@company.com</t>
  </si>
  <si>
    <t>VP of Enterprise Applications</t>
  </si>
  <si>
    <t>Oversight of all enterprise systems</t>
  </si>
  <si>
    <t>SA-003</t>
  </si>
  <si>
    <t>Director of IT Operations</t>
  </si>
  <si>
    <t>Global - Infrastructure</t>
  </si>
  <si>
    <t>24/7 operations oversight</t>
  </si>
  <si>
    <t>SA-004</t>
  </si>
  <si>
    <t>elizabeth.morgan@company.com</t>
  </si>
  <si>
    <t>Head of Cybersecurity</t>
  </si>
  <si>
    <t>Security incident response authority</t>
  </si>
  <si>
    <t>SA-005</t>
  </si>
  <si>
    <t>Robert Chen</t>
  </si>
  <si>
    <t>robert.chen@company.com</t>
  </si>
  <si>
    <t>Chief Technology Officer</t>
  </si>
  <si>
    <t>Technical architecture decisions</t>
  </si>
  <si>
    <t>SA-006</t>
  </si>
  <si>
    <t>patricia.wong@company.com</t>
  </si>
  <si>
    <t>Director of Release Management</t>
  </si>
  <si>
    <t>Global - Release Systems</t>
  </si>
  <si>
    <t>Emergency release authority</t>
  </si>
  <si>
    <t>SA-007</t>
  </si>
  <si>
    <t>VP of HR Technology</t>
  </si>
  <si>
    <t>HR Systems - Global</t>
  </si>
  <si>
    <t>HR data governance</t>
  </si>
  <si>
    <t>SA-008</t>
  </si>
  <si>
    <t>VP of Finance Systems</t>
  </si>
  <si>
    <t>Finance Systems - Global</t>
  </si>
  <si>
    <t>Financial data authority</t>
  </si>
  <si>
    <t>SA-009</t>
  </si>
  <si>
    <t>raymond.diaz@company.com</t>
  </si>
  <si>
    <t>Cloud Platform Architect</t>
  </si>
  <si>
    <t>Global - Cloud Infrastructure</t>
  </si>
  <si>
    <t>AWS/Azure/GCP root access</t>
  </si>
  <si>
    <t>SA-010</t>
  </si>
  <si>
    <t>margaret.sullivan@company.com</t>
  </si>
  <si>
    <t>Identity &amp; Access Manager</t>
  </si>
  <si>
    <t>Global - IAM Systems</t>
  </si>
  <si>
    <t>Identity management authority</t>
  </si>
  <si>
    <t>SA-011</t>
  </si>
  <si>
    <t>timothy.foster@company.com</t>
  </si>
  <si>
    <t>Disaster Recovery Manager</t>
  </si>
  <si>
    <t>Global - DR Systems</t>
  </si>
  <si>
    <t>DR failover authority</t>
  </si>
  <si>
    <t>SA-012</t>
  </si>
  <si>
    <t>diane.wilson@company.com</t>
  </si>
  <si>
    <t>Database Administrator Lead</t>
  </si>
  <si>
    <t>Global - Databases</t>
  </si>
  <si>
    <t>DBA root access all environments</t>
  </si>
  <si>
    <t>⚠️ RESTRICTED ACCESS: Super Admin privileges require CIO or CEO approval. Access is audited and reviewed quarterly.</t>
  </si>
  <si>
    <t>Status:</t>
  </si>
  <si>
    <t>Branch</t>
  </si>
  <si>
    <t>Vertical</t>
  </si>
  <si>
    <t>💡 Change filter values above to filter releases. Matching rows are highlighted in green; non-matching rows are greyed out.</t>
  </si>
  <si>
    <t xml:space="preserve">External Dependencies </t>
  </si>
  <si>
    <t>Test Env Required</t>
  </si>
  <si>
    <t>UAT Env Required</t>
  </si>
  <si>
    <t>Conflict ID</t>
  </si>
  <si>
    <t>Conflicting Release</t>
  </si>
  <si>
    <t>Conflict Notes</t>
  </si>
  <si>
    <t>Vendor Maintenance</t>
  </si>
  <si>
    <t>Release Owner ID</t>
  </si>
  <si>
    <t>Approval Status</t>
  </si>
  <si>
    <t>Stakeholder IDs</t>
  </si>
  <si>
    <t>Depends On Other releases</t>
  </si>
  <si>
    <t>Regulatory</t>
  </si>
  <si>
    <t>Dev Signoff</t>
  </si>
  <si>
    <t>Test Sign-off</t>
  </si>
  <si>
    <t>Security Clearance</t>
  </si>
  <si>
    <t>Hypercare Plan</t>
  </si>
  <si>
    <t>Comms Plan</t>
  </si>
  <si>
    <t>Training Status</t>
  </si>
  <si>
    <t>Core Banking API</t>
  </si>
  <si>
    <t>Environment conflict with REL-0003; awaiting conflict resolution meeting</t>
  </si>
  <si>
    <t>USR-073,USR-085,USR-097</t>
  </si>
  <si>
    <t>Blue Workflow Automation v2.1</t>
  </si>
  <si>
    <t>ERP Inventory Module</t>
  </si>
  <si>
    <t>USR-074,USR-086,USR-098</t>
  </si>
  <si>
    <t>Weekend</t>
  </si>
  <si>
    <t>Zendesk Minor Update v4.3</t>
  </si>
  <si>
    <t>Knowledge Base CMS</t>
  </si>
  <si>
    <t>Shared UAT env with REL-0001; QA sign-off pending</t>
  </si>
  <si>
    <t>USR-075,USR-087,USR-097</t>
  </si>
  <si>
    <t>AVEVA Dashboard Upgrade v5.5</t>
  </si>
  <si>
    <t>SCADA System</t>
  </si>
  <si>
    <t>CAB Submitted</t>
  </si>
  <si>
    <t>USR-076,USR-088,USR-098</t>
  </si>
  <si>
    <t>Datadog Security Patch Bundle v3.5</t>
  </si>
  <si>
    <t>Log Aggregation Pipeline, APM Agent Framework</t>
  </si>
  <si>
    <t>USR-077,USR-089,USR-097</t>
  </si>
  <si>
    <t>SAP Configuration Change v5.2</t>
  </si>
  <si>
    <t>Active Directory</t>
  </si>
  <si>
    <t>USR-078,USR-090,USR-098</t>
  </si>
  <si>
    <t>Mitratech Integration Enhancement v5.2</t>
  </si>
  <si>
    <t>Document Management System</t>
  </si>
  <si>
    <t>Integration testing delayed; 3rd party API dependency unresolved</t>
  </si>
  <si>
    <t>USR-079,USR-091,USR-097</t>
  </si>
  <si>
    <t>CrowdStrike Minor Update v3.6</t>
  </si>
  <si>
    <t>SIEM Integration</t>
  </si>
  <si>
    <t>USR-080,USR-092,USR-098</t>
  </si>
  <si>
    <t>Oracle Report Fix v3.4</t>
  </si>
  <si>
    <t>Consolidation Server</t>
  </si>
  <si>
    <t>UAT defects being triaged; 2 P2 bugs outstanding</t>
  </si>
  <si>
    <t>Manhattan Major Enhancement v5.2</t>
  </si>
  <si>
    <t>Shipping Carrier APIs, RF Scanner Infrastructure</t>
  </si>
  <si>
    <t>HubSpot Minor Update v3.7</t>
  </si>
  <si>
    <t>Email Service Provider</t>
  </si>
  <si>
    <t>Plex Report Fix v2.5</t>
  </si>
  <si>
    <t>ERP BOM Module</t>
  </si>
  <si>
    <t>Dynatrace UI Tweak v3.1</t>
  </si>
  <si>
    <t>Kubernetes Cluster</t>
  </si>
  <si>
    <t>Oracle Global Rollout v2.2</t>
  </si>
  <si>
    <t>Benefits Carrier Feeds</t>
  </si>
  <si>
    <t>DocuSign Core Transformation v1.0</t>
  </si>
  <si>
    <t>CRM Integration, E-Signature Service</t>
  </si>
  <si>
    <t>Architecture review required; security scan findings need remediation</t>
  </si>
  <si>
    <t>CyberArk Enterprise Integration v2.0</t>
  </si>
  <si>
    <t>Privileged access credentials vault migration in progress; cannot deploy until PAM cutover complete</t>
  </si>
  <si>
    <t>SOC2 Requirement</t>
  </si>
  <si>
    <t>HighRadius Report Fix v2.4</t>
  </si>
  <si>
    <t>ERP Accounts Receivable Module</t>
  </si>
  <si>
    <t>ERP Accounts Receivable module locked for month-end close; deployment window unavailable until 5th</t>
  </si>
  <si>
    <t>REL-0014,REL-0012</t>
  </si>
  <si>
    <t>Oracle UI Tweak v2.0</t>
  </si>
  <si>
    <t>Customs Integration</t>
  </si>
  <si>
    <t>Salesforce Minor Update v2.5</t>
  </si>
  <si>
    <t>Telephony Integration</t>
  </si>
  <si>
    <t>Rockwell Quick Enhancement v1.5</t>
  </si>
  <si>
    <t>HMI Infrastructure, OPC Server</t>
  </si>
  <si>
    <t>Splunk Bug Fix Release v3.7</t>
  </si>
  <si>
    <t>Index Cluster</t>
  </si>
  <si>
    <t>Oracle Dashboard Upgrade v2.5</t>
  </si>
  <si>
    <t>Payroll Integration</t>
  </si>
  <si>
    <t>Requirements still being finalized with business stakeholders</t>
  </si>
  <si>
    <t>DocuSign Feature Release v3.0</t>
  </si>
  <si>
    <t>Document Repository</t>
  </si>
  <si>
    <t>Legal review of new contract clause templates pending; compliance team backlogged</t>
  </si>
  <si>
    <t>Okta Minor Update v4.1</t>
  </si>
  <si>
    <t>HR System Feed</t>
  </si>
  <si>
    <t>Coupa Dashboard Upgrade v5.8</t>
  </si>
  <si>
    <t>ERP Procurement Module, Supplier Portal</t>
  </si>
  <si>
    <t>Supplier portal SSL certificate renewal delayed; procurement team coordinating with vendor</t>
  </si>
  <si>
    <t>REL-0022,REL-0020</t>
  </si>
  <si>
    <t>SOX Compliance</t>
  </si>
  <si>
    <t>Kinaxis Dashboard Upgrade v3.2</t>
  </si>
  <si>
    <t>Demand Signal Repository</t>
  </si>
  <si>
    <t>Salesforce Hotfix v4.3</t>
  </si>
  <si>
    <t>Email Integration</t>
  </si>
  <si>
    <t>SAP Architecture Overhaul v5.5</t>
  </si>
  <si>
    <t>Shop Floor Integration</t>
  </si>
  <si>
    <t>Datadog Feature Release v2.2</t>
  </si>
  <si>
    <t>Log Aggregation Pipeline</t>
  </si>
  <si>
    <t>Cornerstone Feature Release v1.7</t>
  </si>
  <si>
    <t>SSO Provider, LMS Content Library</t>
  </si>
  <si>
    <t>Mitratech Data Patch v2.9</t>
  </si>
  <si>
    <t>GDPR Compliance</t>
  </si>
  <si>
    <t>CrowdStrike UI Tweak v1.5</t>
  </si>
  <si>
    <t>Oracle Major Enhancement v5.3</t>
  </si>
  <si>
    <t>Consolidation Server patch dependency on REL-0030; cannot deploy until upstream release complete</t>
  </si>
  <si>
    <t>REL-0030,REL-0028</t>
  </si>
  <si>
    <t>Manhattan Module Update v2.8</t>
  </si>
  <si>
    <t>Shipping Carrier APIs</t>
  </si>
  <si>
    <t>Shipping carrier API authentication tokens expiring; renewal pending carrier IT response</t>
  </si>
  <si>
    <t>Salesforce Report Fix v5.8</t>
  </si>
  <si>
    <t>Email-to-Case Gateway, Customer Data Platform</t>
  </si>
  <si>
    <t>Plex UI Tweak v3.6</t>
  </si>
  <si>
    <t>Dynatrace Platform Upgrade v4.0</t>
  </si>
  <si>
    <t>Kubernetes cluster node pool upgrade required; infrastructure change freeze until July 15</t>
  </si>
  <si>
    <t>SAP Bug Fix Release v5.5</t>
  </si>
  <si>
    <t>Benefits Administration</t>
  </si>
  <si>
    <t>Agiloft Core Transformation v4.6</t>
  </si>
  <si>
    <t>ERP Contract Module</t>
  </si>
  <si>
    <t>ERP Contract Module schema migration script failed validation; DBA rework in progress</t>
  </si>
  <si>
    <t>Palo Quick Enhancement v3.7</t>
  </si>
  <si>
    <t>Network Firewall Logs, Endpoint Agents</t>
  </si>
  <si>
    <t>Anaplan Bug Fix Release v3.3</t>
  </si>
  <si>
    <t>Planning Hub Connector</t>
  </si>
  <si>
    <t>REL-0038,REL-0036</t>
  </si>
  <si>
    <t>Oracle Security Patch Bundle v5.6</t>
  </si>
  <si>
    <t>Oracle Patch Window</t>
  </si>
  <si>
    <t>Microsoft Integration Enhancement v1.9</t>
  </si>
  <si>
    <t>Exchange Online</t>
  </si>
  <si>
    <t>Siemens Integration Enhancement v2.2</t>
  </si>
  <si>
    <t>SCADA/DCS Systems</t>
  </si>
  <si>
    <t>Splunk Global Rollout v3.0</t>
  </si>
  <si>
    <t>Index Cluster, Syslog Collectors</t>
  </si>
  <si>
    <t>SAP UI Tweak v5.2</t>
  </si>
  <si>
    <t>Payroll System</t>
  </si>
  <si>
    <t>DocuSign Integration Enhancement v1.4</t>
  </si>
  <si>
    <t>Okta Report Fix v4.1</t>
  </si>
  <si>
    <t>Anaplan Minor Update v3.3</t>
  </si>
  <si>
    <t>Enterprise Data Lake</t>
  </si>
  <si>
    <t>REL-0046,REL-0044</t>
  </si>
  <si>
    <t>Blue Configuration Change v5.9</t>
  </si>
  <si>
    <t>ERP Inventory Module, Label Printer Service</t>
  </si>
  <si>
    <t>HubSpot Module Update v4.7</t>
  </si>
  <si>
    <t>Web Analytics</t>
  </si>
  <si>
    <t>SAP Configuration Change v1.3</t>
  </si>
  <si>
    <t>Splunk Global Rollout v5.8</t>
  </si>
  <si>
    <t>Universal Forwarders</t>
  </si>
  <si>
    <t>Workday Core Transformation v2.7</t>
  </si>
  <si>
    <t>Identity Provider</t>
  </si>
  <si>
    <t>DocuSign Major Enhancement v5.2</t>
  </si>
  <si>
    <t>E-Signature Service, Document Repository</t>
  </si>
  <si>
    <t>Okta Performance Optimization v5.0</t>
  </si>
  <si>
    <t>MFA Provider</t>
  </si>
  <si>
    <t>Coupa Security Patch Bundle v3.3</t>
  </si>
  <si>
    <t>P2P Integration Layer</t>
  </si>
  <si>
    <t>REL-0054,REL-0052</t>
  </si>
  <si>
    <t>Manhattan API Enhancement v2.0</t>
  </si>
  <si>
    <t>Salesforce Workflow Automation v5.8</t>
  </si>
  <si>
    <t>Email-to-Case Gateway</t>
  </si>
  <si>
    <t>Plex UI Tweak v4.0</t>
  </si>
  <si>
    <t>ERP BOM Module, Shop Floor Controllers</t>
  </si>
  <si>
    <t>Datadog API Enhancement v5.6</t>
  </si>
  <si>
    <t>Cloud Infrastructure APIs</t>
  </si>
  <si>
    <t>SAP Report Fix v2.8</t>
  </si>
  <si>
    <t>Mitratech Workflow Automation v2.3</t>
  </si>
  <si>
    <t>Matter Database</t>
  </si>
  <si>
    <t>Microsoft Integration Enhancement v4.1</t>
  </si>
  <si>
    <t>Azure Log Analytics</t>
  </si>
  <si>
    <t>Oracle System Migration v1.9</t>
  </si>
  <si>
    <t>Enterprise Data Warehouse, Consolidation Server</t>
  </si>
  <si>
    <t>REL-0062,REL-0060</t>
  </si>
  <si>
    <t>Oracle Module Update v5.6</t>
  </si>
  <si>
    <t>Salesforce Complete Redesign v1.9</t>
  </si>
  <si>
    <t>Marketing Cloud Connector</t>
  </si>
  <si>
    <t>Rockwell Minor Update v1.1</t>
  </si>
  <si>
    <t>HMI Infrastructure</t>
  </si>
  <si>
    <t>BMC UI Tweak v5.1</t>
  </si>
  <si>
    <t>LDAP Directory</t>
  </si>
  <si>
    <t>Oracle Workflow Automation v3.6</t>
  </si>
  <si>
    <t>Payroll Integration, Benefits Carrier Feeds</t>
  </si>
  <si>
    <t>Agiloft Minor Update v4.1</t>
  </si>
  <si>
    <t>Document Storage</t>
  </si>
  <si>
    <t>Palo Hotfix v5.8</t>
  </si>
  <si>
    <t>SOAR Platform</t>
  </si>
  <si>
    <t>Kyriba Security Patch Bundle v3.6</t>
  </si>
  <si>
    <t>REL-0070,REL-0068</t>
  </si>
  <si>
    <t>Oracle Hotfix v4.3</t>
  </si>
  <si>
    <t>Freight Rate API</t>
  </si>
  <si>
    <t>HubSpot Performance Optimization v3.0</t>
  </si>
  <si>
    <t>Web Analytics, Marketing Automation Platform</t>
  </si>
  <si>
    <t>SAP Hotfix v4.1</t>
  </si>
  <si>
    <t>Jira Core Transformation v1.8</t>
  </si>
  <si>
    <t>Bitbucket</t>
  </si>
  <si>
    <t>ADP Workflow Automation v2.7</t>
  </si>
  <si>
    <t>Benefits Carrier APIs</t>
  </si>
  <si>
    <t>Ironclad Module Update v4.7</t>
  </si>
  <si>
    <t>E-Signature Platform</t>
  </si>
  <si>
    <t>CrowdStrike Performance Optimization v5.9</t>
  </si>
  <si>
    <t>SIEM Integration, Threat Intel Feeds</t>
  </si>
  <si>
    <t>📖 QUICK REFERENCE: Release Management (Collapsible Section for Web)</t>
  </si>
  <si>
    <t>STATUS QUICK GUIDE:</t>
  </si>
  <si>
    <t xml:space="preserve">  • Draft → Initial planning phase</t>
  </si>
  <si>
    <t xml:space="preserve">  • Planning → Requirements being finalized</t>
  </si>
  <si>
    <t xml:space="preserve">  • Testing → QA in progress</t>
  </si>
  <si>
    <t>Scenarios</t>
  </si>
  <si>
    <t xml:space="preserve">  • Pending CAB → Awaiting Change Advisory Board approval</t>
  </si>
  <si>
    <t xml:space="preserve">  • Approved → Ready for deployment</t>
  </si>
  <si>
    <t xml:space="preserve">  • Blocked → Impediment preventing progress</t>
  </si>
  <si>
    <t>PRIORITY LEVELS:</t>
  </si>
  <si>
    <t xml:space="preserve">  • P1 - Critical: Business-stopping, immediate attention</t>
  </si>
  <si>
    <t xml:space="preserve">  • P2 - High: Significant impact, prioritize</t>
  </si>
  <si>
    <t xml:space="preserve">  • P3 - Medium: Important but manageable</t>
  </si>
  <si>
    <t xml:space="preserve">  • P4 - Low: Minor, schedule as convenient</t>
  </si>
  <si>
    <t>CONFLICT FLAGS: ⚠️ CONFLICT indicates resource/environment overlap with another release</t>
  </si>
  <si>
    <t>GO/NO-GO: All blockers resolved + CAB Approved = ✅ Proceed  |  Any Blocker = 🛑 Hold</t>
  </si>
  <si>
    <t>📋 FULL DOCUMENTATION: Release Management Guide</t>
  </si>
  <si>
    <t>This sheet is the central registry for ALL releases planned, in-progress, or completed.</t>
  </si>
  <si>
    <t>It provides visibility into the release pipeline, status, dependencies, and potential conflicts.</t>
  </si>
  <si>
    <t>Use this sheet to track releases from initial planning through production deployment.</t>
  </si>
  <si>
    <t>📊 RELEASE LIFECYCLE</t>
  </si>
  <si>
    <t>STAGE              | DESCRIPTION                                    | NEXT STEP</t>
  </si>
  <si>
    <t>Draft              | Initial release request created                | Complete requirements</t>
  </si>
  <si>
    <t>Planning           | Requirements defined, resources assigned       | Begin testing</t>
  </si>
  <si>
    <t>Testing            | QA validation in progress                      | Submit to CAB</t>
  </si>
  <si>
    <t>Pending CAB        | Awaiting Change Advisory Board review          | Obtain approval</t>
  </si>
  <si>
    <t>Approved           | CAB approved, ready for deployment             | Execute deployment</t>
  </si>
  <si>
    <t>Blocked            | Impediment preventing progress                 | Resolve blocker</t>
  </si>
  <si>
    <t>Deployed           | Successfully released to production            | Close release</t>
  </si>
  <si>
    <t>Rolled Back        | Deployment reversed due to issues              | Post-mortem</t>
  </si>
  <si>
    <t>🎯 PRIORITY DEFINITIONS</t>
  </si>
  <si>
    <t>PRIORITY    | RESPONSE TIME    | ESCALATION       | EXAMPLES</t>
  </si>
  <si>
    <t>P1-Critical | Immediate        | CIO/VP Level     | Security breach, business stoppage</t>
  </si>
  <si>
    <t>P2-High     | 4 hours          | Director Level   | Major degradation, customer impact</t>
  </si>
  <si>
    <t>P3-Medium   | 1 business day   | Manager Level    | Important but not urgent</t>
  </si>
  <si>
    <t>P4-Low      | Best effort      | Team Level       | Minor enhancements, nice-to-have</t>
  </si>
  <si>
    <t>• Release ID: Unique identifier (REL-####) for tracking</t>
  </si>
  <si>
    <t>• Release Name: Descriptive name including version</t>
  </si>
  <si>
    <t>• Department: Business unit owning the release</t>
  </si>
  <si>
    <t>• Application: System being modified</t>
  </si>
  <si>
    <t>• Release Size: Small/Medium/Large - determines testing duration</t>
  </si>
  <si>
    <t>• Impact: Low/Medium/High - business criticality if issues occur</t>
  </si>
  <si>
    <t>• Priority: P1-P4 - urgency and escalation path</t>
  </si>
  <si>
    <t>• CAB Date: Change Advisory Board review date</t>
  </si>
  <si>
    <t>• Status: Current stage in release lifecycle</t>
  </si>
  <si>
    <t>• Conflict Flag: Indicates resource/environment conflicts</t>
  </si>
  <si>
    <t>• Readiness %: Overall completion percentage</t>
  </si>
  <si>
    <t>• Blockers: Issues preventing progress</t>
  </si>
  <si>
    <t>• Rollback Plan: Recovery readiness status</t>
  </si>
  <si>
    <t>• Go-Live Checklist %: Deployment preparation completion</t>
  </si>
  <si>
    <t>Conflicts occur when multiple releases require the same resources:</t>
  </si>
  <si>
    <t>• Environment conflicts: Same test/UAT environment needed simultaneously</t>
  </si>
  <si>
    <t>• Resource conflicts: Key personnel assigned to multiple releases</t>
  </si>
  <si>
    <t>• Timeline conflicts: Overlapping deployment windows</t>
  </si>
  <si>
    <t>RESOLUTION STEPS:</t>
  </si>
  <si>
    <t>1. Identify conflicting releases using Conflict Flag column</t>
  </si>
  <si>
    <t>2. Review Dependencies sheet for detailed conflict analysis</t>
  </si>
  <si>
    <t>3. Coordinate with release owners to adjust timelines</t>
  </si>
  <si>
    <t>4. Escalate to Release Manager if no resolution possible</t>
  </si>
  <si>
    <t>1. UPDATE STATUS REGULARLY: Keep status current for accurate reporting</t>
  </si>
  <si>
    <t>2. DOCUMENT BLOCKERS: Clear blocker descriptions enable faster resolution</t>
  </si>
  <si>
    <t>3. MONITOR READINESS: Track Readiness % and Go-Live Checklist % weekly</t>
  </si>
  <si>
    <t>4. REVIEW CONFLICTS EARLY: Address environment conflicts before CAB submission</t>
  </si>
  <si>
    <t>5. MAINTAIN ROLLBACK PLANS: Ensure rollback readiness before deployment</t>
  </si>
  <si>
    <t>6. COORDINATE DEPENDENCIES: Check Dependencies sheet for inter-release impacts</t>
  </si>
  <si>
    <t>⚠️ This sheet links to: Calendar (release dates), Env Booking (environments),</t>
  </si>
  <si>
    <t>Risk (risk assessment), Dependencies (inter-release dependencies), Approvals (CAB workflow)</t>
  </si>
  <si>
    <t>Event Type:</t>
  </si>
  <si>
    <t>RELEASE CALENDAR - FY2026-2027</t>
  </si>
  <si>
    <t>Legend:</t>
  </si>
  <si>
    <t>■ Change Freeze</t>
  </si>
  <si>
    <t>Deployment restrictions in effect</t>
  </si>
  <si>
    <t>■ Large Release</t>
  </si>
  <si>
    <t>High impact, extended testing</t>
  </si>
  <si>
    <t>■ Medium Release</t>
  </si>
  <si>
    <t>Standard release cycle</t>
  </si>
  <si>
    <t>■ Small Release</t>
  </si>
  <si>
    <t>Quick deployment</t>
  </si>
  <si>
    <t>■ Regulatory</t>
  </si>
  <si>
    <t>Compliance-driven release</t>
  </si>
  <si>
    <t>■ Vendor Maint.</t>
  </si>
  <si>
    <t>Vendor maintenance window</t>
  </si>
  <si>
    <t>Month</t>
  </si>
  <si>
    <t>Week</t>
  </si>
  <si>
    <t>Date</t>
  </si>
  <si>
    <t>Event Type</t>
  </si>
  <si>
    <t>Size/Impact</t>
  </si>
  <si>
    <t>CAB MEETING</t>
  </si>
  <si>
    <t>CAB: Kyriba UI Tweak v4.5...</t>
  </si>
  <si>
    <t>Approval meeting for REL-0001</t>
  </si>
  <si>
    <t>RELEASE</t>
  </si>
  <si>
    <t>Small / Low</t>
  </si>
  <si>
    <t>Impact: Low - Quarter-End Freeze AFFECTED</t>
  </si>
  <si>
    <t>CAB: Zendesk Minor Update v4.3...</t>
  </si>
  <si>
    <t>Approval meeting for REL-0003</t>
  </si>
  <si>
    <t>CAB: Blue Workflow Automation v2.1...</t>
  </si>
  <si>
    <t>Approval meeting for REL-0002</t>
  </si>
  <si>
    <t>Impact: Low</t>
  </si>
  <si>
    <t>CAB: Mitratech Integration Enhancem...</t>
  </si>
  <si>
    <t>Approval meeting for REL-0007</t>
  </si>
  <si>
    <t>Medium / High</t>
  </si>
  <si>
    <t>Impact: High</t>
  </si>
  <si>
    <t>CAB: Plex Report Fix v2.5...</t>
  </si>
  <si>
    <t>Approval meeting for REL-0012</t>
  </si>
  <si>
    <t>Small / Medium</t>
  </si>
  <si>
    <t>Impact: Medium</t>
  </si>
  <si>
    <t>CAB: AVEVA Dashboard Upgrade v5.5...</t>
  </si>
  <si>
    <t>Approval meeting for REL-0004</t>
  </si>
  <si>
    <t>Sun</t>
  </si>
  <si>
    <t>Tue</t>
  </si>
  <si>
    <t>CAB: Datadog Security Patch Bundle ...</t>
  </si>
  <si>
    <t>Approval meeting for REL-0005</t>
  </si>
  <si>
    <t>Wed</t>
  </si>
  <si>
    <t>CAB: Manhattan Major Enhancement v5...</t>
  </si>
  <si>
    <t>Approval meeting for REL-0010</t>
  </si>
  <si>
    <t>Thu</t>
  </si>
  <si>
    <t>Sat</t>
  </si>
  <si>
    <t>CAB: SAP Configuration Change v5.2...</t>
  </si>
  <si>
    <t>Approval meeting for REL-0006</t>
  </si>
  <si>
    <t>Large / Medium</t>
  </si>
  <si>
    <t>Mon</t>
  </si>
  <si>
    <t>CAB: CrowdStrike Minor Update v3.6...</t>
  </si>
  <si>
    <t>Approval meeting for REL-0008</t>
  </si>
  <si>
    <t>CAB: Oracle Report Fix v3.4...</t>
  </si>
  <si>
    <t>Approval meeting for REL-0009</t>
  </si>
  <si>
    <t>CAB: HubSpot Minor Update v3.7...</t>
  </si>
  <si>
    <t>Approval meeting for REL-0011</t>
  </si>
  <si>
    <t>CAB: Oracle Global Rollout v2.2...</t>
  </si>
  <si>
    <t>Approval meeting for REL-0014</t>
  </si>
  <si>
    <t>Large / High</t>
  </si>
  <si>
    <t>CAB: Dynatrace UI Tweak v3.1...</t>
  </si>
  <si>
    <t>Approval meeting for REL-0013</t>
  </si>
  <si>
    <t>CAB: DocuSign Core Transformation v...</t>
  </si>
  <si>
    <t>Approval meeting for REL-0015</t>
  </si>
  <si>
    <t>CAB: HighRadius Report Fix v2.4...</t>
  </si>
  <si>
    <t>Approval meeting for REL-0017</t>
  </si>
  <si>
    <t>CAB: Oracle Dashboard Upgrade v2.5...</t>
  </si>
  <si>
    <t>Approval meeting for REL-0022</t>
  </si>
  <si>
    <t>Medium / Low</t>
  </si>
  <si>
    <t>CAB: CyberArk Enterprise Integratio...</t>
  </si>
  <si>
    <t>Approval meeting for REL-0016</t>
  </si>
  <si>
    <t>REGULATORY</t>
  </si>
  <si>
    <t>CAB: Oracle UI Tweak v2.0...</t>
  </si>
  <si>
    <t>Approval meeting for REL-0018</t>
  </si>
  <si>
    <t>CAB: Salesforce Minor Update v2.5...</t>
  </si>
  <si>
    <t>Approval meeting for REL-0019</t>
  </si>
  <si>
    <t>CAB: Splunk Bug Fix Release v3.7...</t>
  </si>
  <si>
    <t>Approval meeting for REL-0021</t>
  </si>
  <si>
    <t>CAB: Rockwell Quick Enhancement v1....</t>
  </si>
  <si>
    <t>Approval meeting for REL-0020</t>
  </si>
  <si>
    <t>CAB: Kinaxis Dashboard Upgrade v3.2...</t>
  </si>
  <si>
    <t>Approval meeting for REL-0026</t>
  </si>
  <si>
    <t>CAB: DocuSign Feature Release v3.0...</t>
  </si>
  <si>
    <t>Approval meeting for REL-0023</t>
  </si>
  <si>
    <t>CAB: Salesforce Hotfix v4.3...</t>
  </si>
  <si>
    <t>Approval meeting for REL-0027</t>
  </si>
  <si>
    <t>CAB: Okta Minor Update v4.1...</t>
  </si>
  <si>
    <t>Approval meeting for REL-0024</t>
  </si>
  <si>
    <t>CAB: Coupa Dashboard Upgrade v5.8...</t>
  </si>
  <si>
    <t>Approval meeting for REL-0025</t>
  </si>
  <si>
    <t>Medium / Medium</t>
  </si>
  <si>
    <t>CAB: SAP Architecture Overhaul v5.5...</t>
  </si>
  <si>
    <t>Approval meeting for REL-0028</t>
  </si>
  <si>
    <t>CAB: Datadog Feature Release v2.2...</t>
  </si>
  <si>
    <t>Approval meeting for REL-0029</t>
  </si>
  <si>
    <t>CAB: Cornerstone Feature Release v1...</t>
  </si>
  <si>
    <t>Approval meeting for REL-0030</t>
  </si>
  <si>
    <t>CAB: Mitratech Data Patch v2.9...</t>
  </si>
  <si>
    <t>Approval meeting for REL-0031</t>
  </si>
  <si>
    <t>CAB: CrowdStrike UI Tweak v1.5...</t>
  </si>
  <si>
    <t>Approval meeting for REL-0032</t>
  </si>
  <si>
    <t>CAB: Oracle Major Enhancement v5.3...</t>
  </si>
  <si>
    <t>Approval meeting for REL-0033</t>
  </si>
  <si>
    <t>CAB: Manhattan Module Update v2.8...</t>
  </si>
  <si>
    <t>Approval meeting for REL-0034</t>
  </si>
  <si>
    <t>CAB: Salesforce Report Fix v5.8...</t>
  </si>
  <si>
    <t>Approval meeting for REL-0035</t>
  </si>
  <si>
    <t>CAB: Plex UI Tweak v3.6...</t>
  </si>
  <si>
    <t>Approval meeting for REL-0036</t>
  </si>
  <si>
    <t>CAB: Dynatrace Platform Upgrade v4....</t>
  </si>
  <si>
    <t>Approval meeting for REL-0037</t>
  </si>
  <si>
    <t>CAB: SAP Bug Fix Release v5.5...</t>
  </si>
  <si>
    <t>Approval meeting for REL-0038</t>
  </si>
  <si>
    <t>CAB: Agiloft Core Transformation v4...</t>
  </si>
  <si>
    <t>Approval meeting for REL-0039</t>
  </si>
  <si>
    <t>CHANGE FREEZE</t>
  </si>
  <si>
    <t>-</t>
  </si>
  <si>
    <t>Year-End Change Freeze START</t>
  </si>
  <si>
    <t>ALL</t>
  </si>
  <si>
    <t>No deployments allowed</t>
  </si>
  <si>
    <t>CAB: Palo Quick Enhancement v3.7...</t>
  </si>
  <si>
    <t>Approval meeting for REL-0040</t>
  </si>
  <si>
    <t>CAB: Anaplan Bug Fix Release v3.3...</t>
  </si>
  <si>
    <t>Approval meeting for REL-0041</t>
  </si>
  <si>
    <t>Impact: Low - Year-End Freeze AFFECTED</t>
  </si>
  <si>
    <t>CAB: Microsoft Integration Enhancem...</t>
  </si>
  <si>
    <t>Approval meeting for REL-0043</t>
  </si>
  <si>
    <t>CAB: Oracle Security Patch Bundle v...</t>
  </si>
  <si>
    <t>Approval meeting for REL-0042</t>
  </si>
  <si>
    <t>Impact: Medium - Year-End Freeze AFFECTED</t>
  </si>
  <si>
    <t>VENDOR MAINT</t>
  </si>
  <si>
    <t>Year-End Change Freeze END</t>
  </si>
  <si>
    <t>CAB: Siemens Integration Enhancemen...</t>
  </si>
  <si>
    <t>Approval meeting for REL-0044</t>
  </si>
  <si>
    <t>Impact: High - Year-End Freeze AFFECTED</t>
  </si>
  <si>
    <t>CAB: Splunk Global Rollout v3.0...</t>
  </si>
  <si>
    <t>Approval meeting for REL-0045</t>
  </si>
  <si>
    <t>CAB: SAP UI Tweak v5.2...</t>
  </si>
  <si>
    <t>Approval meeting for REL-0046</t>
  </si>
  <si>
    <t>CAB: DocuSign Integration Enhanceme...</t>
  </si>
  <si>
    <t>Approval meeting for REL-0047</t>
  </si>
  <si>
    <t>CAB: Okta Report Fix v4.1...</t>
  </si>
  <si>
    <t>Approval meeting for REL-0048</t>
  </si>
  <si>
    <t>CAB: Anaplan Minor Update v3.3...</t>
  </si>
  <si>
    <t>Approval meeting for REL-0049</t>
  </si>
  <si>
    <t>CAB: Blue Configuration Change v5.9...</t>
  </si>
  <si>
    <t>Approval meeting for REL-0050</t>
  </si>
  <si>
    <t>CAB: HubSpot Module Update v4.7...</t>
  </si>
  <si>
    <t>Approval meeting for REL-0051</t>
  </si>
  <si>
    <t>CAB: SAP Configuration Change v1.3...</t>
  </si>
  <si>
    <t>Approval meeting for REL-0052</t>
  </si>
  <si>
    <t>CAB: Splunk Global Rollout v5.8...</t>
  </si>
  <si>
    <t>Approval meeting for REL-0053</t>
  </si>
  <si>
    <t>CAB: Workday Core Transformation v2...</t>
  </si>
  <si>
    <t>Approval meeting for REL-0054</t>
  </si>
  <si>
    <t>CAB: DocuSign Major Enhancement v5....</t>
  </si>
  <si>
    <t>Approval meeting for REL-0055</t>
  </si>
  <si>
    <t>CAB: Okta Performance Optimization ...</t>
  </si>
  <si>
    <t>Approval meeting for REL-0056</t>
  </si>
  <si>
    <t>CAB: Manhattan API Enhancement v2.0...</t>
  </si>
  <si>
    <t>Approval meeting for REL-0058</t>
  </si>
  <si>
    <t>CAB: Coupa Security Patch Bundle v3...</t>
  </si>
  <si>
    <t>Approval meeting for REL-0057</t>
  </si>
  <si>
    <t>CAB: Salesforce Workflow Automation...</t>
  </si>
  <si>
    <t>Approval meeting for REL-0059</t>
  </si>
  <si>
    <t>CAB: Plex UI Tweak v4.0...</t>
  </si>
  <si>
    <t>Approval meeting for REL-0060</t>
  </si>
  <si>
    <t>CAB: Datadog API Enhancement v5.6...</t>
  </si>
  <si>
    <t>Approval meeting for REL-0061</t>
  </si>
  <si>
    <t>CAB: SAP Report Fix v2.8...</t>
  </si>
  <si>
    <t>Approval meeting for REL-0062</t>
  </si>
  <si>
    <t>CAB: Mitratech Workflow Automation ...</t>
  </si>
  <si>
    <t>Approval meeting for REL-0063</t>
  </si>
  <si>
    <t>Q1 Quarter-End Freeze START</t>
  </si>
  <si>
    <t>Q1 Quarter-End Freeze END</t>
  </si>
  <si>
    <t>Approval meeting for REL-0064</t>
  </si>
  <si>
    <t>CAB: Oracle System Migration v1.9...</t>
  </si>
  <si>
    <t>Approval meeting for REL-0065</t>
  </si>
  <si>
    <t>CAB: Oracle Module Update v5.6...</t>
  </si>
  <si>
    <t>Approval meeting for REL-0066</t>
  </si>
  <si>
    <t>CAB: Salesforce Complete Redesign v...</t>
  </si>
  <si>
    <t>Approval meeting for REL-0067</t>
  </si>
  <si>
    <t>CAB: Rockwell Minor Update v1.1...</t>
  </si>
  <si>
    <t>Approval meeting for REL-0068</t>
  </si>
  <si>
    <t>CAB: BMC UI Tweak v5.1...</t>
  </si>
  <si>
    <t>Approval meeting for REL-0069</t>
  </si>
  <si>
    <t>CAB: Oracle Workflow Automation v3....</t>
  </si>
  <si>
    <t>Approval meeting for REL-0070</t>
  </si>
  <si>
    <t>CAB: Agiloft Minor Update v4.1...</t>
  </si>
  <si>
    <t>Approval meeting for REL-0071</t>
  </si>
  <si>
    <t>CAB: Kyriba Security Patch Bundle v...</t>
  </si>
  <si>
    <t>Approval meeting for REL-0073</t>
  </si>
  <si>
    <t>CAB: Palo Hotfix v5.8...</t>
  </si>
  <si>
    <t>Approval meeting for REL-0072</t>
  </si>
  <si>
    <t>CAB: Oracle Hotfix v4.3...</t>
  </si>
  <si>
    <t>Approval meeting for REL-0074</t>
  </si>
  <si>
    <t>CAB: HubSpot Performance Optimizati...</t>
  </si>
  <si>
    <t>Approval meeting for REL-0075</t>
  </si>
  <si>
    <t>CAB: SAP Hotfix v4.1...</t>
  </si>
  <si>
    <t>Approval meeting for REL-0076</t>
  </si>
  <si>
    <t>CAB: Jira Core Transformation v1.8...</t>
  </si>
  <si>
    <t>Approval meeting for REL-0077</t>
  </si>
  <si>
    <t>CAB: ADP Workflow Automation v2.7...</t>
  </si>
  <si>
    <t>Approval meeting for REL-0078</t>
  </si>
  <si>
    <t>CAB: Ironclad Module Update v4.7...</t>
  </si>
  <si>
    <t>Approval meeting for REL-0079</t>
  </si>
  <si>
    <t>CAB: CrowdStrike Performance Optimi...</t>
  </si>
  <si>
    <t>Approval meeting for REL-0080</t>
  </si>
  <si>
    <t>Q2 Quarter-End Freeze START</t>
  </si>
  <si>
    <t>Q2 Quarter-End Freeze END</t>
  </si>
  <si>
    <t>📖 QUICK REFERENCE: Release Calendar (Collapsible Section for Web)</t>
  </si>
  <si>
    <t>EVENT TYPES:</t>
  </si>
  <si>
    <t xml:space="preserve">  • RELEASE → Scheduled production deployment</t>
  </si>
  <si>
    <t xml:space="preserve">  • CAB MEETING → Change Advisory Board approval session</t>
  </si>
  <si>
    <t xml:space="preserve">  • CHANGE FREEZE → Deployment restrictions in effect</t>
  </si>
  <si>
    <t xml:space="preserve">  • VENDOR MAINTENANCE → Vendor-managed system downtime</t>
  </si>
  <si>
    <t>SIZE/IMPACT GUIDE:</t>
  </si>
  <si>
    <t xml:space="preserve">  • Small/Low → Quick deployment, minimal business impact</t>
  </si>
  <si>
    <t xml:space="preserve">  • Medium/Medium → Standard release cycle, moderate impact</t>
  </si>
  <si>
    <t xml:space="preserve">  • Large/High → Extended testing, significant business impact</t>
  </si>
  <si>
    <t>COLOR CODING: Rows are color-coded by event type for visual scanning</t>
  </si>
  <si>
    <t>QUICK TIP: Filter by Department or Application to see relevant events only</t>
  </si>
  <si>
    <t>📋 FULL DOCUMENTATION: Release Calendar Guide</t>
  </si>
  <si>
    <t>The Release Calendar provides a chronological view of ALL release-related events.</t>
  </si>
  <si>
    <t>It helps teams visualize the release schedule, identify conflicts, and plan accordingly.</t>
  </si>
  <si>
    <t>Use this calendar to coordinate timing across departments and avoid scheduling collisions.</t>
  </si>
  <si>
    <t>📅 EVENT TYPES EXPLAINED</t>
  </si>
  <si>
    <t>EVENT TYPE         | DESCRIPTION                                    | ACTION REQUIRED</t>
  </si>
  <si>
    <t>RELEASE            | Production deployment scheduled                | Ensure readiness</t>
  </si>
  <si>
    <t>CAB MEETING        | Change Advisory Board review session           | Prepare presentation</t>
  </si>
  <si>
    <t>CHANGE FREEZE      | Period when deployments are restricted         | Reschedule if needed</t>
  </si>
  <si>
    <t>VENDOR MAINTENANCE | Vendor-managed system downtime window          | Coordinate timing</t>
  </si>
  <si>
    <t>📊 SIZE AND IMPACT MATRIX</t>
  </si>
  <si>
    <t>SIZE    | TEST DAYS | UAT DAYS | TYPICAL IMPACT | EXAMPLES</t>
  </si>
  <si>
    <t>Small   | 3         | 2        | Low            | Bug fixes, UI tweaks, config changes</t>
  </si>
  <si>
    <t>Medium  | 5         | 3        | Medium         | Feature enhancements, integrations</t>
  </si>
  <si>
    <t>Large   | 10        | 5        | High           | Major releases, platform upgrades</t>
  </si>
  <si>
    <t>❄️ CHANGE FREEZE PERIODS</t>
  </si>
  <si>
    <t>Freeze periods restrict deployments to protect critical business operations:</t>
  </si>
  <si>
    <t>• Quarter-End Freeze: Final week of each fiscal quarter (finance close)</t>
  </si>
  <si>
    <t>• Year-End Freeze: Mid-December through early January</t>
  </si>
  <si>
    <t>• Audit Freeze: During SOX/compliance audit windows</t>
  </si>
  <si>
    <t>• Holiday Freeze: Major holiday periods</t>
  </si>
  <si>
    <t>DURING FREEZE: Only P1-Critical releases with executive approval may proceed</t>
  </si>
  <si>
    <t>• Month/Week/Date/Day: Calendar positioning for the event</t>
  </si>
  <si>
    <t>• Event Type: Category of calendar entry (Release, CAB, Freeze, etc.)</t>
  </si>
  <si>
    <t>• Release ID: Links to the Releases sheet for full details</t>
  </si>
  <si>
    <t>• Release Name: Descriptive identifier for quick reference</t>
  </si>
  <si>
    <t>• Application: System affected by the event</t>
  </si>
  <si>
    <t>• Department: Business unit responsible</t>
  </si>
  <si>
    <t>• Size/Impact: Release complexity and business criticality</t>
  </si>
  <si>
    <t>• Notes: Additional context or special instructions</t>
  </si>
  <si>
    <t>🔗 RELATED SHEETS</t>
  </si>
  <si>
    <t>• Releases: Full release details, status, and blockers</t>
  </si>
  <si>
    <t>• Env Booking: Environment reservation timeline</t>
  </si>
  <si>
    <t>• Risk: Risk assessment for each release</t>
  </si>
  <si>
    <t>• Leave Calendar: Team availability during release windows</t>
  </si>
  <si>
    <t>1. CHECK WEEKLY: Review upcoming 2-week window every Monday</t>
  </si>
  <si>
    <t>2. WATCH FOR CONFLICTS: Multiple releases on same day = coordinate carefully</t>
  </si>
  <si>
    <t>3. RESPECT FREEZES: Plan releases to complete before freeze periods</t>
  </si>
  <si>
    <t>4. COORDINATE CAB: Submit CAB materials at least 3 days before meeting</t>
  </si>
  <si>
    <t>5. VERIFY RESOURCES: Cross-check Leave Calendar for key personnel availability</t>
  </si>
  <si>
    <t>6. COMMUNICATE EARLY: Notify stakeholders of any schedule changes immediately</t>
  </si>
  <si>
    <t>📋 PURPOSE: This page tracks and manages environment booking conflicts. When multiple releases require the same environment during overlapping time periods, a conflict is created and must be resolved before testing can proceed. Each conflict is assigned to a Conflict Resolution Specialist who coordinates with release owners to negotiate timing, share environments, or escalate as needed.</t>
  </si>
  <si>
    <t>Priority:</t>
  </si>
  <si>
    <t>Assigned To:</t>
  </si>
  <si>
    <t>26 of 26 conflicts</t>
  </si>
  <si>
    <t>Assigned To</t>
  </si>
  <si>
    <t>Release 1</t>
  </si>
  <si>
    <t>Release 2</t>
  </si>
  <si>
    <t>Conflicting Environment</t>
  </si>
  <si>
    <t>Environment Conflict Type</t>
  </si>
  <si>
    <t>Kyriba / Zendesk</t>
  </si>
  <si>
    <t>Finance / CRM</t>
  </si>
  <si>
    <t>FIN-TEST-01, FIN-UAT-01</t>
  </si>
  <si>
    <t>Both releases need Finance environments simultaneously</t>
  </si>
  <si>
    <t>CNF-0002</t>
  </si>
  <si>
    <t>Zendesk / Mitratech TeamConnect</t>
  </si>
  <si>
    <t>CRM / Legal</t>
  </si>
  <si>
    <t>Negotiating schedule adjustment</t>
  </si>
  <si>
    <t>Datadog / Manhattan Associates WMS</t>
  </si>
  <si>
    <t>IT / Logistics</t>
  </si>
  <si>
    <t>IT-TEST-01, IT-UAT-01</t>
  </si>
  <si>
    <t>Pending Review</t>
  </si>
  <si>
    <t>Mitratech TeamConnect / Plex Smart Manufacturing</t>
  </si>
  <si>
    <t>Legal / Manufacturing</t>
  </si>
  <si>
    <t>Awaiting release owner response</t>
  </si>
  <si>
    <t>Oracle Hyperion HFM / Oracle HCM Cloud</t>
  </si>
  <si>
    <t>Finance / HR</t>
  </si>
  <si>
    <t>HubSpot CRM / Oracle HCM Cloud</t>
  </si>
  <si>
    <t>CRM / HR</t>
  </si>
  <si>
    <t>CRM-TEST-02, CRM-UAT-01</t>
  </si>
  <si>
    <t>Escalated to Release Director</t>
  </si>
  <si>
    <t>Dynatrace / DocuSign CLM</t>
  </si>
  <si>
    <t>IT / Legal</t>
  </si>
  <si>
    <t>IT-TEST-03, IT-UAT-01</t>
  </si>
  <si>
    <t>IT resources limited</t>
  </si>
  <si>
    <t>CNF-0008</t>
  </si>
  <si>
    <t>DocuSign CLM / HighRadius</t>
  </si>
  <si>
    <t>Legal / Finance</t>
  </si>
  <si>
    <t>Exploring parallel testing</t>
  </si>
  <si>
    <t>Salesforce Service Cloud / Splunk Enterprise</t>
  </si>
  <si>
    <t>CRM / IT</t>
  </si>
  <si>
    <t>CRM-TEST-01, CRM-UAT-02</t>
  </si>
  <si>
    <t>CRM team to prioritize</t>
  </si>
  <si>
    <t>HighRadius / Oracle HCM Cloud</t>
  </si>
  <si>
    <t>Schedule adjusted - resolved</t>
  </si>
  <si>
    <t>Splunk Enterprise / Kinaxis RapidResponse</t>
  </si>
  <si>
    <t>Cross-department coordination needed</t>
  </si>
  <si>
    <t>DocuSign CLM / Salesforce Sales Cloud</t>
  </si>
  <si>
    <t>Legal / CRM</t>
  </si>
  <si>
    <t>LEG-TEST-02, LEG-UAT-02</t>
  </si>
  <si>
    <t>Reviewing alternative dates</t>
  </si>
  <si>
    <t>Anaplan / Microsoft Dynamics 365 CRM</t>
  </si>
  <si>
    <t>December freeze consideration</t>
  </si>
  <si>
    <t>Okta Identity Cloud / Manhattan Associates WMS</t>
  </si>
  <si>
    <t>Security / Logistics</t>
  </si>
  <si>
    <t>SEC-TEST-01, SEC-UAT-02</t>
  </si>
  <si>
    <t>Security team coordination</t>
  </si>
  <si>
    <t>Oracle Transportation Management / Rockwell FactoryTalk</t>
  </si>
  <si>
    <t>Logistics / Manufacturing</t>
  </si>
  <si>
    <t>LOG-TEST-02, LOG-UAT-01</t>
  </si>
  <si>
    <t>Q2 deadline pressure</t>
  </si>
  <si>
    <t>Agiloft CLM / Kyriba</t>
  </si>
  <si>
    <t>LEG-TEST-03, LEG-UAT-01</t>
  </si>
  <si>
    <t>Multiple stakeholder escalation</t>
  </si>
  <si>
    <t>CNF-0017</t>
  </si>
  <si>
    <t>CNF-0018</t>
  </si>
  <si>
    <t>Oracle Hyperion HFM / HubSpot CRM</t>
  </si>
  <si>
    <t>FIN-UAT-01, CRM-UAT-01</t>
  </si>
  <si>
    <t>CNF-0019</t>
  </si>
  <si>
    <t>Oracle HCM Cloud / HubSpot CRM</t>
  </si>
  <si>
    <t>HR / CRM</t>
  </si>
  <si>
    <t>HR release prioritized</t>
  </si>
  <si>
    <t>CNF-0020</t>
  </si>
  <si>
    <t>Plex Smart Manufacturing / Mitratech TeamConnect</t>
  </si>
  <si>
    <t>Manufacturing / Legal</t>
  </si>
  <si>
    <t>Resolved - staggered testing</t>
  </si>
  <si>
    <t>CNF-0021</t>
  </si>
  <si>
    <t>Kinaxis RapidResponse / Salesforce Service Cloud</t>
  </si>
  <si>
    <t>Logistics / CRM</t>
  </si>
  <si>
    <t>Testing shared environments</t>
  </si>
  <si>
    <t>CNF-0022</t>
  </si>
  <si>
    <t>Salesforce Sales Cloud / DocuSign CLM</t>
  </si>
  <si>
    <t>Legal team dependency</t>
  </si>
  <si>
    <t>CNF-0023</t>
  </si>
  <si>
    <t>Microsoft Dynamics 365 CRM / Anaplan</t>
  </si>
  <si>
    <t>CRM / Finance</t>
  </si>
  <si>
    <t>Year-end freeze impact</t>
  </si>
  <si>
    <t>CNF-0024</t>
  </si>
  <si>
    <t>Manhattan Associates WMS / Okta Identity Cloud</t>
  </si>
  <si>
    <t>Logistics / Security</t>
  </si>
  <si>
    <t>Security release priority TBD</t>
  </si>
  <si>
    <t>CNF-0025</t>
  </si>
  <si>
    <t>Rockwell FactoryTalk / Oracle Transportation Management</t>
  </si>
  <si>
    <t>Manufacturing / Logistics</t>
  </si>
  <si>
    <t>Manufacturing critical path</t>
  </si>
  <si>
    <t>CNF-0026</t>
  </si>
  <si>
    <t>Kyriba / Agiloft CLM</t>
  </si>
  <si>
    <t>Finance / Legal</t>
  </si>
  <si>
    <t>Q2 close deadline</t>
  </si>
  <si>
    <t>📊 CONFLICT SUMMARY</t>
  </si>
  <si>
    <t>Total Conflicts:</t>
  </si>
  <si>
    <t>Open:</t>
  </si>
  <si>
    <t>In Progress:</t>
  </si>
  <si>
    <t>Pending Review:</t>
  </si>
  <si>
    <t>Escalated:</t>
  </si>
  <si>
    <t>Resolved:</t>
  </si>
  <si>
    <t>RELEASE RISK REGISTER</t>
  </si>
  <si>
    <t>Comprehensive risk assessment for releases in the next 45 days (Jun 25 - Aug 9, 2026)</t>
  </si>
  <si>
    <t>Category:</t>
  </si>
  <si>
    <t>💡 Filter risks by level, status, category</t>
  </si>
  <si>
    <t>Risk ID</t>
  </si>
  <si>
    <t>Risk Category</t>
  </si>
  <si>
    <t>Risk Description</t>
  </si>
  <si>
    <t>Likelihood</t>
  </si>
  <si>
    <t>Affected Area</t>
  </si>
  <si>
    <t>Mitigation Strategy</t>
  </si>
  <si>
    <t>Risk Owner</t>
  </si>
  <si>
    <t>Risk Owner ID</t>
  </si>
  <si>
    <t>RSK-001</t>
  </si>
  <si>
    <t>Resource</t>
  </si>
  <si>
    <t>QA Lead (Sam Anderson) on leave during release window</t>
  </si>
  <si>
    <t>Assign backup QA resource; expedite testing before leave starts</t>
  </si>
  <si>
    <t>Monitoring</t>
  </si>
  <si>
    <t>Leave Calendar: LV-001</t>
  </si>
  <si>
    <t>RSK-002</t>
  </si>
  <si>
    <t>Release falls on quarter-end freeze period</t>
  </si>
  <si>
    <t>Obtain CAB exemption for low-impact UI change</t>
  </si>
  <si>
    <t>Change Freeze exception requested</t>
  </si>
  <si>
    <t>Likelihood Scale</t>
  </si>
  <si>
    <t>RSK-003</t>
  </si>
  <si>
    <t>Minor JavaScript compatibility issue with IE11 users (2% of user base)</t>
  </si>
  <si>
    <t>User Experience</t>
  </si>
  <si>
    <t>Add browser detection; display upgrade notice for IE11 users</t>
  </si>
  <si>
    <t>Low user impact; IE11 EOL communicated</t>
  </si>
  <si>
    <t>&lt; 10% chance</t>
  </si>
  <si>
    <t>RSK-004</t>
  </si>
  <si>
    <t>Vendor</t>
  </si>
  <si>
    <t>Zendesk maintenance window scheduled same week</t>
  </si>
  <si>
    <t>Coordinate with Zendesk support; confirm no conflict</t>
  </si>
  <si>
    <t>Vendor Manager</t>
  </si>
  <si>
    <t>Awaiting Zendesk confirmation</t>
  </si>
  <si>
    <t>10-25% chance</t>
  </si>
  <si>
    <t>RSK-005</t>
  </si>
  <si>
    <t>Upstream ERP data feed changes not yet deployed</t>
  </si>
  <si>
    <t>Expedite ERP change; implement data validation fallback</t>
  </si>
  <si>
    <t>Integration Lead</t>
  </si>
  <si>
    <t>Dependency on Finance team ERP release</t>
  </si>
  <si>
    <t>25-50% chance</t>
  </si>
  <si>
    <t>RSK-006</t>
  </si>
  <si>
    <t>UAT incomplete - 3 of 12 test scenarios pending</t>
  </si>
  <si>
    <t>Quality</t>
  </si>
  <si>
    <t>Prioritize remaining scenarios; extend UAT by 1 day if needed</t>
  </si>
  <si>
    <t>78% UAT complete</t>
  </si>
  <si>
    <t>50-75% chance</t>
  </si>
  <si>
    <t>RSK-007</t>
  </si>
  <si>
    <t>Key developer on conference during hypercare period</t>
  </si>
  <si>
    <t>Support</t>
  </si>
  <si>
    <t>Ensure knowledge transfer; establish remote support protocol</t>
  </si>
  <si>
    <t>Developer available via mobile</t>
  </si>
  <si>
    <t>&gt; 75% chance</t>
  </si>
  <si>
    <t>RSK-008</t>
  </si>
  <si>
    <t>Compliance</t>
  </si>
  <si>
    <t>Legal review of new data sharing clauses pending</t>
  </si>
  <si>
    <t>Legal/Regulatory</t>
  </si>
  <si>
    <t>Escalate to Legal Director; prepare rollback plan</t>
  </si>
  <si>
    <t>Legal Counsel</t>
  </si>
  <si>
    <t>GDPR implications under review</t>
  </si>
  <si>
    <t>RSK-009</t>
  </si>
  <si>
    <t>API rate limiting may cause timeout during peak hours</t>
  </si>
  <si>
    <t>Implement request queuing; schedule deployment for off-peak</t>
  </si>
  <si>
    <t>Load testing in progress</t>
  </si>
  <si>
    <t>Impact Scale</t>
  </si>
  <si>
    <t>RSK-010</t>
  </si>
  <si>
    <t>Additional report requested by Plant Manager - scope creep</t>
  </si>
  <si>
    <t>Defer new report to next release; document in backlog</t>
  </si>
  <si>
    <t>Product Owner</t>
  </si>
  <si>
    <t>Change request logged for v2.6</t>
  </si>
  <si>
    <t>Minor inconvenience</t>
  </si>
  <si>
    <t>RSK-011</t>
  </si>
  <si>
    <t>Test environment scheduled for maintenance during testing</t>
  </si>
  <si>
    <t>Reschedule env maintenance or use backup test instance</t>
  </si>
  <si>
    <t>Env Manager</t>
  </si>
  <si>
    <t>Coordinating with IT Ops</t>
  </si>
  <si>
    <t>Some disruption, workaround available</t>
  </si>
  <si>
    <t>RSK-012</t>
  </si>
  <si>
    <t>UAT Oracle version mismatch (18c vs 19c) - DFT-001</t>
  </si>
  <si>
    <t>Upgrade UAT Oracle or modify queries for compatibility</t>
  </si>
  <si>
    <t>DBA Lead</t>
  </si>
  <si>
    <t>See Drift sheet DFT-001</t>
  </si>
  <si>
    <t>Significant disruption</t>
  </si>
  <si>
    <t>RSK-013</t>
  </si>
  <si>
    <t>Pre-prod API timeout config mismatch - DFT-002</t>
  </si>
  <si>
    <t>Align Pre-prod timeout settings with Prod</t>
  </si>
  <si>
    <t>DevOps</t>
  </si>
  <si>
    <t>See Drift sheet DFT-002</t>
  </si>
  <si>
    <t>Severe business impact</t>
  </si>
  <si>
    <t>RSK-014</t>
  </si>
  <si>
    <t>New charting library has known memory leak in Chrome</t>
  </si>
  <si>
    <t>Apply vendor patch; implement cleanup routine</t>
  </si>
  <si>
    <t>Dev Team</t>
  </si>
  <si>
    <t>Patch available, testing in progress</t>
  </si>
  <si>
    <t>Severe</t>
  </si>
  <si>
    <t>Critical failure, major loss</t>
  </si>
  <si>
    <t>RSK-015</t>
  </si>
  <si>
    <t>Dev Manager (Alex Rivera) on leave during final testing</t>
  </si>
  <si>
    <t>Decisions</t>
  </si>
  <si>
    <t>Delegate approval authority; pre-approve critical decisions</t>
  </si>
  <si>
    <t>Director</t>
  </si>
  <si>
    <t>Leave Calendar: LV-004</t>
  </si>
  <si>
    <t>RSK-016</t>
  </si>
  <si>
    <t>End-user training not yet scheduled</t>
  </si>
  <si>
    <t>Adoption</t>
  </si>
  <si>
    <t>Schedule training sessions; prepare quick-start guide</t>
  </si>
  <si>
    <t>Training Lead</t>
  </si>
  <si>
    <t>Training dates being finalized</t>
  </si>
  <si>
    <t>Risk Score = Likelihood × Impact</t>
  </si>
  <si>
    <t>RSK-017</t>
  </si>
  <si>
    <t>Patch addresses critical CVE - delay increases exposure</t>
  </si>
  <si>
    <t>Prioritize release; implement compensating controls until deployed</t>
  </si>
  <si>
    <t>Security Lead</t>
  </si>
  <si>
    <t>CVE-2026-1234 - CVSS 8.1</t>
  </si>
  <si>
    <t>1 to 5</t>
  </si>
  <si>
    <t>Monitor</t>
  </si>
  <si>
    <t>RSK-018</t>
  </si>
  <si>
    <t>Requires agent update on 50+ monitored servers</t>
  </si>
  <si>
    <t>Phase rollout by server criticality; prepare rollback scripts</t>
  </si>
  <si>
    <t>IT Ops</t>
  </si>
  <si>
    <t>Rollout plan under review</t>
  </si>
  <si>
    <t>6  to 12</t>
  </si>
  <si>
    <t>Mitigate</t>
  </si>
  <si>
    <t>RSK-019</t>
  </si>
  <si>
    <t>Limited time for regression testing across all integrations</t>
  </si>
  <si>
    <t>Focus on critical integrations; accept risk on low-priority monitors</t>
  </si>
  <si>
    <t>Risk-based testing approach</t>
  </si>
  <si>
    <t>12 to 19</t>
  </si>
  <si>
    <t>Escalate</t>
  </si>
  <si>
    <t>RSK-020</t>
  </si>
  <si>
    <t>Pre-prod memory insufficient for batch processing - DFT-004</t>
  </si>
  <si>
    <t>Escalate RAM upgrade request to Infrastructure Director</t>
  </si>
  <si>
    <t>Infra Manager</t>
  </si>
  <si>
    <t>See Drift sheet DFT-004 - CRITICAL</t>
  </si>
  <si>
    <t>20 to 25</t>
  </si>
  <si>
    <t>Immediate Action</t>
  </si>
  <si>
    <t>RSK-021</t>
  </si>
  <si>
    <t>Feature flags not synced to UAT - DFT-005</t>
  </si>
  <si>
    <t>Sync feature flags before UAT sign-off</t>
  </si>
  <si>
    <t>See Drift sheet DFT-005</t>
  </si>
  <si>
    <t>RSK-022</t>
  </si>
  <si>
    <t>Carrier API version mismatch in UAT - DFT-006</t>
  </si>
  <si>
    <t>Update UAT carrier API endpoint configuration</t>
  </si>
  <si>
    <t>See Drift sheet DFT-006</t>
  </si>
  <si>
    <t>SUMMARY STATISTICS</t>
  </si>
  <si>
    <t>RSK-023</t>
  </si>
  <si>
    <t>Business</t>
  </si>
  <si>
    <t>Peak season approaching - failed release impacts fulfillment</t>
  </si>
  <si>
    <t>Ensure robust rollback plan; schedule for low-volume window</t>
  </si>
  <si>
    <t>Operations Dir</t>
  </si>
  <si>
    <t>Q3 peak starts Aug 15</t>
  </si>
  <si>
    <t>Total Risks</t>
  </si>
  <si>
    <t>RSK-024</t>
  </si>
  <si>
    <t>Change Mgmt</t>
  </si>
  <si>
    <t>Warehouse staff require retraining on new RF gun interface</t>
  </si>
  <si>
    <t>Deploy training app; schedule floor training sessions</t>
  </si>
  <si>
    <t>Warehouse Mgr</t>
  </si>
  <si>
    <t>Training materials ready</t>
  </si>
  <si>
    <t>Critical Risks (20+)</t>
  </si>
  <si>
    <t>RSK-025</t>
  </si>
  <si>
    <t>Rollback</t>
  </si>
  <si>
    <t>Rollback complexity high due to database schema changes</t>
  </si>
  <si>
    <t>Recovery</t>
  </si>
  <si>
    <t>Pre-create rollback scripts; test rollback in Pre-prod</t>
  </si>
  <si>
    <t>Rollback tested successfully</t>
  </si>
  <si>
    <t>High Risks (12-19)</t>
  </si>
  <si>
    <t>RSK-026</t>
  </si>
  <si>
    <t>HR owner (Jack Wilson) on sick leave</t>
  </si>
  <si>
    <t>Identify backup approver; document approval delegation</t>
  </si>
  <si>
    <t>Leave Calendar: LV-003</t>
  </si>
  <si>
    <t>Medium Risks (6-11)</t>
  </si>
  <si>
    <t>RSK-027</t>
  </si>
  <si>
    <t>Payroll calculation changes require audit trail documentation</t>
  </si>
  <si>
    <t>Ensure change log captures all config modifications</t>
  </si>
  <si>
    <t>SOX control requirement</t>
  </si>
  <si>
    <t>Low Risks (1-5)</t>
  </si>
  <si>
    <t>RSK-028</t>
  </si>
  <si>
    <t>Update requires CrowdStrike support window coordination</t>
  </si>
  <si>
    <t>Confirm vendor support availability; book slot</t>
  </si>
  <si>
    <t>Standard vendor coordination</t>
  </si>
  <si>
    <t>Status Breakdown</t>
  </si>
  <si>
    <t>RSK-029</t>
  </si>
  <si>
    <t>Fix may impact 3 downstream financial reports</t>
  </si>
  <si>
    <t>Validate downstream reports in UAT; notify Finance team</t>
  </si>
  <si>
    <t>Finance BA</t>
  </si>
  <si>
    <t>Impact assessment complete</t>
  </si>
  <si>
    <t>Drift-Related Risks</t>
  </si>
  <si>
    <t>RSK-030</t>
  </si>
  <si>
    <t>Month-end close - Finance team availability limited</t>
  </si>
  <si>
    <t>Schedule deployment post-close or obtain dedicated support</t>
  </si>
  <si>
    <t>Finance Dir</t>
  </si>
  <si>
    <t>Targeting post-close window</t>
  </si>
  <si>
    <t>Escalated Status</t>
  </si>
  <si>
    <t>RSK-031</t>
  </si>
  <si>
    <t>Marketing campaign data sync timing during deployment</t>
  </si>
  <si>
    <t>Marketing</t>
  </si>
  <si>
    <t>Schedule deployment outside campaign send windows</t>
  </si>
  <si>
    <t>Marketing Ops</t>
  </si>
  <si>
    <t>Low risk - standard precaution</t>
  </si>
  <si>
    <t>Open Status</t>
  </si>
  <si>
    <t>📖 QUICK REFERENCE: Understanding Risk Scores (Collapsible Section for Web)</t>
  </si>
  <si>
    <t>RISK SCORE = Likelihood (1-5) × Impact (1-5)     |     Range: 1-25</t>
  </si>
  <si>
    <t>SEVERITY QUICK GUIDE:</t>
  </si>
  <si>
    <t>📋 FULL DOCUMENTATION: Risk Assessment Guide</t>
  </si>
  <si>
    <t>This sheet tracks QUALITATIVE/EVENT-BASED RISKS — specific risk events identified during release planning.</t>
  </si>
  <si>
    <t>Unlike technical metrics (in Risk Factors), these are discrete risk items requiring human judgment and mitigation.</t>
  </si>
  <si>
    <t>Each release can have MULTIPLE risk entries for granular tracking throughout the release lifecycle.</t>
  </si>
  <si>
    <t>📊 RISK SCORE CALCULATION</t>
  </si>
  <si>
    <t>Formula: RISK SCORE = LIKELIHOOD × IMPACT</t>
  </si>
  <si>
    <t>LIKELIHOOD SCALE:                              IMPACT SCALE:</t>
  </si>
  <si>
    <t>🚦 SEVERITY INTERPRETATION TABLE</t>
  </si>
  <si>
    <t>SCORE RANGE | SEVERITY   | COLOR  | REQUIRED ACTION</t>
  </si>
  <si>
    <t>─────────────────────────────────────────────────────────────────────────────</t>
  </si>
  <si>
    <t>1-4         | LOW        | Green  | Document and monitor; no escalation needed</t>
  </si>
  <si>
    <t>5-8         | MEDIUM     | Yellow | Track actively; ensure mitigation plan exists</t>
  </si>
  <si>
    <t>9-12        | HIGH       | Orange | Mitigation required before CAB; notify stakeholders</t>
  </si>
  <si>
    <t>15-25       | CRITICAL   | Red    | Escalate to leadership; consider delaying release</t>
  </si>
  <si>
    <t>🎯 DECISION-MAKING FRAMEWORK</t>
  </si>
  <si>
    <t>FOR CAB MEETINGS:</t>
  </si>
  <si>
    <t>• Present all HIGH and CRITICAL risks with mitigation status</t>
  </si>
  <si>
    <t>• LOW/MEDIUM risks can be summarized in aggregate</t>
  </si>
  <si>
    <t>• Any unmitigated HIGH risk requires explicit CAB acknowledgment</t>
  </si>
  <si>
    <t>• CRITICAL risks typically require executive sponsor approval</t>
  </si>
  <si>
    <t>GO/NO-GO CRITERIA:</t>
  </si>
  <si>
    <t>• ✅ PROCEED: All risks LOW/MEDIUM, or HIGH risks have approved mitigations</t>
  </si>
  <si>
    <t>• ⚠️ CONDITIONAL: HIGH risks exist but mitigations are in progress</t>
  </si>
  <si>
    <t>• 🛑 DELAY: Any CRITICAL unmitigated risk, or multiple HIGH without mitigation</t>
  </si>
  <si>
    <t>• Risk ID: Unique identifier for tracking and reference</t>
  </si>
  <si>
    <t>• Release ID: Links risk to specific release (one release can have many risks)</t>
  </si>
  <si>
    <t>• Risk Description: Clear statement of what could go wrong</t>
  </si>
  <si>
    <t>• Likelihood (1-5): Probability of risk occurring</t>
  </si>
  <si>
    <t>• Impact (1-5): Severity if risk materializes</t>
  </si>
  <si>
    <t>• Risk Score: Calculated = Likelihood × Impact</t>
  </si>
  <si>
    <t>• Severity: Derived from Risk Score (LOW/MEDIUM/HIGH/CRITICAL)</t>
  </si>
  <si>
    <t>• Mitigation Plan: Actions to reduce likelihood or impact</t>
  </si>
  <si>
    <t>• Mitigation Status: Not Started / In Progress / Completed / Accepted</t>
  </si>
  <si>
    <t>• Owner: Person responsible for managing this risk</t>
  </si>
  <si>
    <t>1. IDENTIFY EARLY: Log risks as soon as discovered, don't wait for CAB</t>
  </si>
  <si>
    <t>2. BE SPECIFIC: Vague risks like 'might fail' are unhelpful — describe the scenario</t>
  </si>
  <si>
    <t>3. REASSESS REGULARLY: Likelihood and impact can change — update scores weekly</t>
  </si>
  <si>
    <t>4. OWN EVERY RISK: Unowned risks don't get mitigated</t>
  </si>
  <si>
    <t>5. CLOSE THE LOOP: Mark risks as mitigated or accepted after release</t>
  </si>
  <si>
    <t>6. LEARN FROM HISTORY: Review past release risks when planning new ones</t>
  </si>
  <si>
    <t>7. ESCALATE EARLY: It's better to raise a false alarm than miss a real issue</t>
  </si>
  <si>
    <t>⚠️ RELATIONSHIP TO RISK FACTORS SHEET:</t>
  </si>
  <si>
    <t>This sheet tracks discrete risk EVENTS. Risk Factors sheet calculates a weighted</t>
  </si>
  <si>
    <t>TECHNICAL SCORE based on release characteristics. Use BOTH for complete assessment.</t>
  </si>
  <si>
    <t>ENVIRONMENT &amp; APPLICATION DRIFT TRACKER</t>
  </si>
  <si>
    <t>Drift issues discovered during release testing phases</t>
  </si>
  <si>
    <t>Environment:</t>
  </si>
  <si>
    <t>Drift Type:</t>
  </si>
  <si>
    <t>Severity:</t>
  </si>
  <si>
    <t>💡 Filter drift issues by app, env, type</t>
  </si>
  <si>
    <t>Drift ID</t>
  </si>
  <si>
    <t>Drift Category</t>
  </si>
  <si>
    <t>Detected Date</t>
  </si>
  <si>
    <t>Impact on Release</t>
  </si>
  <si>
    <t>Remediation Action</t>
  </si>
  <si>
    <t>ETA to Fix</t>
  </si>
  <si>
    <t>DFT-001</t>
  </si>
  <si>
    <t>Database Version</t>
  </si>
  <si>
    <t>UAT running Oracle 18c while Prod is on Oracle 19c. New dashboard queries use 19c-specific JSON functions.</t>
  </si>
  <si>
    <t>Dashboard queries will fail in Prod if not addressed. Blocker for UAT sign-off.</t>
  </si>
  <si>
    <t>Upgrade UAT Oracle instance to 19c or modify queries for backward compatibility</t>
  </si>
  <si>
    <t>DFT-002</t>
  </si>
  <si>
    <t>API Timeout Settings</t>
  </si>
  <si>
    <t>API timeout set to 60s in Pre-prod vs 30s in Prod. Performance testing results may not reflect Prod behavior.</t>
  </si>
  <si>
    <t>Performance test results unreliable. May pass in Pre-prod but timeout in Prod.</t>
  </si>
  <si>
    <t>Update Pre-prod timeout configuration to match Prod (30s)</t>
  </si>
  <si>
    <t>DFT-003</t>
  </si>
  <si>
    <t>Test Data Stale</t>
  </si>
  <si>
    <t>Test environment data last refreshed 45 days ago. Missing recent product SKUs added in last month.</t>
  </si>
  <si>
    <t>Some dashboard filters may not be fully tested with current product catalog.</t>
  </si>
  <si>
    <t>Refresh Test environment data from Prod snapshot</t>
  </si>
  <si>
    <t>DFT-004</t>
  </si>
  <si>
    <t>Memory Allocation</t>
  </si>
  <si>
    <t>Pre-prod has 16GB RAM vs Prod's 32GB. New batch processing module requires 24GB minimum for peak loads.</t>
  </si>
  <si>
    <t>Batch processing will fail under load in testing. Cannot validate Prod readiness.</t>
  </si>
  <si>
    <t>Request infrastructure team to increase Pre-prod RAM to 32GB</t>
  </si>
  <si>
    <t>DFT-005</t>
  </si>
  <si>
    <t>3 feature flags enabled in Prod not replicated to UAT: ASYNC_PICKING, WAVE_OPTIMIZATION, RF_GUN_V2.</t>
  </si>
  <si>
    <t>UAT testing not representative of Prod. Business users testing outdated functionality.</t>
  </si>
  <si>
    <t>Sync feature flag configuration from Prod to UAT</t>
  </si>
  <si>
    <t>DFT-006</t>
  </si>
  <si>
    <t>Third-party Endpoint</t>
  </si>
  <si>
    <t>UAT pointing to carrier API sandbox (v2.1) while Prod uses production API (v2.3). Response formats differ.</t>
  </si>
  <si>
    <t>Shipping label generation tests may pass but fail in Prod due to API version mismatch.</t>
  </si>
  <si>
    <t>Update UAT carrier API endpoint to use v2.3 sandbox mirror</t>
  </si>
  <si>
    <t>DFT-007</t>
  </si>
  <si>
    <t>SSL Certificate</t>
  </si>
  <si>
    <t>Test environment SSL certificate expired 5 days ago. Currently bypassed with security exception.</t>
  </si>
  <si>
    <t>Security scans will fail. Cannot complete security sign-off for release.</t>
  </si>
  <si>
    <t>Renew SSL certificate for Test environment</t>
  </si>
  <si>
    <t>📖 QUICK REFERENCE: Environment Drift (Collapsible Section for Web)</t>
  </si>
  <si>
    <t>DRIFT = Unintended differences between environments that shouldn't exist</t>
  </si>
  <si>
    <t>SEVERITY:  Config Drift → ⚠️ Unexpected behavior  |  Version Drift → 🛑 Invalid testing</t>
  </si>
  <si>
    <t>GO/NO-GO: Resolve HIGH/CRITICAL drift BEFORE deploying to Prod</t>
  </si>
  <si>
    <t>[▼ Full documentation below]</t>
  </si>
  <si>
    <t>📋 ENVIRONMENT &amp; APPLICATION DRIFT - COMPREHENSIVE GUIDE</t>
  </si>
  <si>
    <t>🎯 WHAT IS ENVIRONMENT/APPLICATION DRIFT?</t>
  </si>
  <si>
    <t>Drift occurs when environments (Dev, Test, UAT, Pre-prod) become inconsistent with Production.</t>
  </si>
  <si>
    <t>This inconsistency means testing may not accurately reflect how the release will behave in Production.</t>
  </si>
  <si>
    <t>Common causes: Configuration changes, database version differences, missing patches, stale test data.</t>
  </si>
  <si>
    <t>WHY DRIFT MATTERS:</t>
  </si>
  <si>
    <t>• Testing in a drifted environment gives FALSE CONFIDENCE — tests pass but production fails</t>
  </si>
  <si>
    <t>• Deployment scripts may work in Test but fail in Prod due to infrastructure differences</t>
  </si>
  <si>
    <t>• Performance testing is unreliable if Pre-prod has different resources than Prod</t>
  </si>
  <si>
    <t>• Security vulnerabilities may exist in Prod but not in Test environments</t>
  </si>
  <si>
    <t>📊 DRIFT CATEGORIES EXPLAINED</t>
  </si>
  <si>
    <t>What It Means</t>
  </si>
  <si>
    <t>Risk If Ignored</t>
  </si>
  <si>
    <t>Hardware, OS, memory, CPU differences</t>
  </si>
  <si>
    <t>Performance failures, capacity issues</t>
  </si>
  <si>
    <t>App settings, feature flags, timeouts</t>
  </si>
  <si>
    <t>Unexpected behavior, silent failures</t>
  </si>
  <si>
    <t>Different DB engine versions</t>
  </si>
  <si>
    <t>Query failures, incompatibility</t>
  </si>
  <si>
    <t>Stale/incomplete test data</t>
  </si>
  <si>
    <t>Edge cases untested</t>
  </si>
  <si>
    <t>API endpoints, third-party versions</t>
  </si>
  <si>
    <t>Integration failures at go-live</t>
  </si>
  <si>
    <t>Missing patches, certificate diffs</t>
  </si>
  <si>
    <t>Vulnerability exposure</t>
  </si>
  <si>
    <t>🚦 HOW TO USE THIS DATA FOR RELEASE DECISIONS</t>
  </si>
  <si>
    <t>BEFORE TESTING BEGINS:</t>
  </si>
  <si>
    <t>• Filter by your Release ID to see all known drift issues affecting your environments</t>
  </si>
  <si>
    <t>• CRITICAL/HIGH severity drift MUST be resolved before meaningful testing can proceed</t>
  </si>
  <si>
    <t>• If drift cannot be fixed, document accepted risk and adjust test strategy</t>
  </si>
  <si>
    <t>PRE-CAB CHECKLIST:</t>
  </si>
  <si>
    <t>• All CRITICAL drift issues: Status = 'Resolved' or 'Accepted Risk'</t>
  </si>
  <si>
    <t>• HIGH drift issues: Remediation in progress with ETA before go-live</t>
  </si>
  <si>
    <t>• Document any outstanding drift in CAB presentation materials</t>
  </si>
  <si>
    <t>GO/NO-GO IMPACT:</t>
  </si>
  <si>
    <t>• CRITICAL drift in UAT/Pre-prod: BLOCKER — cannot sign off on testing validity</t>
  </si>
  <si>
    <t>• HIGH drift: Conditional proceed only if risk is documented and accepted</t>
  </si>
  <si>
    <t>• MEDIUM/LOW drift: Acceptable with monitoring plan for production</t>
  </si>
  <si>
    <t>✅ BEST PRACTICES:</t>
  </si>
  <si>
    <t>1. DETECT EARLY: Run environment comparison tools weekly, not just before releases</t>
  </si>
  <si>
    <t>2. FIX ROOT CAUSE: Don't just remediate — understand why drift occurred</t>
  </si>
  <si>
    <t>3. AUTOMATE: Use infrastructure-as-code to prevent configuration drift</t>
  </si>
  <si>
    <t>4. REFRESH REGULARLY: Schedule monthly data refreshes for non-prod environments</t>
  </si>
  <si>
    <t>5. DOCUMENT EXCEPTIONS: If drift is accepted, document justification and monitoring plan</t>
  </si>
  <si>
    <t>6. POST-RELEASE REVIEW: If production issues occur, check if drift was a contributing factor</t>
  </si>
  <si>
    <t>RELEASE DEPENDENCIES TRACKER</t>
  </si>
  <si>
    <t>Dependency Type:</t>
  </si>
  <si>
    <t>Impact:</t>
  </si>
  <si>
    <t>💡 Filter dependencies by type, status, impact</t>
  </si>
  <si>
    <t>Dep ID</t>
  </si>
  <si>
    <t>Depends On Release</t>
  </si>
  <si>
    <t>Depends On Name</t>
  </si>
  <si>
    <t>Dependency Type</t>
  </si>
  <si>
    <t>Impact if Blocked</t>
  </si>
  <si>
    <t>DEP-001</t>
  </si>
  <si>
    <t>Release Delay</t>
  </si>
  <si>
    <t>API contract must be deployed first</t>
  </si>
  <si>
    <t>DEP-002</t>
  </si>
  <si>
    <t>Partial Functionality</t>
  </si>
  <si>
    <t>Shared database schema changes</t>
  </si>
  <si>
    <t>DEP-003</t>
  </si>
  <si>
    <t>Data Integrity Risk</t>
  </si>
  <si>
    <t>Common security module dependency</t>
  </si>
  <si>
    <t>DEP-004</t>
  </si>
  <si>
    <t>Integration Failure</t>
  </si>
  <si>
    <t>Integration endpoint prerequisites</t>
  </si>
  <si>
    <t>DEP-005</t>
  </si>
  <si>
    <t>Scope Reduction</t>
  </si>
  <si>
    <t>Shared configuration dependencies</t>
  </si>
  <si>
    <t>DEP-006</t>
  </si>
  <si>
    <t>Upstream data pipeline required</t>
  </si>
  <si>
    <t>DEP-007</t>
  </si>
  <si>
    <t>Common middleware version needed</t>
  </si>
  <si>
    <t>DEP-008</t>
  </si>
  <si>
    <t>Shared authentication module</t>
  </si>
  <si>
    <t>DEP-009</t>
  </si>
  <si>
    <t>Database migration dependency</t>
  </si>
  <si>
    <t>DEP-010</t>
  </si>
  <si>
    <t>API versioning requirement</t>
  </si>
  <si>
    <t>DEP-011</t>
  </si>
  <si>
    <t>DEP-012</t>
  </si>
  <si>
    <t>DEP-013</t>
  </si>
  <si>
    <t>DEP-014</t>
  </si>
  <si>
    <t>DEP-015</t>
  </si>
  <si>
    <t>DEP-016</t>
  </si>
  <si>
    <t>DEP-017</t>
  </si>
  <si>
    <t>DEP-018</t>
  </si>
  <si>
    <t>DEP-019</t>
  </si>
  <si>
    <t>DEP-020</t>
  </si>
  <si>
    <t>DEP-021</t>
  </si>
  <si>
    <t>DEP-022</t>
  </si>
  <si>
    <t>DEP-023</t>
  </si>
  <si>
    <t>DEP-024</t>
  </si>
  <si>
    <t>DEP-025</t>
  </si>
  <si>
    <t>DEP-026</t>
  </si>
  <si>
    <t>📖 QUICK REFERENCE: Release Dependencies (Collapsible Section for Web)</t>
  </si>
  <si>
    <t>DEPENDENCY TYPES: Hard (blocking) | Soft (preferred) | Technical | Data | Integration</t>
  </si>
  <si>
    <t>STATUS: Pending → Not ready | In Progress → Working on it | Resolved → Ready | Blocked → Issue</t>
  </si>
  <si>
    <t>RULE: ALL Hard dependencies must be RESOLVED before deployment</t>
  </si>
  <si>
    <t>📋 RELEASE DEPENDENCIES - COMPREHENSIVE GUIDE</t>
  </si>
  <si>
    <t>🎯 UNDERSTANDING RELEASE DEPENDENCIES</t>
  </si>
  <si>
    <t>Dependencies exist when one release requires another release to be deployed first, or when releases share resources.</t>
  </si>
  <si>
    <t>Failing to manage dependencies correctly leads to deployment failures, broken integrations, and cascading delays.</t>
  </si>
  <si>
    <t>WHY DEPENDENCIES MATTER:</t>
  </si>
  <si>
    <t>• A release deployed without its prerequisite may fail immediately or cause data corruption</t>
  </si>
  <si>
    <t>• Shared database schema changes can break multiple applications simultaneously</t>
  </si>
  <si>
    <t>• API contract changes require coordinated deployment across consumer and provider</t>
  </si>
  <si>
    <t>• Ignoring dependencies is the #1 cause of failed release weekends</t>
  </si>
  <si>
    <t>📊 DEPENDENCY TYPES EXPLAINED</t>
  </si>
  <si>
    <t>Impact if Not Managed</t>
  </si>
  <si>
    <t>Must deploy prerequisite first</t>
  </si>
  <si>
    <t>Complete release failure</t>
  </si>
  <si>
    <t>Preferred order but not mandatory</t>
  </si>
  <si>
    <t>Reduced functionality</t>
  </si>
  <si>
    <t>Shared code/library dependency</t>
  </si>
  <si>
    <t>Runtime errors</t>
  </si>
  <si>
    <t>Database schema or data dependency</t>
  </si>
  <si>
    <t>Data integrity issues</t>
  </si>
  <si>
    <t>API/service contract dependency</t>
  </si>
  <si>
    <t>Integration failures</t>
  </si>
  <si>
    <t>🚦 DEPENDENCY STATUS VALUES</t>
  </si>
  <si>
    <t>• Clear: Prerequisite release is deployed and verified — safe to proceed</t>
  </si>
  <si>
    <t>• Blocked: Prerequisite not yet deployed — CANNOT proceed until resolved</t>
  </si>
  <si>
    <t>• At Risk: Prerequisite scheduled but may slip — monitor closely</t>
  </si>
  <si>
    <t>• Resolved: Previously blocked, now cleared — document what changed</t>
  </si>
  <si>
    <t>• N/A: Dependency removed or no longer applicable</t>
  </si>
  <si>
    <t>🎯 HOW TO USE THIS DATA FOR RELEASE DECISIONS</t>
  </si>
  <si>
    <t>RELEASE PLANNING PHASE:</t>
  </si>
  <si>
    <t>• Filter by your Release ID to see all dependencies (both upstream and downstream)</t>
  </si>
  <si>
    <t>• Identify HARD dependencies — these determine your earliest possible go-live date</t>
  </si>
  <si>
    <t>• Coordinate with owners of prerequisite releases to align schedules</t>
  </si>
  <si>
    <t>• All HARD dependencies: Status = 'Clear' or 'Resolved'</t>
  </si>
  <si>
    <t>• Any BLOCKED dependencies: Escalate immediately — CAB approval is meaningless if blocked</t>
  </si>
  <si>
    <t>• AT RISK dependencies: Have contingency plan if prerequisite slips</t>
  </si>
  <si>
    <t>DEPLOYMENT SEQUENCING:</t>
  </si>
  <si>
    <t>• Build deployment runbook showing correct sequence based on dependencies</t>
  </si>
  <si>
    <t>• If deploying multiple releases, verify no circular dependencies exist</t>
  </si>
  <si>
    <t>• Plan rollback sequence — if Release B depends on A, rolling back A requires rolling back B first</t>
  </si>
  <si>
    <t>1. DECLARE EARLY: Identify dependencies during planning, not during testing</t>
  </si>
  <si>
    <t>2. CROSS-REFERENCE: Check Drift sheet — environment drift often affects dependent releases together</t>
  </si>
  <si>
    <t>3. COMMUNICATE: Notify owners of dependent releases when your schedule changes</t>
  </si>
  <si>
    <t>4. BUFFER TIME: Don't schedule dependent releases back-to-back — allow verification time</t>
  </si>
  <si>
    <t>5. DOCUMENT CONTRACTS: For API/Integration dependencies, maintain versioned contract documentation</t>
  </si>
  <si>
    <t>6. POST-DEPLOYMENT: Verify dependent systems after your release before marking 'Clear'</t>
  </si>
  <si>
    <t>✅ CAB APPROVALS</t>
  </si>
  <si>
    <t>Change Advisory Board decisions for release authorization</t>
  </si>
  <si>
    <t>Approval ID</t>
  </si>
  <si>
    <t>Approval Type</t>
  </si>
  <si>
    <t>Approver ID</t>
  </si>
  <si>
    <t>Approver Name</t>
  </si>
  <si>
    <t>Submitted Date</t>
  </si>
  <si>
    <t>Decision Date</t>
  </si>
  <si>
    <t>Decision</t>
  </si>
  <si>
    <t>Comments</t>
  </si>
  <si>
    <t>CAB Meeting ID</t>
  </si>
  <si>
    <t>APR-0007</t>
  </si>
  <si>
    <t>Taylor Anderson</t>
  </si>
  <si>
    <t>CAB approved for deployment</t>
  </si>
  <si>
    <t>CAB-1</t>
  </si>
  <si>
    <t>APR-0008</t>
  </si>
  <si>
    <t>Jordan Wright</t>
  </si>
  <si>
    <t>Change record closed</t>
  </si>
  <si>
    <t>APR-0012</t>
  </si>
  <si>
    <t>APR-0013</t>
  </si>
  <si>
    <t>APR-0017</t>
  </si>
  <si>
    <t>Awaiting CAB meeting</t>
  </si>
  <si>
    <t>CAB-2</t>
  </si>
  <si>
    <t>APR-0021</t>
  </si>
  <si>
    <t>APR-0022</t>
  </si>
  <si>
    <t>APR-0026</t>
  </si>
  <si>
    <t>APR-0027</t>
  </si>
  <si>
    <t>📖 QUICK REFERENCE: CAB Approvals (Collapsible Section for Web)</t>
  </si>
  <si>
    <t>APPROVAL FLOW: Tech Review → Security Review → Business Review → CAB Final</t>
  </si>
  <si>
    <t>DECISIONS: Approved ✅ | Rejected 🛑 | Conditional ⚠️ (with conditions) | Deferred ⏸️</t>
  </si>
  <si>
    <t>RULE: ALL approval stages must be APPROVED or CONDITIONAL before go-live</t>
  </si>
  <si>
    <t>📋 CAB APPROVAL WORKFLOW - COMPREHENSIVE GUIDE</t>
  </si>
  <si>
    <t>🎯 UNDERSTANDING THE CAB APPROVAL PROCESS</t>
  </si>
  <si>
    <t>The Change Advisory Board (CAB) is the governance body that reviews and approves releases before deployment.</t>
  </si>
  <si>
    <t>This sheet tracks every approval decision required for each release through the approval workflow.</t>
  </si>
  <si>
    <t>WHY CAB APPROVAL MATTERS:</t>
  </si>
  <si>
    <t>• Ensures releases meet technical, security, and business readiness criteria</t>
  </si>
  <si>
    <t>• Provides documented audit trail for compliance and post-incident analysis</t>
  </si>
  <si>
    <t>• Coordinates cross-functional review to catch issues before production</t>
  </si>
  <si>
    <t>• Protects the organization from unauthorized or premature deployments</t>
  </si>
  <si>
    <t>📊 APPROVAL TYPES IN THE WORKFLOW</t>
  </si>
  <si>
    <t>Approver</t>
  </si>
  <si>
    <t>What They Verify</t>
  </si>
  <si>
    <t>Tech Review</t>
  </si>
  <si>
    <t>Code quality, architecture, test coverage</t>
  </si>
  <si>
    <t>Vulnerabilities, compliance, data handling</t>
  </si>
  <si>
    <t>Business impact, timing, readiness</t>
  </si>
  <si>
    <t>All prerequisites met, plan approved</t>
  </si>
  <si>
    <t>🚦 APPROVAL DECISION VALUES</t>
  </si>
  <si>
    <t>• Approved: Release cleared for this review stage — proceed to next approval</t>
  </si>
  <si>
    <t>• Approved with Conditions: Cleared but with documented requirements before go-live</t>
  </si>
  <si>
    <t>• Pending: Review in progress — awaiting approver decision</t>
  </si>
  <si>
    <t>• Rejected: Failed this review — must address issues and resubmit</t>
  </si>
  <si>
    <t>• Deferred: Decision postponed — typically due to missing information</t>
  </si>
  <si>
    <t>TRACKING YOUR RELEASE:</t>
  </si>
  <si>
    <t>• Filter by Release ID to see all approval stages and their current status</t>
  </si>
  <si>
    <t>• A release requires ALL approval types to be 'Approved' before deployment</t>
  </si>
  <si>
    <t>• 'Approved with Conditions' requires documented verification of conditions before go-live</t>
  </si>
  <si>
    <t>PREPARING FOR CAB:</t>
  </si>
  <si>
    <t>• Ensure Tech Review and Security Review are complete BEFORE CAB meeting</t>
  </si>
  <si>
    <t>• Address any 'Rejected' items and resubmit for re-review</t>
  </si>
  <si>
    <t>• Prepare responses to any conditions from 'Approved with Conditions' decisions</t>
  </si>
  <si>
    <t>ESCALATION TRIGGERS:</t>
  </si>
  <si>
    <t>• Any 'Rejected' decision: Immediate action required — cannot proceed</t>
  </si>
  <si>
    <t>• Security Review 'Pending' 48+ hours before go-live: Escalate to CISO</t>
  </si>
  <si>
    <t>• Multiple 'Pending' approvals: Risk of last-minute delays — follow up proactively</t>
  </si>
  <si>
    <t>1. SUBMIT EARLY: Request reviews 2+ weeks before target CAB date</t>
  </si>
  <si>
    <t>2. COMPLETE DOCUMENTATION: Reviewers reject incomplete submissions — save time by being thorough</t>
  </si>
  <si>
    <t>3. TRACK CONDITIONS: Maintain checklist of conditions and verify each before go-live</t>
  </si>
  <si>
    <t>4. AUDIT TRAIL: Comments field provides historical context — document thoroughly</t>
  </si>
  <si>
    <t>5. NO SHORTCUTS: Never deploy without CAB Final approval — even for 'emergency' releases</t>
  </si>
  <si>
    <t>6. POST-INCIDENT: If issues occur, approval records help identify process gaps</t>
  </si>
  <si>
    <t>Role/Dept:</t>
  </si>
  <si>
    <t>Leave Type:</t>
  </si>
  <si>
    <t>Risk Impact:</t>
  </si>
  <si>
    <t>💡 Filter leave by time, role, type, or risk impact</t>
  </si>
  <si>
    <t>Leave ID</t>
  </si>
  <si>
    <t>User Name</t>
  </si>
  <si>
    <t>Leave Start</t>
  </si>
  <si>
    <t>Leave End</t>
  </si>
  <si>
    <t>Days</t>
  </si>
  <si>
    <t>Affected Release</t>
  </si>
  <si>
    <t>LV-001</t>
  </si>
  <si>
    <t>REL-0001, REL-0002</t>
  </si>
  <si>
    <t>High - QA Lead unavailable</t>
  </si>
  <si>
    <t>LV-002</t>
  </si>
  <si>
    <t>Emma Roberts</t>
  </si>
  <si>
    <t>Medium - SME unavailable</t>
  </si>
  <si>
    <t>LV-003</t>
  </si>
  <si>
    <t>Jack Wilson</t>
  </si>
  <si>
    <t>High - Primary owner on leave</t>
  </si>
  <si>
    <t>LV-004</t>
  </si>
  <si>
    <t>REL-0004, REL-0005</t>
  </si>
  <si>
    <t>Critical - Dev Manager unavailable</t>
  </si>
  <si>
    <t>LV-005</t>
  </si>
  <si>
    <t>Oliver Wright</t>
  </si>
  <si>
    <t>REL-0009, REL-0010</t>
  </si>
  <si>
    <t>Medium - Extended absence</t>
  </si>
  <si>
    <t>LV-006</t>
  </si>
  <si>
    <t>High - Testing lead absent</t>
  </si>
  <si>
    <t>LV-007</t>
  </si>
  <si>
    <t>Ava Brown</t>
  </si>
  <si>
    <t>Medium - Security reviewer absent</t>
  </si>
  <si>
    <t>LV-008</t>
  </si>
  <si>
    <t>Ethan Clark</t>
  </si>
  <si>
    <t>REL-0016, REL-0017</t>
  </si>
  <si>
    <t>High - Legal compliance reviewer absent</t>
  </si>
  <si>
    <t>LV-009</t>
  </si>
  <si>
    <t>Medium - Manager at conference</t>
  </si>
  <si>
    <t>LV-010</t>
  </si>
  <si>
    <t>Mia Thompson</t>
  </si>
  <si>
    <t>Low - Backup available</t>
  </si>
  <si>
    <t>LV-011</t>
  </si>
  <si>
    <t>REL-0024, REL-0025</t>
  </si>
  <si>
    <t>Critical - No QA coverage</t>
  </si>
  <si>
    <t>LV-012</t>
  </si>
  <si>
    <t>High - Key resource unavailable</t>
  </si>
  <si>
    <t>LV-013</t>
  </si>
  <si>
    <t>Liam Jackson</t>
  </si>
  <si>
    <t>REL-0031, REL-0032</t>
  </si>
  <si>
    <t>Medium - Finance SME absent</t>
  </si>
  <si>
    <t>LV-014</t>
  </si>
  <si>
    <t>Sophia Lee</t>
  </si>
  <si>
    <t>Low - Short-term absence</t>
  </si>
  <si>
    <t>LV-015</t>
  </si>
  <si>
    <t>Noah Martin</t>
  </si>
  <si>
    <t>REL-0038, REL-0039</t>
  </si>
  <si>
    <t>High - Year-end absence</t>
  </si>
  <si>
    <t>LV-016</t>
  </si>
  <si>
    <t>REL-0040 to REL-0044</t>
  </si>
  <si>
    <t>Critical - Extended holiday leave</t>
  </si>
  <si>
    <t>LV-017</t>
  </si>
  <si>
    <t>Tracy Adams</t>
  </si>
  <si>
    <t>REL-0043, REL-0044</t>
  </si>
  <si>
    <t>Critical - No QA during freeze</t>
  </si>
  <si>
    <t>LV-018</t>
  </si>
  <si>
    <t>Isabella White</t>
  </si>
  <si>
    <t>High - Security gap</t>
  </si>
  <si>
    <t>LV-019</t>
  </si>
  <si>
    <t>Lucas Harris</t>
  </si>
  <si>
    <t>REL-0048, REL-0049</t>
  </si>
  <si>
    <t>Medium - Legal at conference</t>
  </si>
  <si>
    <t>LV-020</t>
  </si>
  <si>
    <t>Low - Short absence</t>
  </si>
  <si>
    <t>LV-021</t>
  </si>
  <si>
    <t>Charlotte King</t>
  </si>
  <si>
    <t>REL-0055, REL-0056</t>
  </si>
  <si>
    <t>High - Quarter-end absence</t>
  </si>
  <si>
    <t>LV-022</t>
  </si>
  <si>
    <t>Medium - Unexpected sick leave</t>
  </si>
  <si>
    <t>LV-023</t>
  </si>
  <si>
    <t>Jordan Fisher</t>
  </si>
  <si>
    <t>REL-0062, REL-0063</t>
  </si>
  <si>
    <t>Critical - Key tester absent</t>
  </si>
  <si>
    <t>LV-024</t>
  </si>
  <si>
    <t>Amelia Garcia</t>
  </si>
  <si>
    <t>Low - Coverage available</t>
  </si>
  <si>
    <t>LV-025</t>
  </si>
  <si>
    <t>William Moore</t>
  </si>
  <si>
    <t>REL-0067, REL-0068</t>
  </si>
  <si>
    <t>High - Extended leave</t>
  </si>
  <si>
    <t>LV-026</t>
  </si>
  <si>
    <t>Medium - Tech conference</t>
  </si>
  <si>
    <t>LV-027</t>
  </si>
  <si>
    <t>Harper Robinson</t>
  </si>
  <si>
    <t>REL-0073, REL-0074</t>
  </si>
  <si>
    <t>High - Security lead absent</t>
  </si>
  <si>
    <t>LV-028</t>
  </si>
  <si>
    <t>James Lewis</t>
  </si>
  <si>
    <t>Medium - Legal review delayed</t>
  </si>
  <si>
    <t>LV-029</t>
  </si>
  <si>
    <t>Evelyn Walker</t>
  </si>
  <si>
    <t>Low - Backup SME available</t>
  </si>
  <si>
    <t>LV-030</t>
  </si>
  <si>
    <t>Alexander Hall</t>
  </si>
  <si>
    <t>Medium - Training delayed</t>
  </si>
  <si>
    <t>📖 QUICK REFERENCE: Leave &amp; Resource Planning (Collapsible Section for Web)</t>
  </si>
  <si>
    <t>RISK IMPACT: 1-2 Low | 3 Medium | 4 High | 5 Critical (key person unavailable)</t>
  </si>
  <si>
    <t>CHECK BEFORE RELEASE: Is Release Owner available? Is backup designated?</t>
  </si>
  <si>
    <t>RULE: Never deploy when Release Owner AND backup are both unavailable</t>
  </si>
  <si>
    <t>📋 LEAVE CALENDAR - COMPREHENSIVE GUIDE FOR RELEASE PLANNING</t>
  </si>
  <si>
    <t>🎯 WHY LEAVE PLANNING MATTERS FOR RELEASES</t>
  </si>
  <si>
    <t>This sheet tracks planned absences of key personnel and their potential impact on release success.</t>
  </si>
  <si>
    <t>Resource availability is often overlooked but is a critical factor in release planning.</t>
  </si>
  <si>
    <t>WHY THIS MATTERS:</t>
  </si>
  <si>
    <t>• Key personnel absence during testing = delayed sign-offs and blocked releases</t>
  </si>
  <si>
    <t>• Release owner on leave during deployment = no one to make critical decisions</t>
  </si>
  <si>
    <t>• SME unavailable during go-live = extended issue resolution time</t>
  </si>
  <si>
    <t>• Support team gaps = poor post-release incident response</t>
  </si>
  <si>
    <t>📊 RISK IMPACT SCORING</t>
  </si>
  <si>
    <t>Reschedule release or find backup immediately</t>
  </si>
  <si>
    <t>Assign backup, document handover</t>
  </si>
  <si>
    <t>Ensure backup is briefed</t>
  </si>
  <si>
    <t>Standard coverage plan</t>
  </si>
  <si>
    <t>No special action needed</t>
  </si>
  <si>
    <t>DURING RELEASE PLANNING:</t>
  </si>
  <si>
    <t>• Filter by time period to see all planned absences during your release window</t>
  </si>
  <si>
    <t>• Check 'Affected Release' column to see which releases have resource conflicts</t>
  </si>
  <si>
    <t>• High/Critical risk scores (4-5) require mitigation BEFORE scheduling CAB</t>
  </si>
  <si>
    <t>• Identify all team members required for testing, deployment, and post-go-live support</t>
  </si>
  <si>
    <t>• Verify no Critical/High leave conflicts during testing phase</t>
  </si>
  <si>
    <t>• Ensure release owner OR designated backup is available during deployment window</t>
  </si>
  <si>
    <t>• Confirm support team coverage for post-release monitoring period</t>
  </si>
  <si>
    <t>GO/NO-GO CONSIDERATIONS:</t>
  </si>
  <si>
    <t>• Critical (5): Consider rescheduling — proceeding without key person is high risk</t>
  </si>
  <si>
    <t>• High (4): Conditional proceed only with documented backup and handover complete</t>
  </si>
  <si>
    <t>• Medium/Low (2-3): Proceed with standard contingency planning</t>
  </si>
  <si>
    <t>1. CHECK EARLY: Review leave calendar during initial release planning, not the week before</t>
  </si>
  <si>
    <t>2. CROSS-REFERENCE: Add leave conflicts to Risk sheet as resource risks</t>
  </si>
  <si>
    <t>3. BACKUP PLANNING: Every critical role needs an identified, briefed backup</t>
  </si>
  <si>
    <t>4. HANDOVER DOCS: Ensure knowledge transfer documentation exists before absence</t>
  </si>
  <si>
    <t>5. COMMUNICATION: Notify team of coverage arrangements before key person departs</t>
  </si>
  <si>
    <t>6. HOLIDAY AWARENESS: Be especially cautious around major holidays and fiscal year-end</t>
  </si>
  <si>
    <t>Enterprise System Integration Map</t>
  </si>
  <si>
    <t>Core ERP/Platform</t>
  </si>
  <si>
    <t>Central hub systems</t>
  </si>
  <si>
    <t>Bidirectional Integration</t>
  </si>
  <si>
    <t>Two-way data flow</t>
  </si>
  <si>
    <t>Data Feed (Upstream)</t>
  </si>
  <si>
    <t>Sends data to other systems</t>
  </si>
  <si>
    <t>Data Feed (Downstream)</t>
  </si>
  <si>
    <t>Receives data from other systems</t>
  </si>
  <si>
    <t>Shared Services</t>
  </si>
  <si>
    <t>Cross-department systems</t>
  </si>
  <si>
    <t>CORE SYSTEMS HUB</t>
  </si>
  <si>
    <t>System</t>
  </si>
  <si>
    <t>Integrates With</t>
  </si>
  <si>
    <t>Data Flow</t>
  </si>
  <si>
    <t>Key Data Exchanged</t>
  </si>
  <si>
    <t>SAP S/4HANA (ERP)</t>
  </si>
  <si>
    <t>Finance / Manufacturing</t>
  </si>
  <si>
    <t>Bidirectional</t>
  </si>
  <si>
    <t>GL, AP, AR, Inventory, Orders, Cost Centers</t>
  </si>
  <si>
    <t>Core HCM</t>
  </si>
  <si>
    <t>Finance, IT, Security</t>
  </si>
  <si>
    <t>Employee Data, Payroll, Org Structure</t>
  </si>
  <si>
    <t>Service Platform</t>
  </si>
  <si>
    <t>Incidents, Changes, Assets, CMDB</t>
  </si>
  <si>
    <t>Salesforce CRM</t>
  </si>
  <si>
    <t>Core CRM</t>
  </si>
  <si>
    <t>Finance, Manufacturing, Logistics</t>
  </si>
  <si>
    <t>Customers, Opportunities, Orders, Contracts</t>
  </si>
  <si>
    <t>DEPARTMENT INTEGRATION MATRIX</t>
  </si>
  <si>
    <t>From \ To</t>
  </si>
  <si>
    <t>●</t>
  </si>
  <si>
    <t>○</t>
  </si>
  <si>
    <t>● Primary Integration</t>
  </si>
  <si>
    <t>Critical data exchange, real-time or daily sync</t>
  </si>
  <si>
    <t>○ Secondary Integration</t>
  </si>
  <si>
    <t>Periodic data exchange, reporting or audit</t>
  </si>
  <si>
    <t>KEY INTEGRATION FLOWS</t>
  </si>
  <si>
    <t>Flow ID</t>
  </si>
  <si>
    <t>Source System</t>
  </si>
  <si>
    <t>Target System</t>
  </si>
  <si>
    <t>Integration Type</t>
  </si>
  <si>
    <t>Frequency</t>
  </si>
  <si>
    <t>Data Elements</t>
  </si>
  <si>
    <t>Business Purpose</t>
  </si>
  <si>
    <t>INT-001</t>
  </si>
  <si>
    <t>SAP S/4HANA</t>
  </si>
  <si>
    <t>API / Real-time</t>
  </si>
  <si>
    <t>Real-time</t>
  </si>
  <si>
    <t>Sales Orders, Customer Master</t>
  </si>
  <si>
    <t>Order-to-Cash Process</t>
  </si>
  <si>
    <t>INT-002</t>
  </si>
  <si>
    <t>Batch / API</t>
  </si>
  <si>
    <t>Daily</t>
  </si>
  <si>
    <t>Cost Centers, GL Accounts</t>
  </si>
  <si>
    <t>Payroll &amp; Financial Reporting</t>
  </si>
  <si>
    <t>INT-003</t>
  </si>
  <si>
    <t>Okta Identity</t>
  </si>
  <si>
    <t>SCIM</t>
  </si>
  <si>
    <t>User Provisioning, Roles</t>
  </si>
  <si>
    <t>Identity &amp; Access Management</t>
  </si>
  <si>
    <t>INT-004</t>
  </si>
  <si>
    <t>SAP Manufacturing</t>
  </si>
  <si>
    <t>API / Batch</t>
  </si>
  <si>
    <t>Hourly</t>
  </si>
  <si>
    <t>Production Orders, BOM</t>
  </si>
  <si>
    <t>Supply Chain Execution</t>
  </si>
  <si>
    <t>INT-005</t>
  </si>
  <si>
    <t>SAP Transportation</t>
  </si>
  <si>
    <t>Shipments, Inventory</t>
  </si>
  <si>
    <t>Logistics Coordination</t>
  </si>
  <si>
    <t>INT-006</t>
  </si>
  <si>
    <t>Incidents, Alerts</t>
  </si>
  <si>
    <t>Security Operations</t>
  </si>
  <si>
    <t>INT-007</t>
  </si>
  <si>
    <t>CrowdStrike</t>
  </si>
  <si>
    <t>Threat Intelligence</t>
  </si>
  <si>
    <t>Security Monitoring</t>
  </si>
  <si>
    <t>INT-008</t>
  </si>
  <si>
    <t>On-demand</t>
  </si>
  <si>
    <t>Contracts, Vendor Terms</t>
  </si>
  <si>
    <t>Procurement &amp; Legal</t>
  </si>
  <si>
    <t>INT-009</t>
  </si>
  <si>
    <t>Batch</t>
  </si>
  <si>
    <t>Budgets, Forecasts</t>
  </si>
  <si>
    <t>Financial Planning</t>
  </si>
  <si>
    <t>INT-010</t>
  </si>
  <si>
    <t>Oracle HCM</t>
  </si>
  <si>
    <t>ADP Workforce</t>
  </si>
  <si>
    <t>Bi-weekly</t>
  </si>
  <si>
    <t>Payroll Data, Time</t>
  </si>
  <si>
    <t>Payroll Processing</t>
  </si>
  <si>
    <t>INT-011</t>
  </si>
  <si>
    <t>Cases, Customer Data</t>
  </si>
  <si>
    <t>Customer Service</t>
  </si>
  <si>
    <t>INT-012</t>
  </si>
  <si>
    <t>Financial Data</t>
  </si>
  <si>
    <t>Business Intelligence</t>
  </si>
  <si>
    <t>INT-013</t>
  </si>
  <si>
    <t>ServiceNow</t>
  </si>
  <si>
    <t>Access Requests</t>
  </si>
  <si>
    <t>Privileged Access</t>
  </si>
  <si>
    <t>INT-014</t>
  </si>
  <si>
    <t>Workday</t>
  </si>
  <si>
    <t>Cornerstone LMS</t>
  </si>
  <si>
    <t>Employee, Training</t>
  </si>
  <si>
    <t>Learning Management</t>
  </si>
  <si>
    <t>INT-015</t>
  </si>
  <si>
    <t>Expenses, T&amp;E</t>
  </si>
  <si>
    <t>Expense Management</t>
  </si>
  <si>
    <t>SYSTEM ARCHITECTURE DIAGRAM</t>
  </si>
  <si>
    <t>╔══════════════════════════════════════════════════════════════════════════════════════════════════════════════╗</t>
  </si>
  <si>
    <t>║                                      ENTERPRISE INTEGRATION LAYER                                            ║</t>
  </si>
  <si>
    <t>║                                  (API Gateway / ESB / Integration Platform)                                  ║</t>
  </si>
  <si>
    <t>╚════════════╦═══════════════╦═══════════════╦═══════════════╦═══════════════╦═══════════════╦═════════════════╝</t>
  </si>
  <si>
    <t xml:space="preserve">             ║               ║               ║               ║               ║               ║                  </t>
  </si>
  <si>
    <t xml:space="preserve">             ▼               ▼               ▼               ▼               ▼               ▼                  </t>
  </si>
  <si>
    <t xml:space="preserve">     ┌──────────────┐ ┌──────────────┐ ┌──────────────┐ ┌──────────────┐ ┌──────────────┐ ┌──────────────┐      </t>
  </si>
  <si>
    <t xml:space="preserve">     │   FINANCE    │ │      HR      │ │      IT      │ │     CRM      │ │ MANUFACTURING│ │   LOGISTICS  │      </t>
  </si>
  <si>
    <t xml:space="preserve">     ├──────────────┤ ├──────────────┤ ├──────────────┤ ├──────────────┤ ├──────────────┤ ├──────────────┤      </t>
  </si>
  <si>
    <t xml:space="preserve">     │ SAP S/4HANA  │ │ Workday HCM  │ │ ServiceNow   │ │ Salesforce   │ │ SAP S/4 Manu │ │ SAP TM       │      </t>
  </si>
  <si>
    <t xml:space="preserve">     │ Anaplan      │ │ SuccessFactors│ │ Splunk       │ │ Dynamics 365 │ │ Siemens MES  │ │ Blue Yonder  │      </t>
  </si>
  <si>
    <t xml:space="preserve">     │ Hyperion HFM │ │ ADP Workforce│ │ Dynatrace    │ │ Zendesk      │ │ Rockwell FT  │ │ Manhattan    │      </t>
  </si>
  <si>
    <t xml:space="preserve">     │ IBM Cognos   │ │ Cornerstone  │ │ PagerDuty    │ │ HubSpot      │ │ AVEVA MES    │ │ FourKites    │      </t>
  </si>
  <si>
    <t xml:space="preserve">     └──────┬───────┘ └──────┬───────┘ └──────┬───────┘ └──────┬───────┘ └──────┬───────┘ └──────┬───────┘      </t>
  </si>
  <si>
    <t xml:space="preserve">            │                │                │                │                │                │               </t>
  </si>
  <si>
    <t xml:space="preserve">            │◄──────────────►│◄──────────────►│◄──────────────►│◄──────────────►│◄──────────────►│               </t>
  </si>
  <si>
    <t xml:space="preserve">            └────────────────┴────────────────┴───────┬────────┴────────────────┴────────────────┘               </t>
  </si>
  <si>
    <t xml:space="preserve">                                                      │                                                          </t>
  </si>
  <si>
    <t xml:space="preserve">                           ┌──────────────────────────┼──────────────────────────┐                               </t>
  </si>
  <si>
    <t xml:space="preserve">                           │                          │                          │                               </t>
  </si>
  <si>
    <t xml:space="preserve">                           ▼                          ▼                          ▼                               </t>
  </si>
  <si>
    <t xml:space="preserve">                   ┌──────────────┐           ┌──────────────┐           ┌──────────────┐                        </t>
  </si>
  <si>
    <t xml:space="preserve">                   │    LEGAL     │◄─────────►│   SECURITY   │◄─────────►│  SHARED SVC  │                        </t>
  </si>
  <si>
    <t xml:space="preserve">                   ├──────────────┤           ├──────────────┤           ├──────────────┤                        </t>
  </si>
  <si>
    <t xml:space="preserve">                   │ DocuSign CLM │           │ CrowdStrike  │           │ ServiceNow   │                        </t>
  </si>
  <si>
    <t xml:space="preserve">                   │ Ironclad     │           │ Okta Identity│           │ Active Dir   │                        </t>
  </si>
  <si>
    <t xml:space="preserve">                   │ Legal Tracker│           │ CyberArk PAM │           │ Email/Collab │                        </t>
  </si>
  <si>
    <t xml:space="preserve">                   │ Agiloft CLM  │           │ MS Sentinel  │           │ SharePoint   │                        </t>
  </si>
  <si>
    <t xml:space="preserve">                   └──────────────┘           └──────────────┘           └──────────────┘                        </t>
  </si>
  <si>
    <t>══════════════════════════════════════════════════════════════════════════════════════════════════════════════════</t>
  </si>
  <si>
    <t xml:space="preserve">                                           DATA FLOW LEGEND                                                       </t>
  </si>
  <si>
    <t xml:space="preserve">     ◄──────────────►  =  Bidirectional Integration (Real-time or Batch sync)                                    </t>
  </si>
  <si>
    <t xml:space="preserve">     ───────────────►  =  Unidirectional Data Flow (Source to Target)                                            </t>
  </si>
  <si>
    <t xml:space="preserve">     ║                 =  Connection to Integration Layer                                                         </t>
  </si>
  <si>
    <t>SHARED ENVIRONMENT &amp; RESOURCE DEPENDENCIES</t>
  </si>
  <si>
    <t>Capacity</t>
  </si>
  <si>
    <t>Conflict Risk</t>
  </si>
  <si>
    <t>Finance, Legal, CRM</t>
  </si>
  <si>
    <t>Limited (3 concurrent)</t>
  </si>
  <si>
    <t>Yes - 2 weeks advance</t>
  </si>
  <si>
    <t>Yes - 1 week advance</t>
  </si>
  <si>
    <t>Finance, Legal, Manufacturing</t>
  </si>
  <si>
    <t>Limited (2 concurrent)</t>
  </si>
  <si>
    <t>Yes - 3 weeks advance</t>
  </si>
  <si>
    <t>IT, Security, All Depts</t>
  </si>
  <si>
    <t>Shared Pool</t>
  </si>
  <si>
    <t>CRM, Sales Ops</t>
  </si>
  <si>
    <t>Recommended</t>
  </si>
  <si>
    <t>CRM, Marketing</t>
  </si>
  <si>
    <t>Manufacturing, Logistics</t>
  </si>
  <si>
    <t>Logistics, Manufacturing</t>
  </si>
  <si>
    <t>Security, IT</t>
  </si>
  <si>
    <t>Restricted</t>
  </si>
  <si>
    <t>HR, Payroll</t>
  </si>
  <si>
    <t>INTEG-01</t>
  </si>
  <si>
    <t>ALL DEPARTMENTS</t>
  </si>
  <si>
    <t>Critical Shared</t>
  </si>
  <si>
    <t>Mandatory - 4 weeks</t>
  </si>
  <si>
    <t>CRITICAL INTEGRATION PATHS (Release Impact Analysis)</t>
  </si>
  <si>
    <t>Path ID</t>
  </si>
  <si>
    <t>Integration Path</t>
  </si>
  <si>
    <t>Upstream Systems</t>
  </si>
  <si>
    <t>Downstream Systems</t>
  </si>
  <si>
    <t>Release Coordination</t>
  </si>
  <si>
    <t>Blackout Windows</t>
  </si>
  <si>
    <t>PATH-001</t>
  </si>
  <si>
    <t>Order-to-Cash</t>
  </si>
  <si>
    <t>Salesforce → SAP</t>
  </si>
  <si>
    <t>SAP → Logistics → Finance</t>
  </si>
  <si>
    <t>Mandatory joint testing</t>
  </si>
  <si>
    <t>Month-end, Quarter-end</t>
  </si>
  <si>
    <t>Revenue impacting - CFO approval required</t>
  </si>
  <si>
    <t>PATH-002</t>
  </si>
  <si>
    <t>Procure-to-Pay</t>
  </si>
  <si>
    <t>SAP → Coupa → Vendors</t>
  </si>
  <si>
    <t>AP → Treasury → Banking</t>
  </si>
  <si>
    <t>Finance sign-off required</t>
  </si>
  <si>
    <t>Month-end close (Days 1-5)</t>
  </si>
  <si>
    <t>Payment processing critical</t>
  </si>
  <si>
    <t>PATH-003</t>
  </si>
  <si>
    <t>Hire-to-Retire</t>
  </si>
  <si>
    <t>Workday → Okta → All Apps</t>
  </si>
  <si>
    <t>Payroll → Finance → Tax</t>
  </si>
  <si>
    <t>HR + IT + Security coord</t>
  </si>
  <si>
    <t>Payroll windows</t>
  </si>
  <si>
    <t>Employee data sensitive</t>
  </si>
  <si>
    <t>PATH-004</t>
  </si>
  <si>
    <t>Record-to-Report</t>
  </si>
  <si>
    <t>All Source Systems → SAP</t>
  </si>
  <si>
    <t>SAP → Cognos → Reporting</t>
  </si>
  <si>
    <t>Finance freeze periods</t>
  </si>
  <si>
    <t>Close periods</t>
  </si>
  <si>
    <t>SOX compliance required</t>
  </si>
  <si>
    <t>PATH-005</t>
  </si>
  <si>
    <t>Plan-to-Produce</t>
  </si>
  <si>
    <t>SAP → MES → WMS</t>
  </si>
  <si>
    <t>Production → Inventory → Ship</t>
  </si>
  <si>
    <t>Manufacturing + Logistics</t>
  </si>
  <si>
    <t>Production schedules</t>
  </si>
  <si>
    <t>Supply chain disruption risk</t>
  </si>
  <si>
    <t>PATH-006</t>
  </si>
  <si>
    <t>All Systems → SIEM</t>
  </si>
  <si>
    <t>SIEM → SOC → Incident</t>
  </si>
  <si>
    <t>Security team approval</t>
  </si>
  <si>
    <t>Never (24/7 ops)</t>
  </si>
  <si>
    <t>Cannot have monitoring gaps</t>
  </si>
  <si>
    <t>PATH-007</t>
  </si>
  <si>
    <t>Identity Lifecycle</t>
  </si>
  <si>
    <t>Workday → Okta → Apps</t>
  </si>
  <si>
    <t>Access → Audit → Compliance</t>
  </si>
  <si>
    <t>HR + IT + Security</t>
  </si>
  <si>
    <t>Audit periods</t>
  </si>
  <si>
    <t>Access control critical</t>
  </si>
  <si>
    <t>PATH-008</t>
  </si>
  <si>
    <t>Contract Lifecycle</t>
  </si>
  <si>
    <t>Legal → DocuSign → SAP</t>
  </si>
  <si>
    <t>Procurement → Vendors</t>
  </si>
  <si>
    <t>Legal + Procurement</t>
  </si>
  <si>
    <t>Contract renewals</t>
  </si>
  <si>
    <t>Legal/financial obligations</t>
  </si>
  <si>
    <t>📋 RELEASE MANAGER NOTES:</t>
  </si>
  <si>
    <t>1. Always check Integration Matrix before scheduling cross-department releases</t>
  </si>
  <si>
    <t>2. Shared environments (especially FIN-TEST-01, IT-TEST-01, INTEG-01) require advance booking</t>
  </si>
  <si>
    <t>3. Critical Integration Paths require coordinated testing across all connected systems</t>
  </si>
  <si>
    <t>4. Month-end, Quarter-end, and Year-end are high-risk periods - minimize changes</t>
  </si>
  <si>
    <t>5. Security systems (PATH-006, PATH-007) require 24/7 availability - schedule carefully</t>
  </si>
  <si>
    <t>6. SAP S/4HANA is the central hub - any SAP changes impact multiple departments</t>
  </si>
  <si>
    <t>📖 QUICK REFERENCE: System Integrations (Collapsible Section for Web)</t>
  </si>
  <si>
    <t>INTEGRATION TYPES: API | File Transfer | Message Queue | Direct DB</t>
  </si>
  <si>
    <t>BEFORE RELEASE: Filter by your app → Find all connected systems → Notify teams</t>
  </si>
  <si>
    <t>RULE: Test ALL High criticality integrations before Prod deployment</t>
  </si>
  <si>
    <t>📋 SYSTEM MAPPING - COMPREHENSIVE GUIDE</t>
  </si>
  <si>
    <t>🎯 PURPOSE OF SYSTEM MAPPING</t>
  </si>
  <si>
    <t>This sheet visualizes the integration relationships between enterprise systems.</t>
  </si>
  <si>
    <t>Understanding system dependencies is critical for assessing release impact and planning testing.</t>
  </si>
  <si>
    <t>WHY SYSTEM MAPPING MATTERS:</t>
  </si>
  <si>
    <t>• Changes to one system can cascade to dependent systems unexpectedly</t>
  </si>
  <si>
    <t>• Integration testing must cover all connected systems, not just the changed application</t>
  </si>
  <si>
    <t>• Outage impact analysis requires knowing which systems will be affected</t>
  </si>
  <si>
    <t>• Data flow understanding prevents unintended data corruption across systems</t>
  </si>
  <si>
    <t>📊 UNDERSTANDING THE DATA COLUMNS</t>
  </si>
  <si>
    <t>COLUMN                  | MEANING</t>
  </si>
  <si>
    <t>─────────────────────────────────────────────────────────────────</t>
  </si>
  <si>
    <t>Source System           | The system initiating data or service calls</t>
  </si>
  <si>
    <t>Target System           | The system receiving data or service calls</t>
  </si>
  <si>
    <t>Integration Type        | API, File Transfer, Message Queue, Direct DB, etc.</t>
  </si>
  <si>
    <t>Data Flow Direction     | One-way (→) or Bidirectional (↔)</t>
  </si>
  <si>
    <t>Sync Frequency          | Real-time, Batch Daily, Hourly, Event-driven</t>
  </si>
  <si>
    <t>Criticality             | High/Medium/Low — impact if integration fails</t>
  </si>
  <si>
    <t>SLA (ms)                | Maximum acceptable response time or latency</t>
  </si>
  <si>
    <t>Last Verified           | Date when integration was last tested or validated</t>
  </si>
  <si>
    <t>Owner Team              | Team responsible for maintaining the integration</t>
  </si>
  <si>
    <t>🚦 HOW TO USE FOR RELEASE DECISIONS</t>
  </si>
  <si>
    <t>BEFORE SCHEDULING A RELEASE:</t>
  </si>
  <si>
    <t>• Filter by Target System = your application — see all systems that DEPEND on you</t>
  </si>
  <si>
    <t>• Filter by Source System = your application — see all systems you DEPEND on</t>
  </si>
  <si>
    <t>• Identify all High criticality integrations that require testing</t>
  </si>
  <si>
    <t>• Real-time integrations need same-day deployment coordination</t>
  </si>
  <si>
    <t>• Batch integrations may only need testing during batch windows</t>
  </si>
  <si>
    <t>• Notify Owner Teams of all High/Medium criticality connected systems</t>
  </si>
  <si>
    <t>IMPACT ASSESSMENT:</t>
  </si>
  <si>
    <t>• If your release changes an API: check which systems call that API (filter Target)</t>
  </si>
  <si>
    <t>• If your release changes data format: check downstream file consumers</t>
  </si>
  <si>
    <t>• Document expected integration behavior changes in release notes</t>
  </si>
  <si>
    <t>1. KEEP MAPPINGS CURRENT: Update when integrations are built or retired</t>
  </si>
  <si>
    <t>2. VERIFY ANNUALLY: Last Verified &gt; 1 year old = stale data, revalidate</t>
  </si>
  <si>
    <t>3. TEST CRITICAL PATHS: Before major releases, test High criticality integrations</t>
  </si>
  <si>
    <t>4. COORDINATE DEPLOYMENTS: Real-time integrations need coordinated releases</t>
  </si>
  <si>
    <t>5. DOCUMENT SLA CHANGES: Latency increases affect downstream systems</t>
  </si>
  <si>
    <t>6. CROSS-REFERENCE: System Mapping + Dependencies sheet = full picture</t>
  </si>
  <si>
    <t>7. NOTIFY EARLY: Give connected teams 2+ weeks notice for interface changes</t>
  </si>
  <si>
    <t>⚠️ WARNING: Undocumented integrations are a major release risk.</t>
  </si>
  <si>
    <t>If you discover an unlisted integration, ADD IT IMMEDIATELY.</t>
  </si>
  <si>
    <t>App ID</t>
  </si>
  <si>
    <t>Version</t>
  </si>
  <si>
    <t>Build Number</t>
  </si>
  <si>
    <t>Deployed By</t>
  </si>
  <si>
    <t>APP-001</t>
  </si>
  <si>
    <t>2026.3.0-beta</t>
  </si>
  <si>
    <t>Build-45892</t>
  </si>
  <si>
    <t>Latest features in testing</t>
  </si>
  <si>
    <t>2026.2.5</t>
  </si>
  <si>
    <t>Build-45721</t>
  </si>
  <si>
    <t>QA validation in progress</t>
  </si>
  <si>
    <t>2026.2.3</t>
  </si>
  <si>
    <t>Build-45650</t>
  </si>
  <si>
    <t>Business sign-off pending</t>
  </si>
  <si>
    <t>2026.2.1</t>
  </si>
  <si>
    <t>Build-45580</t>
  </si>
  <si>
    <t>Ready for production</t>
  </si>
  <si>
    <t>2026.2.0-GA</t>
  </si>
  <si>
    <t>Build-45500</t>
  </si>
  <si>
    <t>Current production version</t>
  </si>
  <si>
    <t>Mirrors production</t>
  </si>
  <si>
    <t>APP-002</t>
  </si>
  <si>
    <t>5.8.2-alpha</t>
  </si>
  <si>
    <t>Build-12340</t>
  </si>
  <si>
    <t>New planning module</t>
  </si>
  <si>
    <t>5.8.1</t>
  </si>
  <si>
    <t>Build-12280</t>
  </si>
  <si>
    <t>Regression testing</t>
  </si>
  <si>
    <t>5.7.5</t>
  </si>
  <si>
    <t>Build-12150</t>
  </si>
  <si>
    <t>User acceptance</t>
  </si>
  <si>
    <t>5.7.4</t>
  </si>
  <si>
    <t>Build-12100</t>
  </si>
  <si>
    <t>Performance verified</t>
  </si>
  <si>
    <t>5.7.3-GA</t>
  </si>
  <si>
    <t>Build-12050</t>
  </si>
  <si>
    <t>Stable release</t>
  </si>
  <si>
    <t>DR sync complete</t>
  </si>
  <si>
    <t>APP-003</t>
  </si>
  <si>
    <t>10.5.0-dev</t>
  </si>
  <si>
    <t>Build-78901</t>
  </si>
  <si>
    <t>Route optimization update</t>
  </si>
  <si>
    <t>10.4.8</t>
  </si>
  <si>
    <t>Build-78800</t>
  </si>
  <si>
    <t>Integration tests</t>
  </si>
  <si>
    <t>10.4.6</t>
  </si>
  <si>
    <t>Build-78700</t>
  </si>
  <si>
    <t>Carrier testing</t>
  </si>
  <si>
    <t>10.4.5</t>
  </si>
  <si>
    <t>Build-78650</t>
  </si>
  <si>
    <t>Load tested</t>
  </si>
  <si>
    <t>10.4.4-GA</t>
  </si>
  <si>
    <t>Build-78600</t>
  </si>
  <si>
    <t>Production stable</t>
  </si>
  <si>
    <t>Failover tested</t>
  </si>
  <si>
    <t>APP-004</t>
  </si>
  <si>
    <t>Spring'26.3-beta</t>
  </si>
  <si>
    <t>Build-SF2603</t>
  </si>
  <si>
    <t>Lightning update</t>
  </si>
  <si>
    <t>Spring'26.2</t>
  </si>
  <si>
    <t>Build-SF2602</t>
  </si>
  <si>
    <t>API testing</t>
  </si>
  <si>
    <t>Spring'26.1</t>
  </si>
  <si>
    <t>Build-SF2601</t>
  </si>
  <si>
    <t>Sales team review</t>
  </si>
  <si>
    <t>Winter'26.5</t>
  </si>
  <si>
    <t>Build-SF2605</t>
  </si>
  <si>
    <t>Sandbox refresh done</t>
  </si>
  <si>
    <t>Winter'26.4-GA</t>
  </si>
  <si>
    <t>Build-SF2604</t>
  </si>
  <si>
    <t>Current release</t>
  </si>
  <si>
    <t>DR active</t>
  </si>
  <si>
    <t>APP-005</t>
  </si>
  <si>
    <t>2026.Q2.3-dev</t>
  </si>
  <si>
    <t>Build-MFG890</t>
  </si>
  <si>
    <t>MES integration</t>
  </si>
  <si>
    <t>2026.Q2.2</t>
  </si>
  <si>
    <t>Build-MFG880</t>
  </si>
  <si>
    <t>Shop floor tests</t>
  </si>
  <si>
    <t>2026.Q2.1</t>
  </si>
  <si>
    <t>Build-MFG870</t>
  </si>
  <si>
    <t>Plant validation</t>
  </si>
  <si>
    <t>2026.Q1.5</t>
  </si>
  <si>
    <t>Build-MFG860</t>
  </si>
  <si>
    <t>Capacity tested</t>
  </si>
  <si>
    <t>2026.Q1.4-GA</t>
  </si>
  <si>
    <t>Build-MFG850</t>
  </si>
  <si>
    <t>Running in 3 plants</t>
  </si>
  <si>
    <t>Geo-redundant</t>
  </si>
  <si>
    <t>APP-006</t>
  </si>
  <si>
    <t>Tokyo-P3-dev</t>
  </si>
  <si>
    <t>Build-SN5502</t>
  </si>
  <si>
    <t>CMDB enhancements</t>
  </si>
  <si>
    <t>Tokyo-P2</t>
  </si>
  <si>
    <t>Build-SN5501</t>
  </si>
  <si>
    <t>Workflow testing</t>
  </si>
  <si>
    <t>Tokyo-P1</t>
  </si>
  <si>
    <t>Build-SN5500</t>
  </si>
  <si>
    <t>IT team sign-off</t>
  </si>
  <si>
    <t>San Diego-P5</t>
  </si>
  <si>
    <t>Build-SN5405</t>
  </si>
  <si>
    <t>Performance OK</t>
  </si>
  <si>
    <t>San Diego-P4-GA</t>
  </si>
  <si>
    <t>Build-SN5404</t>
  </si>
  <si>
    <t>All modules active</t>
  </si>
  <si>
    <t>HA configured</t>
  </si>
  <si>
    <t>APP-007</t>
  </si>
  <si>
    <t>2026R2-dev</t>
  </si>
  <si>
    <t>Build-WD2602</t>
  </si>
  <si>
    <t>Talent module update</t>
  </si>
  <si>
    <t>2026R1.5</t>
  </si>
  <si>
    <t>Build-WD2615</t>
  </si>
  <si>
    <t>Payroll integration</t>
  </si>
  <si>
    <t>2026R1.4</t>
  </si>
  <si>
    <t>Build-WD2614</t>
  </si>
  <si>
    <t>HR validation</t>
  </si>
  <si>
    <t>2026R1.3</t>
  </si>
  <si>
    <t>Build-WD2613</t>
  </si>
  <si>
    <t>Data migration done</t>
  </si>
  <si>
    <t>2026R1.2-GA</t>
  </si>
  <si>
    <t>Build-WD2612</t>
  </si>
  <si>
    <t>Global rollout</t>
  </si>
  <si>
    <t>Cross-region sync</t>
  </si>
  <si>
    <t>APP-008</t>
  </si>
  <si>
    <t>23.5.0-beta</t>
  </si>
  <si>
    <t>Build-DS2350</t>
  </si>
  <si>
    <t>AI clause analysis</t>
  </si>
  <si>
    <t>23.4.3</t>
  </si>
  <si>
    <t>Build-DS2343</t>
  </si>
  <si>
    <t>E-signature tests</t>
  </si>
  <si>
    <t>23.4.2</t>
  </si>
  <si>
    <t>Build-DS2342</t>
  </si>
  <si>
    <t>Legal review</t>
  </si>
  <si>
    <t>23.4.1</t>
  </si>
  <si>
    <t>Build-DS2341</t>
  </si>
  <si>
    <t>Compliance verified</t>
  </si>
  <si>
    <t>23.4.0-GA</t>
  </si>
  <si>
    <t>Build-DS2340</t>
  </si>
  <si>
    <t>All templates live</t>
  </si>
  <si>
    <t>Cloud DR active</t>
  </si>
  <si>
    <t>APP-009</t>
  </si>
  <si>
    <t>7.2.0-alpha</t>
  </si>
  <si>
    <t>Build-CS720</t>
  </si>
  <si>
    <t>New threat models</t>
  </si>
  <si>
    <t>7.1.5</t>
  </si>
  <si>
    <t>Build-CS715</t>
  </si>
  <si>
    <t>Detection testing</t>
  </si>
  <si>
    <t>7.1.4</t>
  </si>
  <si>
    <t>Build-CS714</t>
  </si>
  <si>
    <t>SOC validation</t>
  </si>
  <si>
    <t>7.1.3</t>
  </si>
  <si>
    <t>Build-CS713</t>
  </si>
  <si>
    <t>Sensor verified</t>
  </si>
  <si>
    <t>7.1.2-GA</t>
  </si>
  <si>
    <t>Build-CS712</t>
  </si>
  <si>
    <t>All endpoints</t>
  </si>
  <si>
    <t>24/7 monitoring</t>
  </si>
  <si>
    <t>APP-010</t>
  </si>
  <si>
    <t>9.3.0-dev</t>
  </si>
  <si>
    <t>Build-SP930</t>
  </si>
  <si>
    <t>ML features</t>
  </si>
  <si>
    <t>9.2.5</t>
  </si>
  <si>
    <t>Build-SP925</t>
  </si>
  <si>
    <t>Index testing</t>
  </si>
  <si>
    <t>9.2.4</t>
  </si>
  <si>
    <t>Build-SP924</t>
  </si>
  <si>
    <t>Dashboard review</t>
  </si>
  <si>
    <t>9.2.3</t>
  </si>
  <si>
    <t>Build-SP923</t>
  </si>
  <si>
    <t>License validated</t>
  </si>
  <si>
    <t>9.2.2-GA</t>
  </si>
  <si>
    <t>Build-SP922</t>
  </si>
  <si>
    <t>Heavy forwarders</t>
  </si>
  <si>
    <t>Search head cluster</t>
  </si>
  <si>
    <t>APP-011</t>
  </si>
  <si>
    <t>R33.1-dev</t>
  </si>
  <si>
    <t>Build-CP3310</t>
  </si>
  <si>
    <t>Supplier portal update</t>
  </si>
  <si>
    <t>R33.0</t>
  </si>
  <si>
    <t>Build-CP3300</t>
  </si>
  <si>
    <t>Invoice testing</t>
  </si>
  <si>
    <t>R32.5</t>
  </si>
  <si>
    <t>Build-CP3250</t>
  </si>
  <si>
    <t>Procurement review</t>
  </si>
  <si>
    <t>R32.4</t>
  </si>
  <si>
    <t>Build-CP3240</t>
  </si>
  <si>
    <t>Integration verified</t>
  </si>
  <si>
    <t>R32.3-GA</t>
  </si>
  <si>
    <t>Build-CP3230</t>
  </si>
  <si>
    <t>P2P live</t>
  </si>
  <si>
    <t>Cloud backup</t>
  </si>
  <si>
    <t>APP-012</t>
  </si>
  <si>
    <t>10.0.38-dev</t>
  </si>
  <si>
    <t>Build-D365038</t>
  </si>
  <si>
    <t>Copilot features</t>
  </si>
  <si>
    <t>10.0.37</t>
  </si>
  <si>
    <t>Build-D365037</t>
  </si>
  <si>
    <t>Plugin testing</t>
  </si>
  <si>
    <t>10.0.36</t>
  </si>
  <si>
    <t>Build-D365036</t>
  </si>
  <si>
    <t>10.0.35</t>
  </si>
  <si>
    <t>Build-D365035</t>
  </si>
  <si>
    <t>Data sync done</t>
  </si>
  <si>
    <t>10.0.34-GA</t>
  </si>
  <si>
    <t>Build-D365034</t>
  </si>
  <si>
    <t>Multi-region</t>
  </si>
  <si>
    <t>Azure failover</t>
  </si>
  <si>
    <t>APP-013</t>
  </si>
  <si>
    <t>2026.2.0-dev</t>
  </si>
  <si>
    <t>Build-OPC260</t>
  </si>
  <si>
    <t>Digital twin update</t>
  </si>
  <si>
    <t>2026.1.5</t>
  </si>
  <si>
    <t>Build-OPC255</t>
  </si>
  <si>
    <t>2026.1.4</t>
  </si>
  <si>
    <t>Build-OPC254</t>
  </si>
  <si>
    <t>Plant floor review</t>
  </si>
  <si>
    <t>2026.1.3</t>
  </si>
  <si>
    <t>Build-OPC253</t>
  </si>
  <si>
    <t>2026.1.2-GA</t>
  </si>
  <si>
    <t>Build-OPC252</t>
  </si>
  <si>
    <t>4 plants live</t>
  </si>
  <si>
    <t>Hot standby</t>
  </si>
  <si>
    <t>APP-014</t>
  </si>
  <si>
    <t>2H-2026-dev</t>
  </si>
  <si>
    <t>Build-SF2H26</t>
  </si>
  <si>
    <t>Performance mgmt</t>
  </si>
  <si>
    <t>1H-2026.5</t>
  </si>
  <si>
    <t>Build-SF1H25</t>
  </si>
  <si>
    <t>Goal setting test</t>
  </si>
  <si>
    <t>1H-2026.4</t>
  </si>
  <si>
    <t>Build-SF1H24</t>
  </si>
  <si>
    <t>Employee review</t>
  </si>
  <si>
    <t>1H-2026.3</t>
  </si>
  <si>
    <t>Build-SF1H23</t>
  </si>
  <si>
    <t>Integration OK</t>
  </si>
  <si>
    <t>1H-2026.2-GA</t>
  </si>
  <si>
    <t>Build-SF1H22</t>
  </si>
  <si>
    <t>Global HCM</t>
  </si>
  <si>
    <t>Cloud DR</t>
  </si>
  <si>
    <t>APP-015</t>
  </si>
  <si>
    <t>10.5.0-beta</t>
  </si>
  <si>
    <t>Build-IM1050</t>
  </si>
  <si>
    <t>Matter mgmt update</t>
  </si>
  <si>
    <t>Build-IM1045</t>
  </si>
  <si>
    <t>Doc search tests</t>
  </si>
  <si>
    <t>10.4.4</t>
  </si>
  <si>
    <t>Build-IM1044</t>
  </si>
  <si>
    <t>Legal team review</t>
  </si>
  <si>
    <t>10.4.3</t>
  </si>
  <si>
    <t>Build-IM1043</t>
  </si>
  <si>
    <t>Security verified</t>
  </si>
  <si>
    <t>10.4.2-GA</t>
  </si>
  <si>
    <t>Build-IM1042</t>
  </si>
  <si>
    <t>Firm-wide</t>
  </si>
  <si>
    <t>Replicated</t>
  </si>
  <si>
    <t>APP-016</t>
  </si>
  <si>
    <t>2026.05.2-dev</t>
  </si>
  <si>
    <t>Build-OK0502</t>
  </si>
  <si>
    <t>MFA enhancement</t>
  </si>
  <si>
    <t>2026.05.1</t>
  </si>
  <si>
    <t>Build-OK0501</t>
  </si>
  <si>
    <t>SSO testing</t>
  </si>
  <si>
    <t>2026.04.5</t>
  </si>
  <si>
    <t>Build-OK0405</t>
  </si>
  <si>
    <t>Access review</t>
  </si>
  <si>
    <t>2026.04.4</t>
  </si>
  <si>
    <t>Build-OK0404</t>
  </si>
  <si>
    <t>Policy verified</t>
  </si>
  <si>
    <t>2026.04.3-GA</t>
  </si>
  <si>
    <t>Build-OK0403</t>
  </si>
  <si>
    <t>Enterprise IAM</t>
  </si>
  <si>
    <t>Federated DR</t>
  </si>
  <si>
    <t>APP-017</t>
  </si>
  <si>
    <t>2026.3-dev</t>
  </si>
  <si>
    <t>Build-BY263</t>
  </si>
  <si>
    <t>AI forecasting</t>
  </si>
  <si>
    <t>Build-BY2625</t>
  </si>
  <si>
    <t>Wave planning test</t>
  </si>
  <si>
    <t>2026.2.4</t>
  </si>
  <si>
    <t>Build-BY2624</t>
  </si>
  <si>
    <t>Warehouse review</t>
  </si>
  <si>
    <t>Build-BY2623</t>
  </si>
  <si>
    <t>Peak load OK</t>
  </si>
  <si>
    <t>2026.2.2-GA</t>
  </si>
  <si>
    <t>Build-BY2622</t>
  </si>
  <si>
    <t>5 DCs live</t>
  </si>
  <si>
    <t>Regional backup</t>
  </si>
  <si>
    <t>APP-018</t>
  </si>
  <si>
    <t>1.8.0-dev</t>
  </si>
  <si>
    <t>Build-TF180</t>
  </si>
  <si>
    <t>Provider updates</t>
  </si>
  <si>
    <t>1.7.5</t>
  </si>
  <si>
    <t>Build-TF175</t>
  </si>
  <si>
    <t>Module testing</t>
  </si>
  <si>
    <t>1.7.4</t>
  </si>
  <si>
    <t>Build-TF174</t>
  </si>
  <si>
    <t>Infra review</t>
  </si>
  <si>
    <t>1.7.3</t>
  </si>
  <si>
    <t>Build-TF173</t>
  </si>
  <si>
    <t>State migrated</t>
  </si>
  <si>
    <t>1.7.2-GA</t>
  </si>
  <si>
    <t>Build-TF172</t>
  </si>
  <si>
    <t>IaC platform</t>
  </si>
  <si>
    <t>Workspace sync</t>
  </si>
  <si>
    <t>APP-019</t>
  </si>
  <si>
    <t>11.2.14-dev</t>
  </si>
  <si>
    <t>Build-HFM214</t>
  </si>
  <si>
    <t>Consolidation rules</t>
  </si>
  <si>
    <t>11.2.13</t>
  </si>
  <si>
    <t>Build-HFM213</t>
  </si>
  <si>
    <t>Close cycle test</t>
  </si>
  <si>
    <t>11.2.12</t>
  </si>
  <si>
    <t>Build-HFM212</t>
  </si>
  <si>
    <t>Finance review</t>
  </si>
  <si>
    <t>11.2.11</t>
  </si>
  <si>
    <t>Build-HFM211</t>
  </si>
  <si>
    <t>Period close OK</t>
  </si>
  <si>
    <t>11.2.10-GA</t>
  </si>
  <si>
    <t>Build-HFM210</t>
  </si>
  <si>
    <t>Multi-entity</t>
  </si>
  <si>
    <t>Oracle RAC DR</t>
  </si>
  <si>
    <t>APP-020</t>
  </si>
  <si>
    <t>2026.Q2-dev</t>
  </si>
  <si>
    <t>Build-HS26Q2</t>
  </si>
  <si>
    <t>Marketing hub</t>
  </si>
  <si>
    <t>Build-HS26Q15</t>
  </si>
  <si>
    <t>Campaign tests</t>
  </si>
  <si>
    <t>2026.Q1.4</t>
  </si>
  <si>
    <t>Build-HS26Q14</t>
  </si>
  <si>
    <t>Marketing review</t>
  </si>
  <si>
    <t>2026.Q1.3</t>
  </si>
  <si>
    <t>Build-HS26Q13</t>
  </si>
  <si>
    <t>API verified</t>
  </si>
  <si>
    <t>2026.Q1.2-GA</t>
  </si>
  <si>
    <t>Build-HS26Q12</t>
  </si>
  <si>
    <t>All hubs live</t>
  </si>
  <si>
    <t>Cloud native DR</t>
  </si>
  <si>
    <t>APP-021</t>
  </si>
  <si>
    <t>5.15.0-dev</t>
  </si>
  <si>
    <t>Build-JSM515</t>
  </si>
  <si>
    <t>AI agent update</t>
  </si>
  <si>
    <t>5.14.5</t>
  </si>
  <si>
    <t>Build-JSM5145</t>
  </si>
  <si>
    <t>Queue testing</t>
  </si>
  <si>
    <t>5.14.4</t>
  </si>
  <si>
    <t>Build-JSM5144</t>
  </si>
  <si>
    <t>Help desk review</t>
  </si>
  <si>
    <t>5.14.3</t>
  </si>
  <si>
    <t>Build-JSM5143</t>
  </si>
  <si>
    <t>SLA config OK</t>
  </si>
  <si>
    <t>5.14.2-GA</t>
  </si>
  <si>
    <t>Build-JSM5142</t>
  </si>
  <si>
    <t>IT service desk</t>
  </si>
  <si>
    <t>Atlassian DR</t>
  </si>
  <si>
    <t>APP-022</t>
  </si>
  <si>
    <t>23.10.1-dev</t>
  </si>
  <si>
    <t>Build-PA2310</t>
  </si>
  <si>
    <t>CSPM updates</t>
  </si>
  <si>
    <t>23.9.5</t>
  </si>
  <si>
    <t>Build-PA2395</t>
  </si>
  <si>
    <t>Policy testing</t>
  </si>
  <si>
    <t>23.9.4</t>
  </si>
  <si>
    <t>Build-PA2394</t>
  </si>
  <si>
    <t>SOC review</t>
  </si>
  <si>
    <t>23.9.3</t>
  </si>
  <si>
    <t>Build-PA2393</t>
  </si>
  <si>
    <t>Scan verified</t>
  </si>
  <si>
    <t>23.9.2-GA</t>
  </si>
  <si>
    <t>Build-PA2392</t>
  </si>
  <si>
    <t>Multi-cloud</t>
  </si>
  <si>
    <t>SaaS DR</t>
  </si>
  <si>
    <t>APP-023</t>
  </si>
  <si>
    <t>26B-dev</t>
  </si>
  <si>
    <t>Build-OHCM26B</t>
  </si>
  <si>
    <t>Benefits update</t>
  </si>
  <si>
    <t>26A.5</t>
  </si>
  <si>
    <t>Build-OHCM26A5</t>
  </si>
  <si>
    <t>Payroll cycle</t>
  </si>
  <si>
    <t>26A.4</t>
  </si>
  <si>
    <t>Build-OHCM26A4</t>
  </si>
  <si>
    <t>HR team review</t>
  </si>
  <si>
    <t>26A.3</t>
  </si>
  <si>
    <t>Build-OHCM26A3</t>
  </si>
  <si>
    <t>OCI tested</t>
  </si>
  <si>
    <t>26A.2-GA</t>
  </si>
  <si>
    <t>Build-OHCM26A2</t>
  </si>
  <si>
    <t>Global payroll</t>
  </si>
  <si>
    <t>Oracle DR</t>
  </si>
  <si>
    <t>APP-024</t>
  </si>
  <si>
    <t>14.0.0-dev</t>
  </si>
  <si>
    <t>Build-FT140</t>
  </si>
  <si>
    <t>SCADA update</t>
  </si>
  <si>
    <t>13.5.5</t>
  </si>
  <si>
    <t>Build-FT1355</t>
  </si>
  <si>
    <t>PLC integration</t>
  </si>
  <si>
    <t>13.5.4</t>
  </si>
  <si>
    <t>Build-FT1354</t>
  </si>
  <si>
    <t>Plant floor test</t>
  </si>
  <si>
    <t>13.5.3</t>
  </si>
  <si>
    <t>Build-FT1353</t>
  </si>
  <si>
    <t>OT network OK</t>
  </si>
  <si>
    <t>13.5.2-GA</t>
  </si>
  <si>
    <t>Build-FT1352</t>
  </si>
  <si>
    <t>6 plants live</t>
  </si>
  <si>
    <t>Historian DR</t>
  </si>
  <si>
    <t>APP-025</t>
  </si>
  <si>
    <t>Build-PL263</t>
  </si>
  <si>
    <t>Knowledge base</t>
  </si>
  <si>
    <t>Build-PL2625</t>
  </si>
  <si>
    <t>Search testing</t>
  </si>
  <si>
    <t>Build-PL2624</t>
  </si>
  <si>
    <t>Build-PL2623</t>
  </si>
  <si>
    <t>Content sync</t>
  </si>
  <si>
    <t>Build-PL2622</t>
  </si>
  <si>
    <t>All libraries</t>
  </si>
  <si>
    <t>SaaS replicated</t>
  </si>
  <si>
    <t>APP-026</t>
  </si>
  <si>
    <t>Build-MA2620</t>
  </si>
  <si>
    <t>Labor mgmt</t>
  </si>
  <si>
    <t>Build-MA2615</t>
  </si>
  <si>
    <t>Pick path test</t>
  </si>
  <si>
    <t>Build-MA2614</t>
  </si>
  <si>
    <t>DC team review</t>
  </si>
  <si>
    <t>Build-MA2613</t>
  </si>
  <si>
    <t>Build-MA2612</t>
  </si>
  <si>
    <t>3 warehouses</t>
  </si>
  <si>
    <t>APP-027</t>
  </si>
  <si>
    <t>2026R2.1-dev</t>
  </si>
  <si>
    <t>Build-WF26R2</t>
  </si>
  <si>
    <t>Revenue module</t>
  </si>
  <si>
    <t>Build-WF26R15</t>
  </si>
  <si>
    <t>GL testing</t>
  </si>
  <si>
    <t>Build-WF26R14</t>
  </si>
  <si>
    <t>Controller review</t>
  </si>
  <si>
    <t>Build-WF26R13</t>
  </si>
  <si>
    <t>Close cycle OK</t>
  </si>
  <si>
    <t>Build-WF26R12</t>
  </si>
  <si>
    <t>Core financials</t>
  </si>
  <si>
    <t>APP-028</t>
  </si>
  <si>
    <t>6.3.0-dev</t>
  </si>
  <si>
    <t>Build-SOAR63</t>
  </si>
  <si>
    <t>Playbook update</t>
  </si>
  <si>
    <t>6.2.5</t>
  </si>
  <si>
    <t>Build-SOAR625</t>
  </si>
  <si>
    <t>Automation test</t>
  </si>
  <si>
    <t>6.2.4</t>
  </si>
  <si>
    <t>Build-SOAR624</t>
  </si>
  <si>
    <t>6.2.3</t>
  </si>
  <si>
    <t>Build-SOAR623</t>
  </si>
  <si>
    <t>6.2.2-GA</t>
  </si>
  <si>
    <t>Build-SOAR622</t>
  </si>
  <si>
    <t>Active response</t>
  </si>
  <si>
    <t>SIEM linked</t>
  </si>
  <si>
    <t>APP-029</t>
  </si>
  <si>
    <t>26B.2-dev</t>
  </si>
  <si>
    <t>Build-OMC26B2</t>
  </si>
  <si>
    <t>Quality module</t>
  </si>
  <si>
    <t>26B.1</t>
  </si>
  <si>
    <t>Build-OMC26B1</t>
  </si>
  <si>
    <t>BOM testing</t>
  </si>
  <si>
    <t>Build-OMC26A5</t>
  </si>
  <si>
    <t>Production review</t>
  </si>
  <si>
    <t>Build-OMC26A4</t>
  </si>
  <si>
    <t>26A.3-GA</t>
  </si>
  <si>
    <t>Build-OMC26A3</t>
  </si>
  <si>
    <t>3 facilities</t>
  </si>
  <si>
    <t>Oracle RAC</t>
  </si>
  <si>
    <t>APP-030</t>
  </si>
  <si>
    <t>7.50.0-dev</t>
  </si>
  <si>
    <t>Build-DD750</t>
  </si>
  <si>
    <t>APM update</t>
  </si>
  <si>
    <t>7.49.5</t>
  </si>
  <si>
    <t>Build-DD7495</t>
  </si>
  <si>
    <t>Agent testing</t>
  </si>
  <si>
    <t>7.49.4</t>
  </si>
  <si>
    <t>Build-DD7494</t>
  </si>
  <si>
    <t>7.49.3</t>
  </si>
  <si>
    <t>Build-DD7493</t>
  </si>
  <si>
    <t>7.49.2-GA</t>
  </si>
  <si>
    <t>Build-DD7492</t>
  </si>
  <si>
    <t>Observability</t>
  </si>
  <si>
    <t>📖 QUICK REFERENCE: Version Tracking (Collapsible Section for Web)</t>
  </si>
  <si>
    <t>ENV FLOW: Dev → Test → UAT → Pre-prod → Prod → DR (DR must = Prod)</t>
  </si>
  <si>
    <t>VERSION CHECK: Before deploy, verify Pre-prod = planned release version</t>
  </si>
  <si>
    <t>ROLLBACK: Document current Prod version as rollback target before deployment</t>
  </si>
  <si>
    <t>📋 APPLICATION VERSIONS - COMPREHENSIVE GUIDE</t>
  </si>
  <si>
    <t>🎯 PURPOSE OF VERSION TRACKING</t>
  </si>
  <si>
    <t>This sheet maintains a complete inventory of application versions across all environments.</t>
  </si>
  <si>
    <t>Version tracking is essential for understanding what's deployed where and planning promotions.</t>
  </si>
  <si>
    <t>WHY VERSION TRACKING MATTERS:</t>
  </si>
  <si>
    <t>• Enables quick identification of version discrepancies between environments</t>
  </si>
  <si>
    <t>• Supports rollback planning — know exactly what version to revert to</t>
  </si>
  <si>
    <t>• Provides audit trail of what was deployed, when, and by whom</t>
  </si>
  <si>
    <t>• Identifies environment drift when versions don't follow expected promotion path</t>
  </si>
  <si>
    <t>📊 EXPECTED ENVIRONMENT PROMOTION FLOW</t>
  </si>
  <si>
    <t>Standard promotion path: Dev → Test → UAT → Pre-prod → Prod → DR</t>
  </si>
  <si>
    <t>• Dev: Latest features, may be unstable (highest version number)</t>
  </si>
  <si>
    <t>• Test: QA validation in progress (version behind Dev)</t>
  </si>
  <si>
    <t>• UAT: Business user acceptance testing (version behind Test)</t>
  </si>
  <si>
    <t>• Pre-prod: Final validation, mirrors Prod config (version = next Prod release)</t>
  </si>
  <si>
    <t>• Prod: Current production version (stable, verified)</t>
  </si>
  <si>
    <t>• DR: Disaster Recovery — should ALWAYS mirror Prod exactly</t>
  </si>
  <si>
    <t>PRE-RELEASE PLANNING:</t>
  </si>
  <si>
    <t>• Find your application and check current versions across all environments</t>
  </si>
  <si>
    <t>• Verify Test/UAT have the version you're planning to release to Prod</t>
  </si>
  <si>
    <t>• If Pre-prod version doesn't match planned release version, promotion is needed first</t>
  </si>
  <si>
    <t>IDENTIFYING PROBLEMS:</t>
  </si>
  <si>
    <t>• Version in UAT &gt; version in Pre-prod: Promotion step was skipped — testing not valid</t>
  </si>
  <si>
    <t>• Version in DR ≠ version in Prod: DR environment is out of sync — major risk</t>
  </si>
  <si>
    <t>• Same version across Dev/Test/UAT/Pre-prod: May indicate stalled deployments</t>
  </si>
  <si>
    <t>ROLLBACK PREPARATION:</t>
  </si>
  <si>
    <t>• Before any deployment, document current Prod version as rollback target</t>
  </si>
  <si>
    <t>• Verify rollback version still exists in deployment pipeline</t>
  </si>
  <si>
    <t>• Confirm rollback procedure has been tested in Pre-prod</t>
  </si>
  <si>
    <t>1. UPDATE IMMEDIATELY: Record version changes within hours of deployment</t>
  </si>
  <si>
    <t>2. INCLUDE BUILD NUMBERS: Version alone may be ambiguous</t>
  </si>
  <si>
    <t>3. VERIFY DR SYNC: After every Prod deploy, confirm DR mirrors within 24hrs</t>
  </si>
  <si>
    <t>4. TRACK DEPLOYER: Knowing who deployed aids troubleshooting</t>
  </si>
  <si>
    <t>5. CROSS-REFERENCE DRIFT: Version differences may indicate Drift issues</t>
  </si>
  <si>
    <t>6. ARCHIVE HISTORY: Keep historical records for compliance and post-incident</t>
  </si>
  <si>
    <t>Alert ID</t>
  </si>
  <si>
    <t>Timestamp</t>
  </si>
  <si>
    <t>Alert Type</t>
  </si>
  <si>
    <t>Threshold</t>
  </si>
  <si>
    <t>Current Value</t>
  </si>
  <si>
    <t>ALT-001</t>
  </si>
  <si>
    <t>SAP S/4HANA Finance</t>
  </si>
  <si>
    <t>Memory Threshold Exceeded</t>
  </si>
  <si>
    <t>Memory Usage</t>
  </si>
  <si>
    <t>ALT-002</t>
  </si>
  <si>
    <t>CPU Utilization High</t>
  </si>
  <si>
    <t>CPU Usage</t>
  </si>
  <si>
    <t>ALT-003</t>
  </si>
  <si>
    <t>Latency Over SLA</t>
  </si>
  <si>
    <t>200ms</t>
  </si>
  <si>
    <t>450ms</t>
  </si>
  <si>
    <t>ALT-004</t>
  </si>
  <si>
    <t>Disk Space Low</t>
  </si>
  <si>
    <t>Disk Usage</t>
  </si>
  <si>
    <t>ALT-005</t>
  </si>
  <si>
    <t>Network Connectivity Issue</t>
  </si>
  <si>
    <t>Packet Loss</t>
  </si>
  <si>
    <t>ALT-006</t>
  </si>
  <si>
    <t>Security Scan Failed</t>
  </si>
  <si>
    <t>Scan Status</t>
  </si>
  <si>
    <t>Pass</t>
  </si>
  <si>
    <t>ALT-007</t>
  </si>
  <si>
    <t>Application Error Rate High</t>
  </si>
  <si>
    <t>Error Rate</t>
  </si>
  <si>
    <t>ALT-008</t>
  </si>
  <si>
    <t>Database Connection Pool Exhausted</t>
  </si>
  <si>
    <t>Pool Usage</t>
  </si>
  <si>
    <t>ALT-009</t>
  </si>
  <si>
    <t>API Response Time Degraded</t>
  </si>
  <si>
    <t>API Latency</t>
  </si>
  <si>
    <t>500ms</t>
  </si>
  <si>
    <t>780ms</t>
  </si>
  <si>
    <t>ALT-010</t>
  </si>
  <si>
    <t>SSL Certificate Expiring</t>
  </si>
  <si>
    <t>Days to Expiry</t>
  </si>
  <si>
    <t>ALT-011</t>
  </si>
  <si>
    <t>Backup Failed</t>
  </si>
  <si>
    <t>Backup Status</t>
  </si>
  <si>
    <t>Success</t>
  </si>
  <si>
    <t>ALT-012</t>
  </si>
  <si>
    <t>Replication Lag</t>
  </si>
  <si>
    <t>Lag Time</t>
  </si>
  <si>
    <t>5min</t>
  </si>
  <si>
    <t>12min</t>
  </si>
  <si>
    <t>ALT-013</t>
  </si>
  <si>
    <t>Message Queue Backlog</t>
  </si>
  <si>
    <t>Queue Depth</t>
  </si>
  <si>
    <t>ALT-014</t>
  </si>
  <si>
    <t>Cache Hit Rate Low</t>
  </si>
  <si>
    <t>Info</t>
  </si>
  <si>
    <t>Hit Rate</t>
  </si>
  <si>
    <t>ALT-015</t>
  </si>
  <si>
    <t>Load Balancer Health Check Failed</t>
  </si>
  <si>
    <t>Health Status</t>
  </si>
  <si>
    <t>Healthy</t>
  </si>
  <si>
    <t>Unhealthy</t>
  </si>
  <si>
    <t>ALT-016</t>
  </si>
  <si>
    <t>Authentication Failures Spike</t>
  </si>
  <si>
    <t>Failed Logins</t>
  </si>
  <si>
    <t>10/hr</t>
  </si>
  <si>
    <t>45/hr</t>
  </si>
  <si>
    <t>ALT-017</t>
  </si>
  <si>
    <t>ALT-018</t>
  </si>
  <si>
    <t>ALT-019</t>
  </si>
  <si>
    <t>280ms</t>
  </si>
  <si>
    <t>ALT-020</t>
  </si>
  <si>
    <t>ALT-021</t>
  </si>
  <si>
    <t>ALT-022</t>
  </si>
  <si>
    <t>ALT-023</t>
  </si>
  <si>
    <t>ALT-024</t>
  </si>
  <si>
    <t>120/hr</t>
  </si>
  <si>
    <t>ALT-025</t>
  </si>
  <si>
    <t>620ms</t>
  </si>
  <si>
    <t>ALT-026</t>
  </si>
  <si>
    <t>ALT-027</t>
  </si>
  <si>
    <t>Partial</t>
  </si>
  <si>
    <t>ALT-028</t>
  </si>
  <si>
    <t>ALT-029</t>
  </si>
  <si>
    <t>8min</t>
  </si>
  <si>
    <t>ALT-030</t>
  </si>
  <si>
    <t>Degraded</t>
  </si>
  <si>
    <t>ALT-031</t>
  </si>
  <si>
    <t>ALT-032</t>
  </si>
  <si>
    <t>ALT-033</t>
  </si>
  <si>
    <t>220ms</t>
  </si>
  <si>
    <t>ALT-034</t>
  </si>
  <si>
    <t>ALT-035</t>
  </si>
  <si>
    <t>ALT-036</t>
  </si>
  <si>
    <t>ALT-037</t>
  </si>
  <si>
    <t>ALT-038</t>
  </si>
  <si>
    <t>ALT-039</t>
  </si>
  <si>
    <t>ALT-040</t>
  </si>
  <si>
    <t>📖 QUICK REFERENCE: Monitoring Alerts (Collapsible Section for Web)</t>
  </si>
  <si>
    <t>SEVERITY: Critical 🔴 STOP | Warning 🟡 ASSESS | Info 🟢 OK</t>
  </si>
  <si>
    <t>PRE-DEPLOY CHECK: Filter by App → Count Critical (must be 0) → Review Warnings</t>
  </si>
  <si>
    <t>RULE: 0 Critical alerts = ✅ Proceed | Any Critical = 🛑 Do NOT deploy</t>
  </si>
  <si>
    <t>📋 MONITORING ALERTS - COMPREHENSIVE GUIDE</t>
  </si>
  <si>
    <t>🎯 PURPOSE OF MONITORING ALERTS</t>
  </si>
  <si>
    <t>This sheet tracks infrastructure and application health alerts that may impact releases.</t>
  </si>
  <si>
    <t>Active alerts indicate system instability that should be resolved before deployment.</t>
  </si>
  <si>
    <t>WHY MONITORING MATTERS FOR RELEASES:</t>
  </si>
  <si>
    <t>• Deploying to an unstable system increases failure risk significantly</t>
  </si>
  <si>
    <t>• Pre-existing alerts mask new issues caused by your release</t>
  </si>
  <si>
    <t>• Critical alerts may indicate the system cannot handle additional load</t>
  </si>
  <si>
    <t>• Security alerts may require immediate patching, overriding scheduled releases</t>
  </si>
  <si>
    <t>📊 ALERT SEVERITY LEVELS</t>
  </si>
  <si>
    <t>SEVERITY     | MEANING                           | RELEASE IMPACT</t>
  </si>
  <si>
    <t>Critical     | Immediate outage or security risk | 🔴 STOP - Do NOT deploy</t>
  </si>
  <si>
    <t>Warning      | Performance degraded or threshold | 🟡 WAIT - Assess before deploy</t>
  </si>
  <si>
    <t>Info         | Informational, no action required | 🟢 OK - Monitor during deploy</t>
  </si>
  <si>
    <t>GENERAL RULE:</t>
  </si>
  <si>
    <t>• Zero Critical alerts = safe to proceed</t>
  </si>
  <si>
    <t>• Any Warning alerts = investigate root cause first</t>
  </si>
  <si>
    <t>• Info alerts = acknowledge but can proceed</t>
  </si>
  <si>
    <t>🔔 ALERT TYPES AND THEIR IMPLICATIONS</t>
  </si>
  <si>
    <t>ALERT TYPE                     | WHAT IT MEANS FOR YOUR RELEASE</t>
  </si>
  <si>
    <t>Memory Threshold Exceeded      | App may crash under additional load</t>
  </si>
  <si>
    <t>CPU Utilization High           | Deployment may fail or cause timeouts</t>
  </si>
  <si>
    <t>Latency Over SLA               | User experience already degraded</t>
  </si>
  <si>
    <t>Disk Space Low                 | Deployment may fail, logs may be lost</t>
  </si>
  <si>
    <t>Network Connectivity Issue     | May lose connection during deployment</t>
  </si>
  <si>
    <t>Security Scan Failed           | Security team must approve any release</t>
  </si>
  <si>
    <t>Application Error Rate High    | Existing bugs need fixing first</t>
  </si>
  <si>
    <t>Database Connection Exhausted  | DB cannot handle more connections</t>
  </si>
  <si>
    <t>API Response Time Degraded     | Integrations may fail during deployment</t>
  </si>
  <si>
    <t>SSL Certificate Expiring       | May cause security warnings/failures</t>
  </si>
  <si>
    <t>Backup Failed                  | No rollback safety net available</t>
  </si>
  <si>
    <t>Cache Hit Rate Low             | Performance will be poor post-deploy</t>
  </si>
  <si>
    <t>🚦 PRE-DEPLOYMENT CHECKLIST</t>
  </si>
  <si>
    <t>BEFORE DEPLOYING, CHECK:</t>
  </si>
  <si>
    <t>1. Filter by Application = your target application</t>
  </si>
  <si>
    <t>2. Filter by Status = Active (ignore Resolved/Acknowledged)</t>
  </si>
  <si>
    <t>3. Count Critical alerts: must be ZERO to proceed</t>
  </si>
  <si>
    <t>4. Review Warning alerts: understand root cause</t>
  </si>
  <si>
    <t>5. Check Last Check timestamp: alerts older than 24hrs may be stale</t>
  </si>
  <si>
    <t>GO/NO-GO DECISION:</t>
  </si>
  <si>
    <t>• 0 Critical, 0 Warning → ✅ PROCEED</t>
  </si>
  <si>
    <t>• 0 Critical, 1+ Warning → ⚠️ PROCEED WITH CAUTION (document in release notes)</t>
  </si>
  <si>
    <t>• 1+ Critical → 🛑 DO NOT DEPLOY until resolved</t>
  </si>
  <si>
    <t>1. CHECK MORNING OF RELEASE: Alert status changes — verify day-of</t>
  </si>
  <si>
    <t>2. MONITOR POST-DEPLOY: Watch for new alerts for 30 minutes after release</t>
  </si>
  <si>
    <t>3. DOCUMENT BASELINE: Record pre-release alert count for comparison</t>
  </si>
  <si>
    <t>4. ESCALATE CRITICAL: Never ignore Critical alerts — escalate immediately</t>
  </si>
  <si>
    <t>5. OWN YOUR ALERTS: Assign alerts to team members for accountability</t>
  </si>
  <si>
    <t>6. SET THRESHOLDS: Work with Ops to set appropriate thresholds per app</t>
  </si>
  <si>
    <t>7. CLEAR STALE ALERTS: Resolve or dismiss alerts that are no longer valid</t>
  </si>
  <si>
    <t>⚠️ IMPORTANT: This data refreshes from monitoring systems.</t>
  </si>
  <si>
    <t>Check Dashboard for real-time summary of alert counts by severity.</t>
  </si>
  <si>
    <t>Incident ID</t>
  </si>
  <si>
    <t>Related Release</t>
  </si>
  <si>
    <t>INC-001</t>
  </si>
  <si>
    <t>Complete system outage - users cannot access</t>
  </si>
  <si>
    <t>Down</t>
  </si>
  <si>
    <t>INC-002</t>
  </si>
  <si>
    <t>Order processing frozen - critical warehouse operations halted</t>
  </si>
  <si>
    <t>INC-003</t>
  </si>
  <si>
    <t>Monitoring blackout - no metrics collection</t>
  </si>
  <si>
    <t>INC-004</t>
  </si>
  <si>
    <t>Severe performance degradation - 5+ second response times</t>
  </si>
  <si>
    <t>INC-005</t>
  </si>
  <si>
    <t>Agent deployment failures affecting 30% of endpoints</t>
  </si>
  <si>
    <t>INC-006</t>
  </si>
  <si>
    <t>SSO intermittent failures - some users affected</t>
  </si>
  <si>
    <t>INC-007</t>
  </si>
  <si>
    <t>Inventory sync delays - 15 min lag</t>
  </si>
  <si>
    <t>INC-008</t>
  </si>
  <si>
    <t>Search performance slow during peak hours</t>
  </si>
  <si>
    <t>INC-009</t>
  </si>
  <si>
    <t>Ticket attachment uploads failing intermittently</t>
  </si>
  <si>
    <t>INC-010</t>
  </si>
  <si>
    <t>Dashboard refresh delays</t>
  </si>
  <si>
    <t>INC-011</t>
  </si>
  <si>
    <t>Payment processing delays - batch jobs queued</t>
  </si>
  <si>
    <t>INC-012</t>
  </si>
  <si>
    <t>Report generation timeouts</t>
  </si>
  <si>
    <t>INC-013</t>
  </si>
  <si>
    <t>Production line integration failure</t>
  </si>
  <si>
    <t>INC-014</t>
  </si>
  <si>
    <t>Password rotation failures - manual override needed</t>
  </si>
  <si>
    <t>INC-015</t>
  </si>
  <si>
    <t>Email notifications delayed</t>
  </si>
  <si>
    <t>INC-016</t>
  </si>
  <si>
    <t>Payroll processing errors - validation failures</t>
  </si>
  <si>
    <t>INC-017</t>
  </si>
  <si>
    <t>Time-off requests not syncing</t>
  </si>
  <si>
    <t>INC-018</t>
  </si>
  <si>
    <t>Marketing email scheduling issues</t>
  </si>
  <si>
    <t>📖 QUICK REFERENCE: Incident Status (Collapsible Section for Web)</t>
  </si>
  <si>
    <t>SEVERITY: P1 🔴 ALL FROZEN | P2 🟡 Related halted | P3 🟢 Proceed cautiously</t>
  </si>
  <si>
    <t>STATUS: Active/Investigating = Check before deploy | Mitigated/Resolved = OK</t>
  </si>
  <si>
    <t>RULE: ANY P1 Active = 🛑 ALL deployments frozen company-wide</t>
  </si>
  <si>
    <t>📋 INCIDENTS - COMPREHENSIVE GUIDE</t>
  </si>
  <si>
    <t>🎯 PURPOSE OF INCIDENT TRACKING</t>
  </si>
  <si>
    <t>This sheet tracks active and recent incidents that may affect release planning.</t>
  </si>
  <si>
    <t>Active incidents represent system instability requiring immediate attention.</t>
  </si>
  <si>
    <t>WHY INCIDENTS MATTER FOR RELEASES:</t>
  </si>
  <si>
    <t>• Active P1/P2 incidents = ALL releases should be paused</t>
  </si>
  <si>
    <t>• Recent incidents may indicate underlying instability</t>
  </si>
  <si>
    <t>• Deploying during an incident complicates root cause analysis</t>
  </si>
  <si>
    <t>• Post-incident releases need extra verification steps</t>
  </si>
  <si>
    <t>📊 INCIDENT SEVERITY LEVELS</t>
  </si>
  <si>
    <t>SEVERITY | DEFINITION                              | RELEASE IMPACT</t>
  </si>
  <si>
    <t>P1       | Critical outage, business stopped       | 🔴 ALL RELEASES FROZEN</t>
  </si>
  <si>
    <t>P2       | Major degradation, significant impact   | 🟡 HALT related releases</t>
  </si>
  <si>
    <t>P3       | Minor issue, workaround available       | 🟢 Proceed with caution</t>
  </si>
  <si>
    <t>STATUS DEFINITIONS:</t>
  </si>
  <si>
    <t>• Active: Incident ongoing, teams working to resolve</t>
  </si>
  <si>
    <t>• Investigating: Root cause analysis in progress</t>
  </si>
  <si>
    <t>• Mitigated: Temporary fix in place, monitoring</t>
  </si>
  <si>
    <t>• Resolved: Incident closed, post-mortem pending</t>
  </si>
  <si>
    <t>🚦 RELEASE DECISION GUIDE DURING INCIDENTS</t>
  </si>
  <si>
    <t>1. Filter by Status = Active or Investigating</t>
  </si>
  <si>
    <t>2. Check Severity: Any P1 = global release freeze</t>
  </si>
  <si>
    <t>3. Check Application: Is your app affected or related?</t>
  </si>
  <si>
    <t>4. Review Related Release column: Was the incident caused by a release?</t>
  </si>
  <si>
    <t>GO/NO-GO MATRIX:</t>
  </si>
  <si>
    <t>• P1 Active anywhere → 🛑 ALL DEPLOYMENTS FROZEN</t>
  </si>
  <si>
    <t>• P2 Active on your app → 🛑 DO NOT DEPLOY to that app</t>
  </si>
  <si>
    <t>• P2 Active on unrelated app → ⚠️ PROCEED CAUTIOUSLY</t>
  </si>
  <si>
    <t>• P3 only → ✅ PROCEED (document in release notes)</t>
  </si>
  <si>
    <t>• All Resolved → ✅ PROCEED</t>
  </si>
  <si>
    <t>1. CHECK BEFORE EVERY RELEASE: Incident status can change in minutes</t>
  </si>
  <si>
    <t>2. WAIT 24 HOURS POST-P1: Allow time for stability verification</t>
  </si>
  <si>
    <t>3. COORDINATE WITH INCIDENT MANAGER: Get explicit approval during incidents</t>
  </si>
  <si>
    <t>4. LINK RELEASES TO INCIDENTS: If a release caused an incident, document it</t>
  </si>
  <si>
    <t>5. POST-INCIDENT REVIEW: Check if your release needs changes based on findings</t>
  </si>
  <si>
    <t>6. COMMUNICATE PROACTIVELY: If your release might worsen an incident, speak up</t>
  </si>
  <si>
    <t>7. UPDATE STATUS: Mark incidents Resolved when confirmed fixed</t>
  </si>
  <si>
    <t>⚠️ CRITICAL RULE:</t>
  </si>
  <si>
    <t>Never deploy during a P1 incident, even if your application is unrelated.</t>
  </si>
  <si>
    <t>P1 incidents often cascade to other systems unexpectedly.</t>
  </si>
  <si>
    <t>Last Check</t>
  </si>
  <si>
    <t>Uptime %</t>
  </si>
  <si>
    <t>Complete outage - INC-001 open</t>
  </si>
  <si>
    <t>Order processing frozen - INC-002</t>
  </si>
  <si>
    <t>Monitoring blackout - INC-003</t>
  </si>
  <si>
    <t>Production line failure - INC-013</t>
  </si>
  <si>
    <t>Performance issues - INC-004</t>
  </si>
  <si>
    <t>Agent deployment issues - INC-005</t>
  </si>
  <si>
    <t>SSO intermittent - INC-006</t>
  </si>
  <si>
    <t>Payment delays - INC-011</t>
  </si>
  <si>
    <t>Password rotation issues - INC-014</t>
  </si>
  <si>
    <t>Refresh in progress</t>
  </si>
  <si>
    <t>Database migration</t>
  </si>
  <si>
    <t>Performance testing impact</t>
  </si>
  <si>
    <t>Environment rebuild</t>
  </si>
  <si>
    <t>Data refresh</t>
  </si>
  <si>
    <t>Integration testing</t>
  </si>
  <si>
    <t>Configuration changes</t>
  </si>
  <si>
    <t>Plugin updates</t>
  </si>
  <si>
    <t>📖 QUICK REFERENCE: Application Health (Collapsible Section for Web)</t>
  </si>
  <si>
    <t>STATUS: Healthy ✅ | Degraded ⚠️ CAUTION | Down 🛑 NO DEPLOY</t>
  </si>
  <si>
    <t>UPTIME: &lt; 95% = Instability warning | Check Last Check timestamp for freshness</t>
  </si>
  <si>
    <t>RULE: Target environment must be HEALTHY before deployment</t>
  </si>
  <si>
    <t>📋 APPLICATION STATUS - COMPREHENSIVE GUIDE</t>
  </si>
  <si>
    <t>🎯 PURPOSE OF APPLICATION STATUS</t>
  </si>
  <si>
    <t>This sheet provides real-time health status of all applications across environments.</t>
  </si>
  <si>
    <t>Use this to verify system readiness before deploying or to assess current stability.</t>
  </si>
  <si>
    <t>WHY APPLICATION STATUS MATTERS:</t>
  </si>
  <si>
    <t>• Deploying to a degraded application may worsen the situation</t>
  </si>
  <si>
    <t>• Lower environment issues (Test/UAT) may block testing before Prod release</t>
  </si>
  <si>
    <t>• DR environment status affects disaster recovery readiness</t>
  </si>
  <si>
    <t>• Uptime % indicates historical stability and reliability</t>
  </si>
  <si>
    <t>📊 STATUS DEFINITIONS</t>
  </si>
  <si>
    <t>STATUS    | MEANING                              | CAN YOU DEPLOY?</t>
  </si>
  <si>
    <t>Healthy   | All functions operational            | ✅ YES</t>
  </si>
  <si>
    <t>Degraded  | Partial functionality, performance   | ⚠️ CAUTION NEEDED</t>
  </si>
  <si>
    <t>Down      | System unavailable                   | 🛑 NO - WAIT FOR RECOVERY</t>
  </si>
  <si>
    <t>ENVIRONMENT PRIORITY:</t>
  </si>
  <si>
    <t>• Prod status: Critical — must be Healthy for go-live</t>
  </si>
  <si>
    <t>• UAT status: Important — must be Healthy for user acceptance</t>
  </si>
  <si>
    <t>• Test status: Helpful — affects QA testing pace</t>
  </si>
  <si>
    <t>• Dev status: Informational — developers manage internally</t>
  </si>
  <si>
    <t>• DR status: Critical — must mirror Prod for disaster readiness</t>
  </si>
  <si>
    <t>BEFORE DEPLOYING TO ANY ENVIRONMENT:</t>
  </si>
  <si>
    <t>2. Check ALL environments your release will touch</t>
  </si>
  <si>
    <t>3. Verify target environment is Healthy, not Degraded or Down</t>
  </si>
  <si>
    <t>4. Check Uptime %: Below 95% indicates instability — proceed cautiously</t>
  </si>
  <si>
    <t>5. Review Last Check timestamp: Data older than 1 hour may be stale</t>
  </si>
  <si>
    <t>GO/NO-GO BY ENVIRONMENT:</t>
  </si>
  <si>
    <t>• Prod Healthy, UAT Healthy → ✅ FULL RELEASE APPROVED</t>
  </si>
  <si>
    <t>• Prod Healthy, UAT Degraded → ⚠️ PROD ONLY (skip UAT testing)</t>
  </si>
  <si>
    <t>• Prod Degraded → 🛑 WAIT until Prod is Healthy</t>
  </si>
  <si>
    <t>• Prod Down → 🛑 DO NOT DEPLOY — focus on recovery</t>
  </si>
  <si>
    <t>1. CHECK IMMEDIATELY BEFORE RELEASE: Status can change in minutes</t>
  </si>
  <si>
    <t>2. VERIFY DR STATUS: Ensure DR matches Prod before critical releases</t>
  </si>
  <si>
    <t>3. MONITOR POST-DEPLOY: Check status again 30 minutes after release</t>
  </si>
  <si>
    <t>4. TRACK UPTIME TRENDS: Decreasing uptime % signals recurring issues</t>
  </si>
  <si>
    <t>5. ESCALATE DOWN STATUS: Notify support teams immediately</t>
  </si>
  <si>
    <t>6. DOCUMENT DEGRADED DEPLOYMENTS: Note any compromises in release log</t>
  </si>
  <si>
    <t>7. COORDINATE WITH OPS: They may have visibility you don't</t>
  </si>
  <si>
    <t>⚠️ IMPORTANT:</t>
  </si>
  <si>
    <t>Application Status is a point-in-time snapshot.</t>
  </si>
  <si>
    <t>Always verify immediately before deployment, not hours in advance.</t>
  </si>
  <si>
    <t>📝 SIGN-OFFS</t>
  </si>
  <si>
    <t>Pre-CAB stakeholder confirmations required before CAB submission</t>
  </si>
  <si>
    <t>Sign-Off ID</t>
  </si>
  <si>
    <t>Signatory ID</t>
  </si>
  <si>
    <t>Signatory Name</t>
  </si>
  <si>
    <t>Signatory Role</t>
  </si>
  <si>
    <t>SGN-001</t>
  </si>
  <si>
    <t>All technical requirements met</t>
  </si>
  <si>
    <t>SGN-002</t>
  </si>
  <si>
    <t>Kendall Kim</t>
  </si>
  <si>
    <t>Security scan passed, no vulnerabilities</t>
  </si>
  <si>
    <t>SGN-003</t>
  </si>
  <si>
    <t>Sam Adams</t>
  </si>
  <si>
    <t>Business impact assessment approved</t>
  </si>
  <si>
    <t>SGN-004</t>
  </si>
  <si>
    <t>SGN-005</t>
  </si>
  <si>
    <t>SGN-006</t>
  </si>
  <si>
    <t>Approved - ensure rollback plan is tested</t>
  </si>
  <si>
    <t>SGN-007</t>
  </si>
  <si>
    <t>SGN-008</t>
  </si>
  <si>
    <t>SGN-009</t>
  </si>
  <si>
    <t>Requires additional UAT testing</t>
  </si>
  <si>
    <t>SGN-010</t>
  </si>
  <si>
    <t>SGN-011</t>
  </si>
  <si>
    <t>SGN-012</t>
  </si>
  <si>
    <t>Awaiting security clearance</t>
  </si>
  <si>
    <t>SGN-013</t>
  </si>
  <si>
    <t>Rollback procedure validated</t>
  </si>
  <si>
    <t>SGN-014</t>
  </si>
  <si>
    <t>Approved for off-peak deployment</t>
  </si>
  <si>
    <t>SGN-015</t>
  </si>
  <si>
    <t>Compliance checklist complete</t>
  </si>
  <si>
    <t>SGN-016</t>
  </si>
  <si>
    <t>SGN-017</t>
  </si>
  <si>
    <t>SGN-018</t>
  </si>
  <si>
    <t>📋 RELEASES - Status Lifecycle</t>
  </si>
  <si>
    <t>Category: Release Lifecycle Items</t>
  </si>
  <si>
    <t>Purpose: The central entity - everything revolves around releases</t>
  </si>
  <si>
    <t>STATUS LIFECYCLE</t>
  </si>
  <si>
    <t>Initial creation, incomplete details</t>
  </si>
  <si>
    <t>Being planned, gathering requirements</t>
  </si>
  <si>
    <t>Testing, Cancelled</t>
  </si>
  <si>
    <t>In test environment</t>
  </si>
  <si>
    <t>UAT, Blocked, Planning</t>
  </si>
  <si>
    <t>Pending CAB, Blocked, Testing</t>
  </si>
  <si>
    <t>Awaiting CAB review and approval</t>
  </si>
  <si>
    <t>CAB approved, ready to proceed</t>
  </si>
  <si>
    <t>Ready, Blocked</t>
  </si>
  <si>
    <t>Ready for production deployment</t>
  </si>
  <si>
    <t>Deploying, Blocked</t>
  </si>
  <si>
    <t>Deployment in progress</t>
  </si>
  <si>
    <t>Deployed, Rolled Back</t>
  </si>
  <si>
    <t>Successfully released to production</t>
  </si>
  <si>
    <t>Release complete, archived</t>
  </si>
  <si>
    <t>None (FINAL)</t>
  </si>
  <si>
    <t>No - Immutable</t>
  </si>
  <si>
    <t>Cannot proceed due to issue</t>
  </si>
  <si>
    <t>Any previous status</t>
  </si>
  <si>
    <t>Release cancelled</t>
  </si>
  <si>
    <t>Reverted after deployment</t>
  </si>
  <si>
    <t>✅ CAB APPROVALS - Status Lifecycle</t>
  </si>
  <si>
    <t>Purpose: Change Advisory Board approval workflow for release authorization</t>
  </si>
  <si>
    <t>⚠️ KEY PRINCIPLE: Approval decisions are IMMUTABLE once recorded. Changes require a new approval request.</t>
  </si>
  <si>
    <t>Required For</t>
  </si>
  <si>
    <t>Change Advisory Board decision for release</t>
  </si>
  <si>
    <t>High/Critical releases</t>
  </si>
  <si>
    <t>Change Manager authorization</t>
  </si>
  <si>
    <t>All releases</t>
  </si>
  <si>
    <t>Executive Approval</t>
  </si>
  <si>
    <t>Executive authorization for critical changes</t>
  </si>
  <si>
    <t>Critical releases only</t>
  </si>
  <si>
    <t>Director/VP</t>
  </si>
  <si>
    <t>Emergency Approval</t>
  </si>
  <si>
    <t>Fast-track approval for emergency fixes</t>
  </si>
  <si>
    <t>Emergency releases</t>
  </si>
  <si>
    <t>On-call CAB delegate</t>
  </si>
  <si>
    <t>Approval granted</t>
  </si>
  <si>
    <t>Approval denied</t>
  </si>
  <si>
    <t>Conditional approval</t>
  </si>
  <si>
    <t>Requestor cancelled request</t>
  </si>
  <si>
    <t>No decision within SLA</t>
  </si>
  <si>
    <t>⚠️ RISK - Status Lifecycle</t>
  </si>
  <si>
    <t>Category: Risk &amp; Impact Assessment</t>
  </si>
  <si>
    <t>Purpose: Risk scoring and mitigation tracking</t>
  </si>
  <si>
    <t>RISK LEVELS</t>
  </si>
  <si>
    <t>Required Action</t>
  </si>
  <si>
    <t>1-9</t>
  </si>
  <si>
    <t>Green</t>
  </si>
  <si>
    <t>10-14</t>
  </si>
  <si>
    <t>Yellow</t>
  </si>
  <si>
    <t>15-19</t>
  </si>
  <si>
    <t>Orange</t>
  </si>
  <si>
    <t>20-24</t>
  </si>
  <si>
    <t>Red</t>
  </si>
  <si>
    <t>25+</t>
  </si>
  <si>
    <t>Dark Red</t>
  </si>
  <si>
    <t>VP/CIO</t>
  </si>
  <si>
    <t>Risk identified and logged</t>
  </si>
  <si>
    <t>In Progress, Accepted, Escalated</t>
  </si>
  <si>
    <t>Risk being evaluated and assessed</t>
  </si>
  <si>
    <t>Mitigating, Accepted, Escalated</t>
  </si>
  <si>
    <t>Mitigation actions being implemented</t>
  </si>
  <si>
    <t>Monitoring, Accepted, Escalated</t>
  </si>
  <si>
    <t>Risk accepted, no further mitigation</t>
  </si>
  <si>
    <t>Monitoring, Closed</t>
  </si>
  <si>
    <t>Decision Maker</t>
  </si>
  <si>
    <t>Elevated for executive review</t>
  </si>
  <si>
    <t>In Progress, Mitigating, Accepted</t>
  </si>
  <si>
    <t>Escalation Manager</t>
  </si>
  <si>
    <t>Risk mitigated, being tracked</t>
  </si>
  <si>
    <t>Closed, Open (if recurs)</t>
  </si>
  <si>
    <t>Risk no longer applicable</t>
  </si>
  <si>
    <t>📊 DRIFT - Status Lifecycle</t>
  </si>
  <si>
    <t>Purpose: Timeline and scope deviation tracking and remediation</t>
  </si>
  <si>
    <t>DRIFT CATEGORIES</t>
  </si>
  <si>
    <t>Drift Type</t>
  </si>
  <si>
    <t>Indicators</t>
  </si>
  <si>
    <t>Drift detected, awaiting assessment</t>
  </si>
  <si>
    <t>In Progress, Scheduled, Escalated</t>
  </si>
  <si>
    <t>Remediation actions being worked</t>
  </si>
  <si>
    <t>Scheduled, Resolved, Escalated</t>
  </si>
  <si>
    <t>Remediation planned for future date</t>
  </si>
  <si>
    <t>In Progress, Resolved, Escalated</t>
  </si>
  <si>
    <t>Requires executive decision</t>
  </si>
  <si>
    <t>In Progress, Scheduled, Resolved</t>
  </si>
  <si>
    <t>Director/Executive</t>
  </si>
  <si>
    <t>Drift addressed, back on track</t>
  </si>
  <si>
    <t>Drift record finalized</t>
  </si>
  <si>
    <t>🔗 DEPENDENCY - Status Lifecycle</t>
  </si>
  <si>
    <t>Purpose: Cross-release and system dependency management</t>
  </si>
  <si>
    <t>Example</t>
  </si>
  <si>
    <t>Tracking Method</t>
  </si>
  <si>
    <t>Release-to-Release</t>
  </si>
  <si>
    <t>One release depends on another</t>
  </si>
  <si>
    <t>Feature needs API from other release</t>
  </si>
  <si>
    <t>Linked Release IDs</t>
  </si>
  <si>
    <t>Application/platform dependency</t>
  </si>
  <si>
    <t>Integration requires SAP upgrade</t>
  </si>
  <si>
    <t>System Registry</t>
  </si>
  <si>
    <t>Data migration or prerequisite</t>
  </si>
  <si>
    <t>Customer data needed first</t>
  </si>
  <si>
    <t>Data Flow Mapping</t>
  </si>
  <si>
    <t>Same team/person required</t>
  </si>
  <si>
    <t>DBA needed for both releases</t>
  </si>
  <si>
    <t>Resource Calendar</t>
  </si>
  <si>
    <t>Shared environment dependency</t>
  </si>
  <si>
    <t>Both need UAT slot</t>
  </si>
  <si>
    <t>External</t>
  </si>
  <si>
    <t>Third-party or vendor dependency</t>
  </si>
  <si>
    <t>Vendor patch required</t>
  </si>
  <si>
    <t>Vendor Tracking</t>
  </si>
  <si>
    <t>Compliance prerequisite</t>
  </si>
  <si>
    <t>Audit must complete first</t>
  </si>
  <si>
    <t>Compliance Calendar</t>
  </si>
  <si>
    <t>Dependency discovered</t>
  </si>
  <si>
    <t>Pending, Confirmed</t>
  </si>
  <si>
    <t>Awaiting confirmation from dependent party</t>
  </si>
  <si>
    <t>Confirmed, Removed</t>
  </si>
  <si>
    <t>Both parties acknowledge dependency</t>
  </si>
  <si>
    <t>Both Release Managers</t>
  </si>
  <si>
    <t>Dependent work underway</t>
  </si>
  <si>
    <t>At Risk, Blocked, Resolved</t>
  </si>
  <si>
    <t>Dependency Owner</t>
  </si>
  <si>
    <t>Dependency may not be met on time</t>
  </si>
  <si>
    <t>In Progress, Blocked, Resolved</t>
  </si>
  <si>
    <t>Cannot proceed due to dependency</t>
  </si>
  <si>
    <t>In Progress, Escalated</t>
  </si>
  <si>
    <t>Stakeholder</t>
  </si>
  <si>
    <t>Requires management resolution</t>
  </si>
  <si>
    <t>Blocked, Resolved, Removed</t>
  </si>
  <si>
    <t>Dependency satisfied</t>
  </si>
  <si>
    <t>Dependency no longer applies</t>
  </si>
  <si>
    <t>Final state, release complete</t>
  </si>
  <si>
    <t>⚡ CONFLICT - Status Lifecycle</t>
  </si>
  <si>
    <t>Category: Conflict Resolution</t>
  </si>
  <si>
    <t>Purpose: Environment and scheduling conflict management</t>
  </si>
  <si>
    <t>CONFLICT TYPES</t>
  </si>
  <si>
    <t>Detection Method</t>
  </si>
  <si>
    <t>Resolution Options</t>
  </si>
  <si>
    <t>Two releases need same environment for overlapping periods</t>
  </si>
  <si>
    <t>Booking calendar overlap check</t>
  </si>
  <si>
    <t>Reschedule one release, Negotiate shorter windows, Find alternate env</t>
  </si>
  <si>
    <t>Maintenance Window</t>
  </si>
  <si>
    <t>Release deployment overlaps with scheduled infrastructure maintenance</t>
  </si>
  <si>
    <t>Maintenance calendar cross-check</t>
  </si>
  <si>
    <t>Reschedule release, Request maintenance reschedule</t>
  </si>
  <si>
    <t>Release scheduled during code/change freeze period</t>
  </si>
  <si>
    <t>Freeze calendar check</t>
  </si>
  <si>
    <t>Reschedule release, Request freeze exception</t>
  </si>
  <si>
    <t>KEY PRINCIPLE: Conflict records are IMMUTABLE once Closed - preserves scheduling audit trail and conflict pattern analysis.</t>
  </si>
  <si>
    <t>Conflict identified, needs triage</t>
  </si>
  <si>
    <t>Resolution being worked</t>
  </si>
  <si>
    <t>Pending Review, Escalated</t>
  </si>
  <si>
    <t>Solution proposed, awaiting approval</t>
  </si>
  <si>
    <t>Resolved, In Progress</t>
  </si>
  <si>
    <t>Requires higher authority decision</t>
  </si>
  <si>
    <t>In Progress, Resolved</t>
  </si>
  <si>
    <t>Conflict addressed successfully</t>
  </si>
  <si>
    <t>Final state, resolution permanent</t>
  </si>
  <si>
    <t>SYSTEM BEHAVIOR - Auto-Detection Requirements (for Cursor)</t>
  </si>
  <si>
    <t>Requirement ID</t>
  </si>
  <si>
    <t>Requirement</t>
  </si>
  <si>
    <t>Trigger Event</t>
  </si>
  <si>
    <t>System Action</t>
  </si>
  <si>
    <t>CNF-REQ-001</t>
  </si>
  <si>
    <t>Auto-detect Environment Booking conflicts</t>
  </si>
  <si>
    <t>User attempts to book an environment</t>
  </si>
  <si>
    <t>Check booking calendar for overlapping periods with same environment</t>
  </si>
  <si>
    <t>CNF-REQ-002</t>
  </si>
  <si>
    <t>Auto-detect Maintenance Window conflicts</t>
  </si>
  <si>
    <t>User schedules release deployment date/time</t>
  </si>
  <si>
    <t>Check maintenance calendar for overlap with deployment window</t>
  </si>
  <si>
    <t>CNF-REQ-003</t>
  </si>
  <si>
    <t>Auto-detect Freeze Period conflicts</t>
  </si>
  <si>
    <t>User sets release target date</t>
  </si>
  <si>
    <t>Check freeze period calendar for date overlap</t>
  </si>
  <si>
    <t>USER PROMPT FLOW</t>
  </si>
  <si>
    <t>Step</t>
  </si>
  <si>
    <t>User Options</t>
  </si>
  <si>
    <t>System Response</t>
  </si>
  <si>
    <t>Conflict detected during booking/scheduling</t>
  </si>
  <si>
    <t>Display conflict details (what, when, which release)</t>
  </si>
  <si>
    <t>Prompt user for action</t>
  </si>
  <si>
    <t>Option A: Modify release (change date/env)</t>
  </si>
  <si>
    <t>Return to booking/scheduling screen with conflict highlighted</t>
  </si>
  <si>
    <t>Option B: Raise conflict for RM</t>
  </si>
  <si>
    <t>Create Conflict record with Status='Open', link both releases</t>
  </si>
  <si>
    <t>If Option B selected</t>
  </si>
  <si>
    <t>Add notes (optional)</t>
  </si>
  <si>
    <t>Save conflict, notify Release Manager, show confirmation</t>
  </si>
  <si>
    <t>CONFLICT RECORD AUTO-POPULATION</t>
  </si>
  <si>
    <t>Auto-populated Value</t>
  </si>
  <si>
    <t>Based on detection trigger</t>
  </si>
  <si>
    <t>Current release being scheduled</t>
  </si>
  <si>
    <t>User context</t>
  </si>
  <si>
    <t>Conflicting release found</t>
  </si>
  <si>
    <t>Booking/calendar query</t>
  </si>
  <si>
    <t>The contested environment (if applicable)</t>
  </si>
  <si>
    <t>Booking data</t>
  </si>
  <si>
    <t>Conflict Period</t>
  </si>
  <si>
    <t>Overlapping date/time range</t>
  </si>
  <si>
    <t>Calendar comparison</t>
  </si>
  <si>
    <t>Default</t>
  </si>
  <si>
    <t>Raised By</t>
  </si>
  <si>
    <t>Current user</t>
  </si>
  <si>
    <t>Raised Date</t>
  </si>
  <si>
    <t>Current timestamp</t>
  </si>
  <si>
    <t>🔔 ALERTS - Status Lifecycle</t>
  </si>
  <si>
    <t>Category: Operational Monitoring</t>
  </si>
  <si>
    <t>Purpose: Notifications and warnings management</t>
  </si>
  <si>
    <t>ALERT TYPES</t>
  </si>
  <si>
    <t>Auto-Generated</t>
  </si>
  <si>
    <t>Release timeline approaching/exceeded</t>
  </si>
  <si>
    <t>Calendar engine</t>
  </si>
  <si>
    <t>Approval Pending</t>
  </si>
  <si>
    <t>Approval awaiting response</t>
  </si>
  <si>
    <t>Workflow engine</t>
  </si>
  <si>
    <t>Environment status change</t>
  </si>
  <si>
    <t>Monitoring system</t>
  </si>
  <si>
    <t>Booking system</t>
  </si>
  <si>
    <t>Risk Threshold</t>
  </si>
  <si>
    <t>Risk score exceeded threshold</t>
  </si>
  <si>
    <t>Risk engine</t>
  </si>
  <si>
    <t>Dependent release status change</t>
  </si>
  <si>
    <t>Dependency tracker</t>
  </si>
  <si>
    <t>User-generated alert</t>
  </si>
  <si>
    <t>User</t>
  </si>
  <si>
    <t>Platform/infrastructure notification</t>
  </si>
  <si>
    <t>Platform</t>
  </si>
  <si>
    <t>Alert triggered, needs attention</t>
  </si>
  <si>
    <t>Acknowledged, Suppressed</t>
  </si>
  <si>
    <t>Alert Recipient</t>
  </si>
  <si>
    <t>Recipient confirmed awareness</t>
  </si>
  <si>
    <t>Investigating, Resolved</t>
  </si>
  <si>
    <t>Being actively investigated</t>
  </si>
  <si>
    <t>Raised to higher level</t>
  </si>
  <si>
    <t>Issue addressed</t>
  </si>
  <si>
    <t>Suppressed</t>
  </si>
  <si>
    <t>Temporarily disabled</t>
  </si>
  <si>
    <t>Active, Closed</t>
  </si>
  <si>
    <t>No further action required</t>
  </si>
  <si>
    <t>🚨 INCIDENTS - Status Lifecycle</t>
  </si>
  <si>
    <t>Purpose: Release-related incident tracking and resolution</t>
  </si>
  <si>
    <t>INCIDENT SEVERITY LEVELS</t>
  </si>
  <si>
    <t>Response SLA</t>
  </si>
  <si>
    <t>Resolution SLA</t>
  </si>
  <si>
    <t>Production down, major impact</t>
  </si>
  <si>
    <t>Immediate to VP</t>
  </si>
  <si>
    <t>Significant functionality impacted</t>
  </si>
  <si>
    <t>Manager within 1 hour</t>
  </si>
  <si>
    <t>Partial impact, workaround exists</t>
  </si>
  <si>
    <t>2 hours</t>
  </si>
  <si>
    <t>24 hours</t>
  </si>
  <si>
    <t>Manager within 4 hours</t>
  </si>
  <si>
    <t>Minor issue, minimal impact</t>
  </si>
  <si>
    <t>72 hours</t>
  </si>
  <si>
    <t>Team lead if stalled</t>
  </si>
  <si>
    <t>KEY PRINCIPLE: Incident records are IMMUTABLE once Closed - this ensures audit integrity and accurate resolution metrics.</t>
  </si>
  <si>
    <t>Incident reported and active</t>
  </si>
  <si>
    <t>Acknowledged, Investigating</t>
  </si>
  <si>
    <t>Service Desk</t>
  </si>
  <si>
    <t>Responder confirmed awareness</t>
  </si>
  <si>
    <t>Incident Owner</t>
  </si>
  <si>
    <t>Root cause being determined</t>
  </si>
  <si>
    <t>Higher level involvement needed</t>
  </si>
  <si>
    <t>Fix applied, issue addressed</t>
  </si>
  <si>
    <t>Incident fully resolved and documented</t>
  </si>
  <si>
    <t>🛑 BLOCKERS - Status Lifecycle</t>
  </si>
  <si>
    <t>Purpose: Release blocker tracking and removal</t>
  </si>
  <si>
    <t>BLOCKER CATEGORIES</t>
  </si>
  <si>
    <t>Typical Cause</t>
  </si>
  <si>
    <t>Resolution Path</t>
  </si>
  <si>
    <t>Code/infrastructure issue</t>
  </si>
  <si>
    <t>Bug, integration failure</t>
  </si>
  <si>
    <t>Development fix</t>
  </si>
  <si>
    <t>Missing people/skills</t>
  </si>
  <si>
    <t>Unavailable SME, sick leave</t>
  </si>
  <si>
    <t>Resource allocation</t>
  </si>
  <si>
    <t>External dependency not met</t>
  </si>
  <si>
    <t>Upstream release delayed</t>
  </si>
  <si>
    <t>Dependency management</t>
  </si>
  <si>
    <t>Waiting on sign-off</t>
  </si>
  <si>
    <t>Approver unavailable</t>
  </si>
  <si>
    <t>Escalation to delegate</t>
  </si>
  <si>
    <t>Environment not available</t>
  </si>
  <si>
    <t>Env conflict, outage</t>
  </si>
  <si>
    <t>Env booking resolution</t>
  </si>
  <si>
    <t>Missing or incorrect data</t>
  </si>
  <si>
    <t>Data not migrated</t>
  </si>
  <si>
    <t>Data team support</t>
  </si>
  <si>
    <t>Regulatory/audit hold</t>
  </si>
  <si>
    <t>Pending audit result</t>
  </si>
  <si>
    <t>Compliance team coordination</t>
  </si>
  <si>
    <t>Third-party dependency</t>
  </si>
  <si>
    <t>Vendor delivery delayed</t>
  </si>
  <si>
    <t>Vendor management</t>
  </si>
  <si>
    <t>KEY PRINCIPLE: Blocker records are IMMUTABLE once Closed - ensures accurate release velocity metrics and blocker trend analysis.</t>
  </si>
  <si>
    <t>Blocker identified, not yet being worked</t>
  </si>
  <si>
    <t>Assigned, Escalated</t>
  </si>
  <si>
    <t>Assigned</t>
  </si>
  <si>
    <t>Owner designated to resolve</t>
  </si>
  <si>
    <t>Blocker Owner</t>
  </si>
  <si>
    <t>Actively being worked</t>
  </si>
  <si>
    <t>Pending, Resolved, Escalated</t>
  </si>
  <si>
    <t>Awaiting external input/action</t>
  </si>
  <si>
    <t>Requires management intervention</t>
  </si>
  <si>
    <t>Blocker removed</t>
  </si>
  <si>
    <t>📝 SIGN-OFFS - Status Lifecycle</t>
  </si>
  <si>
    <t>Category: Pre-CAB Release Gate Items</t>
  </si>
  <si>
    <t>Purpose: Stakeholder confirmations required before CAB submission</t>
  </si>
  <si>
    <t>⚠️ KEY PRINCIPLE: Sign-off decisions are IMMUTABLE once recorded. Changes require a new sign-off request.</t>
  </si>
  <si>
    <t>SIGN-OFF TYPES</t>
  </si>
  <si>
    <t>Technical feasibility and code quality assessment</t>
  </si>
  <si>
    <t>Development Manager / Tech Lead</t>
  </si>
  <si>
    <t>Security compliance and vulnerability check</t>
  </si>
  <si>
    <t>Security Analyst / CISO delegate</t>
  </si>
  <si>
    <t>Business impact and readiness assessment</t>
  </si>
  <si>
    <t>Medium+ releases</t>
  </si>
  <si>
    <t>Operations Manager / Product Owner</t>
  </si>
  <si>
    <t>Operations Review</t>
  </si>
  <si>
    <t>Infrastructure and operational readiness</t>
  </si>
  <si>
    <t>Infrastructure Manager</t>
  </si>
  <si>
    <t>QA Sign-Off</t>
  </si>
  <si>
    <t>Testing completion and quality gate</t>
  </si>
  <si>
    <t>QA Manager / Test Lead</t>
  </si>
  <si>
    <t>Signatory</t>
  </si>
  <si>
    <t>Sign-off granted</t>
  </si>
  <si>
    <t>Sign-off denied</t>
  </si>
  <si>
    <t>Conditional sign-off granted</t>
  </si>
  <si>
    <t>All 36 system entities with classifications (TXN, REF, OPS, AUD, DRV, CFG), lifecycles, key fields</t>
  </si>
  <si>
    <t>Infrastructure/hardware configuration differences between environments</t>
  </si>
  <si>
    <t>Database version mismatch, memory/CPU allocation differences</t>
  </si>
  <si>
    <t>Any material spec difference from Prod</t>
  </si>
  <si>
    <t>Application or system settings differing between environments</t>
  </si>
  <si>
    <t>API timeout settings, feature flag mismatches</t>
  </si>
  <si>
    <t>Any setting differing from Prod</t>
  </si>
  <si>
    <t>Test/reference data out of sync with production</t>
  </si>
  <si>
    <t>Stale test data, missing recent records</t>
  </si>
  <si>
    <t>Data older than defined refresh window</t>
  </si>
  <si>
    <t>API or third-party interface version mismatch between environments</t>
  </si>
  <si>
    <t>Third-party endpoint version differences, contract mismatches</t>
  </si>
  <si>
    <t>Any version mismatch affecting behavior</t>
  </si>
  <si>
    <t>Security configuration or certificate drift</t>
  </si>
  <si>
    <t>Expired/mismatched SSL certificates, security exceptions</t>
  </si>
  <si>
    <t>Any unresolved security exception</t>
  </si>
  <si>
    <t>Unauthorized or unexpected code changes vs approved baseline</t>
  </si>
  <si>
    <t>Unapproved commits, hotfixes outside change process</t>
  </si>
  <si>
    <t>Any change outside approved baseline</t>
  </si>
  <si>
    <t>EXEC</t>
  </si>
  <si>
    <t>EMRG</t>
  </si>
  <si>
    <t>STAKE</t>
  </si>
  <si>
    <t>BIZOWN</t>
  </si>
  <si>
    <t>VP</t>
  </si>
  <si>
    <t>Change Control Board (CCB)</t>
  </si>
  <si>
    <t>CCB</t>
  </si>
  <si>
    <t>Sync Administrator</t>
  </si>
  <si>
    <t>SYNCADM</t>
  </si>
  <si>
    <t>CAB Approved, Rejected, Deferred</t>
  </si>
  <si>
    <t>CAB review required — Requires Mitigation (VR-27)</t>
  </si>
  <si>
    <t>CUSTOMISATION — EVERY CLIENT CONFIGURES THEIR OWN RELEASE DESK</t>
  </si>
  <si>
    <t>No two clients run releases the same way. One client's lifecycle might have fifteen stages (Draft → Planning → Testing → UAT → Pending CAB → ... → Closed); another just wants four (Draft, In Progress, Deployed, Blocked). One calls it "Risk"; another calls the exact same thing "Impediment". So nothing about the process itself — the stage names, the order they happen in, what counts as high risk, which fields are mandatory — is fixed in the product. It is all configuration that each client sets up for themselves, not code we change per client.</t>
  </si>
  <si>
    <t>WHAT IS CONFIGURABLE</t>
  </si>
  <si>
    <t>• Lifecycle stages &amp; transitions for every entity (Release, Risk, Blocker, Approval, Sign-off, Dependency, Conflict, Drift, Incident, Alert) — a client can shrink our 15-stage Release lifecycle to 4 stages, rename any stage, or reorder the recommended path.
• Terminology — every entity and field label ("Risk" → "Impediment", "CAB" → "Change Board", "Sign-off" → "Attestation") without touching a line of code.
• Risk model — the scoring scale (1-25 grid vs a 1-5 weighted score), the severity breakpoints, the risk factors that feed the weighted score, and each factor's weight.
• Field rules — which fields are required, read-only, or hidden at each stage (our §1/§2/§3 rules become per-client data, not hardcoded checks).
• Reference lists — Departments, Environments, Priorities, Approval Types, Sign-off Types, Roles — every list in our Reference Data sheet is a client-editable table, not a fixed set of values.
• Governance thresholds — CAB lead times, freeze windows, SLA targets, override friction (warn vs hard-block) per rule.</t>
  </si>
  <si>
    <t>WHAT STAYS FIXED (THE ENGINE, NOT THE CONFIG)</t>
  </si>
  <si>
    <t>The rule PATTERNS stay the same even though the values inside them are configurable. For example, "a release cannot skip its final pre-deployment stage" (CFG-06) is a fixed engine behaviour — but WHICH stage is the final pre-deployment stage ("Ready", or a client's renamed equivalent) is configuration. Similarly "risks above a severity threshold need a mitigation plan before the gate" (VR-27) is a fixed pattern — but the threshold, the severity labels, and the gate it applies to are all configurable per client.</t>
  </si>
  <si>
    <t>SEE ALSO</t>
  </si>
  <si>
    <t>The "Notes for Development" sheet sets out how our developers should actually build this — the data model, the rule engine approach, and specific guidance for working with AI-assisted ("vibe coding") development so customisation stays data-driven instead of quietly turning back into hardcoded, client-specific code.</t>
  </si>
  <si>
    <t>NOTES FOR DEVELOPMENT — BUILDING A FULLY CONFIGURABLE RELEASE DESK</t>
  </si>
  <si>
    <t>How to architect client-specific customisation (lifecycle stages, terminology, risk model, field rules) so it stays configuration, not per-client code. Written for AI-assisted ("vibe coding") development.</t>
  </si>
  <si>
    <t>1. CORE PRINCIPLE — CONFIGURATION AS DATA, NOT CODE</t>
  </si>
  <si>
    <t>Every place this workbook models a fixed list or a status name — Reference Data's code tables, Entity Classification's lifecycles, the Status Lifecycles / LC_ sheets, Rules Specification's thresholds — must become a row in a database table per client ("tenant"), never a string literal, enum, or switch-statement branch in application code. If a developer (or an AI coding assistant) writes if (status === "Draft") or a hardcoded list of risk factors, that is the bug this section exists to prevent. The test: could a client rename, reorder, or delete this value from a settings screen without a code change and a redeploy? If not, it is not actually configurable yet.</t>
  </si>
  <si>
    <t>2. WHAT MUST BE CONFIGURABLE (SUMMARY)</t>
  </si>
  <si>
    <t>See the "Release Desk Theme" sheet's new "Customisation" section for the client-facing explanation. In short: lifecycle stages &amp; transitions per entity, terminology/labels per entity and field, the risk model (scale, breakpoints, factors, weights), field requirement rules per status, every reference list (Departments, Environments, Priorities, Approval/Sign-off types, Roles), and governance thresholds (CAB lead times, freeze windows, SLAs, override friction). The sections below cover how to build each of these so they behave that way in practice.</t>
  </si>
  <si>
    <t>3. RECOMMENDED DATA MODEL</t>
  </si>
  <si>
    <t>Table</t>
  </si>
  <si>
    <t>Key Columns &amp; Purpose</t>
  </si>
  <si>
    <t>tenants</t>
  </si>
  <si>
    <t>tenant_id, name, template_source. One row per client. Every other config table below is scoped by tenant_id.</t>
  </si>
  <si>
    <t>entity_types</t>
  </si>
  <si>
    <t>entity_key (e.g. "release", "risk"), has_lifecycle. The fixed list of entity kinds the engine knows about — this list itself is NOT tenant-configurable, only what each entity is called and how it behaves is.</t>
  </si>
  <si>
    <t>label_dictionary</t>
  </si>
  <si>
    <t>tenant_id, entity_key, field_key, display_label. Every user-facing word ("Risk", "CAB", "Sign-off", a field name) is looked up here by key at render time — never hardcoded in a UI component or generated document.</t>
  </si>
  <si>
    <t>workflow_definitions</t>
  </si>
  <si>
    <t>tenant_id, entity_key, status_code, display_label, sequence, is_terminal, is_initial. Replaces our Status Lifecycles / LC_ sheets — one row per status a client has configured for a given entity.</t>
  </si>
  <si>
    <t>workflow_transitions</t>
  </si>
  <si>
    <t>tenant_id, entity_key, from_status_code, to_status_code, is_recommended. Replaces the "Next Possible Status" column — drives the CFG-07 warn-if-off-path behaviour, not a hard block, per entity per tenant.</t>
  </si>
  <si>
    <t>field_rules</t>
  </si>
  <si>
    <t>tenant_id, entity_key, field_key, status_code, requirement (required / optional / read_only / hidden). Replaces the §1/§2/§3 rule sections — one row per field per status per tenant.</t>
  </si>
  <si>
    <t>risk_factor_weights</t>
  </si>
  <si>
    <t>tenant_id, factor_key, category, weight_pct. Replaces Reference Data's "Risk Factor Weights by Category" — must sum to 100% per tenant (validate on save, mirroring the live =SUM check in Reference Data).</t>
  </si>
  <si>
    <t>severity_bands</t>
  </si>
  <si>
    <t>tenant_id, entity_key, scale_type (e.g. "probability_impact" or "weighted_score"), min_value, max_value, severity_label, color, approval_level. Replaces the Risk Scoring Matrix / Risk Score Thresholds tables — lets a tenant pick their own scale and breakpoints.</t>
  </si>
  <si>
    <t>rule_configs</t>
  </si>
  <si>
    <t>tenant_id, rule_id (e.g. "VR-27"), enabled, severity (warn/block/off), threshold_value, threshold_ref (which status_code or severity_label it points at). The rule PATTERN (see §4 below) reads this row instead of a hardcoded constant.</t>
  </si>
  <si>
    <t>reference_lists</t>
  </si>
  <si>
    <t>tenant_id, list_key (e.g. "department", "environment", "priority", "approval_type"), code, display_label, sort_order. One generic table for every simple picklist in Reference Data, instead of a bespoke table per list.</t>
  </si>
  <si>
    <t>4. HOW THE RULE ENGINE SHOULD WORK</t>
  </si>
  <si>
    <t>Split every rule into a fixed PATTERN (code) and a variable CONFIGURATION (data, from rule_configs/severity_bands above). Example — VR-27 "Risks above a severity threshold need a mitigation plan before the gate": the pattern is generic ("IF linked entity's severity_label &gt;= rule_configs.threshold_value AND status = rule_configs.threshold_ref THEN require field X"); the specific threshold ("High"), the gate it applies to ("Ready"), and whether it's a warn or a hard block are all pulled from config at evaluation time. Write the engine so a new rule pattern is added rarely (it's a code change and a release), but every rule's threshold, severity, and enforcement level is edited by an admin, per tenant, with no deploy. Rule IDs (VR-27, CASC-01, etc.) stay stable identifiers across tenants even when the tenant's own label for the thing the rule governs changes — the rule engine works on keys, the UI shows labels.</t>
  </si>
  <si>
    <t>5. DEFAULT TEMPLATE STRATEGY</t>
  </si>
  <si>
    <t>Ship the current model in this workbook — the 15-stage Release lifecycle, the full VR/AV/CASC rule set, the 44-factor risk model — as the "Enterprise Default" template (a tenant_id = 0 / template row set that real tenants are cloned from, never edited directly). A new client starts from a clone of that template and edits it down (e.g. to 4 stages) rather than building up from nothing. This also gives you a regression baseline: the Test Suites in this workbook are effectively the acceptance tests for the Enterprise Default template specifically — keep them passing against that template even as the engine becomes more generic.</t>
  </si>
  <si>
    <t>6. TESTING STRATEGY</t>
  </si>
  <si>
    <t>Run each entity's Test Suite (Release Test Suite, Risk Test Suite, etc.) at least twice: once against the Enterprise Default template (validates nothing broke) and once against a deliberately minimal template — e.g. a 4-stage Release lifecycle with renamed statuses and a 1-factor risk model. If a test only passes when status names or thresholds match the Enterprise Default's exact strings, that test (or the code it's testing) has a hardcoding bug. Add this "second config" run to CI as a standing check, not a one-off manual pass.</t>
  </si>
  <si>
    <t>7. VIBE-CODING SPECIFIC GUIDANCE</t>
  </si>
  <si>
    <t>8. MIGRATION &amp; AUDIT</t>
  </si>
  <si>
    <t>Config changes are themselves governed events, not silent edits — mirror CFG-03 (Configurable Severity: changes restricted to admins, audited, effective-dated) and CFG-04 (Override Audit) from Rules Specification. Every write to workflow_definitions, field_rules, risk_factor_weights, or rule_configs should record who changed it, when, and the before/after value, and should be effective-dated so an in-flight release started under the old configuration doesn't retroactively break. Changing a lifecycle out from under records currently sitting in a status that no longer exists needs an explicit migration path (e.g. map removed statuses to a nearest-equivalent surviving one), not a silent data integrity failure.</t>
  </si>
  <si>
    <t>Notes for Development v1.0 | Companion to Release Desk Theme's "Customisation" section | 06-Aug-2026</t>
  </si>
  <si>
    <t>AI coding assistants default to the fastest thing that works, which is almost always a hardcoded enum or if/else on a status string — exactly what this document is trying to avoid. Practical guardrails:
• Always state the constraint explicitly in the prompt: "read status/label/threshold values from the config tables in section 3; do not hardcode status names, labels, or numeric thresholds anywhere in this code."
• Give the assistant this workbook's Reference Data, Entity Classification, and Rules Specification sheets (or this sheet's data model) as context before asking it to generate a feature, so it generates against the intended schema instead of inventing its own field names each session.
• Add a simple lint/grep step (can be AI-written) that scans new code for string literals matching known status/entity names ("Draft", "CAB Approved", "Risk", etc.) outside of test fixtures and config-seed files, and fails the build if found — this catches the AI quietly reintroducing hardcoding faster than code review will.
• Ask the assistant to generate the "second config" test run described in section 6 alongside every new feature, not after — it is cheap to generate and is the single best check that a feature is actually configurable rather than only working for the Enterprise Default template.
• Review AI-generated migrations carefully: config tables (section 3) will be edited by admins at runtime, so a migration must never assume yesterday's data shape is safe to overwrite — additive changes with defaults, not destructive rewrites.</t>
  </si>
  <si>
    <t>Merged "Entity Classification" and "Entity Classification (2)" into one 36-entity sheet with a shared classification legend and live summary counts.</t>
  </si>
  <si>
    <t>The workbook had ended up with two overlapping entity-classification sheets from different sessions; needed one source of truth instead of two that could drift apart. Resolved the one real conflict (Maintenance Windows: REF vs OPS) in favour of OPS.</t>
  </si>
  <si>
    <t>User decision on the Maintenance Windows conflict; my analysis for the merge itself</t>
  </si>
  <si>
    <t>Merged "Reference Data" and "Reference Data (2)" into one sheet (26 sections). Kept the older sheet's Release Status Codes, Dependency Types (Hard/Soft), and Freeze Window dates where the two sheets disagreed.</t>
  </si>
  <si>
    <t>Same problem as #14 — two overlapping reference-data sheets. The older sheet's versions matched what Rules Specification and the rest of the workbook already assumed.</t>
  </si>
  <si>
    <t>User decision on each of the 4 conflicts</t>
  </si>
  <si>
    <t>Audited the newly-added data sheets (Releases, Risk, Applications, Dependencies, Sign-Offs, Approvals, Drift, the 10 LC_ sheets, etc.) against Rules Specification and Reference Data. Fixed stale cross-references, added missing Sign-off/Approval types and user roles, corrected LC_Drift's category list, renamed the release status "Approved" to "CAB Approved" in LC_Releases and the live Releases data, switched the Departments list to match what the live data actually uses, and realigned the Risk Scoring Matrix to LC_Risk's 5-tier breakdown.</t>
  </si>
  <si>
    <t>Once real transactional data existed, several of the reference sheets turned out to be out of step with it — including one place (Departments) where an earlier decision in #15 turned out not to match reality once live data existed to check against.</t>
  </si>
  <si>
    <t>User decision on each flagged conflict; my analysis for the rest</t>
  </si>
  <si>
    <t>Entity Classification, Reference Data, LC_Releases, LC_Drift, Releases (Status column)</t>
  </si>
  <si>
    <t>Reorganised all 57 sheet tabs into 7 logical groups (overview docs, governance/rules, per-entity lifecycle definitions, master data, live transactional data, operational data, test suites).</t>
  </si>
  <si>
    <t>With 57 tabs accumulated across sessions, the order no longer reflected how the pieces relate to each other.</t>
  </si>
  <si>
    <t>User request</t>
  </si>
  <si>
    <t>Tab order — check any sheet's position in the tab bar</t>
  </si>
  <si>
    <t>Added a "Customisation" section to Release Desk Theme, and a new "Notes for Development" sheet covering the data model, rule-engine approach, default-template strategy, and AI-assisted ("vibe coding") development guardrails for making lifecycles, terminology, and the risk model client-configurable.</t>
  </si>
  <si>
    <t>Different clients run very different release processes (a 4-stage lifecycle vs our 15-stage one, "Impediment" vs "Risk"), and none of that should require a code change per client.</t>
  </si>
  <si>
    <t>Release Desk Theme; Notes for Development</t>
  </si>
  <si>
    <t>Deployed successfully; release closed after post-implementation review</t>
  </si>
  <si>
    <t>Conflict resolved; deployment proceeded as scheduled</t>
  </si>
  <si>
    <t>3 sign-off(s): 3 Approved</t>
  </si>
  <si>
    <t>Conflict resolved; release deployed and closed</t>
  </si>
  <si>
    <t>Holiday freeze exception approved</t>
  </si>
  <si>
    <t>Deployment issue identified post-release; rolled back to Testing for rework</t>
  </si>
  <si>
    <t>Identity sync errors discovered in production; rollback executed, root cause analysis in progress</t>
  </si>
  <si>
    <t>Executed</t>
  </si>
  <si>
    <t>CAB deferred pending production schedule clarification; will resubmit once maintenance window confirmed</t>
  </si>
  <si>
    <t>CAB rejected due to unresolved SSO vendor coordination; returning to Planning for rework</t>
  </si>
  <si>
    <t>Cancelled — API capacity upgrade descoped from this release; will be re-planned as a future initiative</t>
  </si>
  <si>
    <t>1 sign-off(s): 1 Approved</t>
  </si>
  <si>
    <t>Resolved — REL-0005 deployed, scheduling conflict no longer applies</t>
  </si>
  <si>
    <t>Resolved — REL-0010 deployed, scheduling conflict no longer applies</t>
  </si>
  <si>
    <t>Resolved — REL-0009 closed, scheduling conflict no longer applies</t>
  </si>
  <si>
    <t>SGN-019</t>
  </si>
  <si>
    <t>CAB-3</t>
  </si>
  <si>
    <t>SGN-020</t>
  </si>
  <si>
    <t>CISO approved deployment</t>
  </si>
  <si>
    <t>SGN-021</t>
  </si>
  <si>
    <t>SGN-022</t>
  </si>
  <si>
    <t>Integration testing complete</t>
  </si>
  <si>
    <t>SGN-023</t>
  </si>
  <si>
    <t>SGN-024</t>
  </si>
  <si>
    <t>SGN-025</t>
  </si>
  <si>
    <t>Vendor documentation received</t>
  </si>
  <si>
    <t>SGN-026</t>
  </si>
  <si>
    <t>SIEM integration validated</t>
  </si>
  <si>
    <t>SGN-027</t>
  </si>
  <si>
    <t>SGN-028</t>
  </si>
  <si>
    <t>UAT defects resolved</t>
  </si>
  <si>
    <t>SGN-029</t>
  </si>
  <si>
    <t>SGN-030</t>
  </si>
  <si>
    <t>SGN-031</t>
  </si>
  <si>
    <t>DB migration script optimized; performance testing passed</t>
  </si>
  <si>
    <t>SGN-032</t>
  </si>
  <si>
    <t>SGN-033</t>
  </si>
  <si>
    <t>SGN-034</t>
  </si>
  <si>
    <t>Audit finding remediated</t>
  </si>
  <si>
    <t>SGN-035</t>
  </si>
  <si>
    <t>SGN-036</t>
  </si>
  <si>
    <t>SGN-037</t>
  </si>
  <si>
    <t>Hardware upgrade validated</t>
  </si>
  <si>
    <t>SGN-038</t>
  </si>
  <si>
    <t>SGN-039</t>
  </si>
  <si>
    <t>SGN-040</t>
  </si>
  <si>
    <t>Security review complete</t>
  </si>
  <si>
    <t>SGN-041</t>
  </si>
  <si>
    <t>SGN-042</t>
  </si>
  <si>
    <t>SGN-043</t>
  </si>
  <si>
    <t>Technical design approved</t>
  </si>
  <si>
    <t>SGN-044</t>
  </si>
  <si>
    <t>SGN-045</t>
  </si>
  <si>
    <t>SGN-046</t>
  </si>
  <si>
    <t>Technical requirements met</t>
  </si>
  <si>
    <t>SGN-047</t>
  </si>
  <si>
    <t>SGN-048</t>
  </si>
  <si>
    <t>SGN-049</t>
  </si>
  <si>
    <t>Integration testing with downstream systems passed</t>
  </si>
  <si>
    <t>APR-0028</t>
  </si>
  <si>
    <t>APR-0029</t>
  </si>
  <si>
    <t>APR-0030</t>
  </si>
  <si>
    <t>APR-0031</t>
  </si>
  <si>
    <t>APR-0032</t>
  </si>
  <si>
    <t>APR-0033</t>
  </si>
  <si>
    <t>APR-0034</t>
  </si>
  <si>
    <t>APR-0035</t>
  </si>
  <si>
    <t>APR-0036</t>
  </si>
  <si>
    <t>APR-0037</t>
  </si>
  <si>
    <t>APR-0038</t>
  </si>
  <si>
    <t>APR-0039</t>
  </si>
  <si>
    <t>APR-0040</t>
  </si>
  <si>
    <t>APR-0041</t>
  </si>
  <si>
    <t>APR-0042</t>
  </si>
  <si>
    <t>APR-0043</t>
  </si>
  <si>
    <t>APR-0044</t>
  </si>
  <si>
    <t>APR-0045</t>
  </si>
  <si>
    <t>Production schedule conflict; deferred pending maintenance window confirmation</t>
  </si>
  <si>
    <t>APR-0046</t>
  </si>
  <si>
    <t>Unresolved SSO vendor coordination; rejected pending rework</t>
  </si>
  <si>
    <t>Test execution in progress; unit and integration tests running</t>
  </si>
  <si>
    <t>All sign-offs complete; submitted for CAB review</t>
  </si>
  <si>
    <t xml:space="preserve">  • 1-9: LOW (Green) → Proceed normally</t>
  </si>
  <si>
    <t xml:space="preserve">  • 10-14: MEDIUM (Yellow) → Monitor closely</t>
  </si>
  <si>
    <t xml:space="preserve">  • 15-19: HIGH (Orange) → Mitigation required before CAB</t>
  </si>
  <si>
    <t xml:space="preserve">  • 20-24: CRITICAL (Red) → Escalate immediately, consider delay</t>
  </si>
  <si>
    <t xml:space="preserve">  • 25: SEVERE (Dark Red) → Immediate review required (VP/CIO)</t>
  </si>
  <si>
    <t>GO/NO-GO: No CRITICAL or SEVERE unmitigated risks = ✅ Proceed  |  Any CRITICAL or SEVERE = 🛑 Escalate</t>
  </si>
  <si>
    <t>1 = Rare (&lt; 5% chance)                         1 = Negligible (No noticeable effect)</t>
  </si>
  <si>
    <t>2 = Unlikely (5-25% chance)                    2 = Minor (Small inconvenience)</t>
  </si>
  <si>
    <t>3 = Possible (25-50% chance)                   3 = Moderate (Noticeable disruption)</t>
  </si>
  <si>
    <t>4 = Likely (50-75% chance)                     4 = Major (Significant business impact)</t>
  </si>
  <si>
    <t>5 = Almost Certain (&gt; 75% chance)              5 = Severe (Critical failure, data loss)</t>
  </si>
  <si>
    <t>Runtime errors if not managed</t>
  </si>
  <si>
    <t>Data integrity issues if not managed</t>
  </si>
  <si>
    <t>Integration failures if not managed</t>
  </si>
  <si>
    <t>#808080</t>
  </si>
  <si>
    <t>Dependency removed or no longer applicable</t>
  </si>
  <si>
    <t>On unlink, behaviour depends on Origin. EXTERNAL: the association is detached; the source record in the SoR is untouched. NATIVE: the entity cannot be orphaned — the user must either delete it or reassign it to another release.</t>
  </si>
  <si>
    <t>External: detach only. Native: require delete or reassign</t>
  </si>
  <si>
    <t>Readiness % is computed from: sign-offs, blockers, dependencies, checklist. Cannot be manually edited.</t>
  </si>
  <si>
    <t>This theme is the reason the rules are written the way they are:
• Every entity has an Origin — Native (ours, we manage it fully, start to finish) or External (theirs, we only read it).
• External records are read-only in Release Desk, with a deep-link out; sync is one-way and inbound only — Release Desk never writes back into Jira, ServiceNow, or any other outside system. Release Desk always displays exactly what the source system currently reports — there is no local override or provisional status held against an external record.
• Governance gates warn rather than hard-block wherever a real business judgement call exists, and the Release Manager can override with a recorded reason. Only a small number of true invariants stay hard rules — mainly where the code is already live in production (Deploying, Deployed) or a formal decision has already been made (an Approval or Sign-off once granted).
• A record that has reached its own terminal status (Closed, Resolved, Accepted, and so on) is naturally read-only — that's what terminal means. If someone needs to act on it again, they clone it forward, attachments and comments included, rather than reopening old history.</t>
  </si>
  <si>
    <t>Origin-based ownership of operational entities (Blockers, Risks, Alerts, Leaves) and the supporting Link/Unlink model. Work through one item (FI-xx) at a time: define full scope → validate → apply to Rules → apply to Test Suites.</t>
  </si>
  <si>
    <t>Core principle: every entity has ONE System of Record (SoR). If it originates in Release Desk it is NATIVE (RD owns full lifecycle). If it mirrors an external system (Jira / ServiceNow / Grafana / HR) it is EXTERNAL (read-only source; RD always displays exactly what the source reports, with no local override).</t>
  </si>
  <si>
    <t>Every linkable operational entity carries an Origin attribute. Native = created in RD (SoR = RD). External = mirrored from an SoR. Origin drives editability, permissions, and sync direction.</t>
  </si>
  <si>
    <t>Govern linking and manual unlinking of entities to a release. Permission (RM/owner); status-based lock (generalise VR-36 to all linked types); origin-based outcome — External → detach only; Native → no orphan (delete or reassign); audit.</t>
  </si>
  <si>
    <t>REVERSED 06-Aug-2026 (see FI-19)</t>
  </si>
  <si>
    <t>FI-19</t>
  </si>
  <si>
    <t>Provisional Override + Reconciliation removed entirely</t>
  </si>
  <si>
    <t>Reconfirmed as unwanted: for External entities, Release Desk always displays exactly what the source system currently reports — no local provisional status, no effective-status split, no reconciliation-on-sync logic. This reverses FI-04, FI-05, FI-06, and FI-07 in full.</t>
  </si>
  <si>
    <t>External Blocker, Risk, Alert; Release readiness</t>
  </si>
  <si>
    <t>Rules Specification: deleted OVR-01..OVR-05 and the OVR-xx legend row; simplified LNK-03 (no longer clears an override); simplified §2-02 (single Readiness % figure, no Verified/Projected split).</t>
  </si>
  <si>
    <t>Deleted 'Override Reconciliation Tests' suite entirely. No other suite had override-specific tests.</t>
  </si>
  <si>
    <t>REVERSED (this session) — see Change Log</t>
  </si>
  <si>
    <t>Removed Provisional Status Override + Reconciliation entirely (OVR-01 to OVR-05). External entities now always display exactly what the source system reports, with no local override capability at all.</t>
  </si>
  <si>
    <t>Reconfirmed as unwanted: the feature was previously introduced (#4) as part of finalising the Theme, but on review the decision is that Release Desk should never hold any local override against an external record, even temporarily — just display the source as-is.</t>
  </si>
  <si>
    <t>Rules Specification (deleted OVR-01..05 + legend row; fixed LNK-03, §2-02); Release Desk Theme; Status Lifecycles (deleted Provisional Override Lifecycle section); RD Functional improvements (FI-04/05/06/07 marked Reversed, FI-19 added); deleted 'Override Reconciliation Tests' sheet</t>
  </si>
  <si>
    <t>Every operational entity carries an Origin: NATIVE (created in Release Desk) or EXTERNAL (mirrored from a System of Record such as Jira, ServiceNow, Grafana or HR). Native entities are fully owned by RD (create → close). External entities are read-only with respect to their source; RD holds only the link and always displays exactly what the source currently reports.</t>
  </si>
  <si>
    <t>Native-origin entities (e.g. a Blocker or Risk created in Release Desk) are owned end-to-end by RD. The Release Manager or release owner may create them and drive every lifecycle transition (Open → In Progress → Resolved → Closed, or Cancelled) and edit their fields directly in RD. Native entities have no external sync — their RD status is authoritative.</t>
  </si>
  <si>
    <t>Origin</t>
  </si>
  <si>
    <t>Native</t>
  </si>
  <si>
    <t>🚫 BLOCKERS</t>
  </si>
  <si>
    <t>Issues preventing release progress — tracked from creation through resolution</t>
  </si>
  <si>
    <t>Blocker ID</t>
  </si>
  <si>
    <t>Owner ID</t>
  </si>
  <si>
    <t>BLK-001</t>
  </si>
  <si>
    <t>Blocks Ready transition per VR-15</t>
  </si>
  <si>
    <t>BLK-002</t>
  </si>
  <si>
    <t>BLK-003</t>
  </si>
  <si>
    <t>Tracked in vendor's Jira project</t>
  </si>
  <si>
    <t>BLK-004</t>
  </si>
  <si>
    <t>BLK-005</t>
  </si>
  <si>
    <t>SOC2 regulatory release</t>
  </si>
  <si>
    <t>BLK-006</t>
  </si>
  <si>
    <t>BLK-007</t>
  </si>
  <si>
    <t>BLK-008</t>
  </si>
  <si>
    <t>BLK-009</t>
  </si>
  <si>
    <t>Vendor ticket VEN-3381</t>
  </si>
  <si>
    <t>BLK-010</t>
  </si>
  <si>
    <t>BLK-011</t>
  </si>
  <si>
    <t>Vendor ticket VEN-3402</t>
  </si>
  <si>
    <t>BLK-012</t>
  </si>
  <si>
    <t>SCADA firmware update pending from vendor</t>
  </si>
  <si>
    <t>Resolved 46212 — firmware update completed, release closed successfully</t>
  </si>
  <si>
    <t>BLK-013</t>
  </si>
  <si>
    <t>Active Directory sync service experiencing intermittent failures</t>
  </si>
  <si>
    <t>Resolved 46221 — sync issue fixed, release closed successfully</t>
  </si>
  <si>
    <t>BLK-014</t>
  </si>
  <si>
    <t>Closed 46236 — defects resolved, release closed successfully</t>
  </si>
  <si>
    <t>BLK-015</t>
  </si>
  <si>
    <t>SOC2 audit evidence collection incomplete for this release</t>
  </si>
  <si>
    <t>Escalated to Compliance Director</t>
  </si>
  <si>
    <t>🔧 MAINTENANCE WINDOWS</t>
  </si>
  <si>
    <t>Scheduled infrastructure/vendor maintenance periods that may overlap with release deploy dates (AV-09, CASC-10)</t>
  </si>
  <si>
    <t>MW ID</t>
  </si>
  <si>
    <t>Start</t>
  </si>
  <si>
    <t>End</t>
  </si>
  <si>
    <t>Duration (hrs)</t>
  </si>
  <si>
    <t>Recurrence</t>
  </si>
  <si>
    <t>MW-001</t>
  </si>
  <si>
    <t>ERP core, Batch jobs</t>
  </si>
  <si>
    <t>Scheduled DB patching</t>
  </si>
  <si>
    <t>MW-002</t>
  </si>
  <si>
    <t>OTM core, Customs Integration</t>
  </si>
  <si>
    <t>Oracle Patch Window — overlaps REL-0042 deploy date</t>
  </si>
  <si>
    <t>MW-003</t>
  </si>
  <si>
    <t>WMS, RF Scanner Infrastructure</t>
  </si>
  <si>
    <t>MW-004</t>
  </si>
  <si>
    <t>Monitoring pipeline</t>
  </si>
  <si>
    <t>Emergency patch for monitoring outage — immediate alert sent per AV-09</t>
  </si>
  <si>
    <t>MW-005</t>
  </si>
  <si>
    <t>Endpoint agents</t>
  </si>
  <si>
    <t>MW-006</t>
  </si>
  <si>
    <t>Payroll, Benefits Administration</t>
  </si>
  <si>
    <t>MW-007</t>
  </si>
  <si>
    <t>SSO, MFA Provider</t>
  </si>
  <si>
    <t>Quarterly</t>
  </si>
  <si>
    <t>MW-008</t>
  </si>
  <si>
    <t>Coincides with REL-0045 global rollout</t>
  </si>
  <si>
    <t>MW-009</t>
  </si>
  <si>
    <t>MW-010</t>
  </si>
  <si>
    <t>Identity Provider integration</t>
  </si>
  <si>
    <t>MW-011</t>
  </si>
  <si>
    <t>Cancelled — vendor rescheduled</t>
  </si>
  <si>
    <t>MW-012</t>
  </si>
  <si>
    <t>Coincides with REL-0037 infra change freeze</t>
  </si>
  <si>
    <t>DEP-027</t>
  </si>
  <si>
    <t>Platform upgrade prerequisite</t>
  </si>
  <si>
    <t>DEP-028</t>
  </si>
  <si>
    <t>DEP-029</t>
  </si>
  <si>
    <t>DEP-030</t>
  </si>
  <si>
    <t>DEP-031</t>
  </si>
  <si>
    <t>DEP-032</t>
  </si>
  <si>
    <t>DEP-033</t>
  </si>
  <si>
    <t>DEP-034</t>
  </si>
  <si>
    <t>DEP-035</t>
  </si>
  <si>
    <t>DEP-036</t>
  </si>
  <si>
    <t>DEP-037</t>
  </si>
  <si>
    <t>DEP-038</t>
  </si>
  <si>
    <t>DEP-039</t>
  </si>
  <si>
    <t>DEP-040</t>
  </si>
  <si>
    <t>DEP-041</t>
  </si>
  <si>
    <t>RSK-032</t>
  </si>
  <si>
    <t>Audit finding remediation not fully verified</t>
  </si>
  <si>
    <t>Complete verification checklist before Ready</t>
  </si>
  <si>
    <t>Compliance Team</t>
  </si>
  <si>
    <t>Audit team reviewing</t>
  </si>
  <si>
    <t>RSK-033</t>
  </si>
  <si>
    <t>Hardware upgrade may delay deployment window</t>
  </si>
  <si>
    <t>Hardware upgrade completed ahead of schedule</t>
  </si>
  <si>
    <t>RSK-034</t>
  </si>
  <si>
    <t>Identity sync errors caused production rollback</t>
  </si>
  <si>
    <t>Root cause analysis and additional testing before redeploy</t>
  </si>
  <si>
    <t>Post-rollback review in progress</t>
  </si>
  <si>
    <t>RSK-035</t>
  </si>
  <si>
    <t>Production maintenance window conflict caused CAB deferral</t>
  </si>
  <si>
    <t>Coordinating revised maintenance window with Infra</t>
  </si>
  <si>
    <t>Deferred pending schedule</t>
  </si>
  <si>
    <t>RSK-036</t>
  </si>
  <si>
    <t>SSO vendor coordination failure caused CAB rejection</t>
  </si>
  <si>
    <t>Escalate to vendor account manager</t>
  </si>
  <si>
    <t>Rework in progress</t>
  </si>
  <si>
    <t>RSK-037</t>
  </si>
  <si>
    <t>Kubernetes cluster node pool upgrade complexity</t>
  </si>
  <si>
    <t>Staged rollout by node pool</t>
  </si>
  <si>
    <t>Change freeze until Jul 15</t>
  </si>
  <si>
    <t>RSK-038</t>
  </si>
  <si>
    <t>Schema migration script failed validation</t>
  </si>
  <si>
    <t>DBA rework of migration script in progress</t>
  </si>
  <si>
    <t>RSK-039</t>
  </si>
  <si>
    <t>Critical priority release with tight rollout window</t>
  </si>
  <si>
    <t>Dedicated rollout team assigned</t>
  </si>
  <si>
    <t>On track</t>
  </si>
  <si>
    <t>RSK-040</t>
  </si>
  <si>
    <t>Large release with limited rollback testing time</t>
  </si>
  <si>
    <t>Prioritize rollback dress rehearsal</t>
  </si>
  <si>
    <t>Dress rehearsal scheduled</t>
  </si>
  <si>
    <t>RSK-041</t>
  </si>
  <si>
    <t>Identity Provider integration complexity for Large release</t>
  </si>
  <si>
    <t>Extended integration testing window</t>
  </si>
  <si>
    <t>Testing in progress</t>
  </si>
  <si>
    <t>RSK-042</t>
  </si>
  <si>
    <t>GDPR compliance review for e-signature changes</t>
  </si>
  <si>
    <t>Legal team review scheduled before Ready</t>
  </si>
  <si>
    <t>GDPR Compliance flag set</t>
  </si>
  <si>
    <t>RSK-043</t>
  </si>
  <si>
    <t>Data warehouse migration complexity for Large release</t>
  </si>
  <si>
    <t>Phased migration with validation gates</t>
  </si>
  <si>
    <t>Escalated to Infrastructure Director</t>
  </si>
  <si>
    <t>RSK-044</t>
  </si>
  <si>
    <t>Complete redesign scope creep risk</t>
  </si>
  <si>
    <t>Change control board reviewing scope additions</t>
  </si>
  <si>
    <t>Scope freeze requested</t>
  </si>
  <si>
    <t>RSK-045</t>
  </si>
  <si>
    <t>Bitbucket integration complexity for Large transformation</t>
  </si>
  <si>
    <t>Dedicated integration testing sprint</t>
  </si>
  <si>
    <t>RSK-046</t>
  </si>
  <si>
    <t>Threat intel feed vendor SLA uncertainty</t>
  </si>
  <si>
    <t>Vendor SLA review with account manager</t>
  </si>
  <si>
    <t>DFT-008</t>
  </si>
  <si>
    <t>3 feature flags enabled in Prod not replicated to Pre-prod</t>
  </si>
  <si>
    <t>Testing not representative of Prod behavior</t>
  </si>
  <si>
    <t>Sync feature flag configuration</t>
  </si>
  <si>
    <t>DFT-009</t>
  </si>
  <si>
    <t>UAT knowledge base data 30 days stale</t>
  </si>
  <si>
    <t>Some test scenarios not representative</t>
  </si>
  <si>
    <t>Refresh UAT data snapshot</t>
  </si>
  <si>
    <t>DFT-010</t>
  </si>
  <si>
    <t>Agent Version Mismatch</t>
  </si>
  <si>
    <t>Pre-prod monitoring agent version 2 releases behind Prod</t>
  </si>
  <si>
    <t>Security patch validation incomplete</t>
  </si>
  <si>
    <t>Upgrade Pre-prod agent to match Prod</t>
  </si>
  <si>
    <t>DFT-011</t>
  </si>
  <si>
    <t>API Contract Drift</t>
  </si>
  <si>
    <t>3rd party document management API contract version mismatch</t>
  </si>
  <si>
    <t>Integration tests may not reflect Prod behavior</t>
  </si>
  <si>
    <t>Align Test environment to production API version</t>
  </si>
  <si>
    <t>DFT-012</t>
  </si>
  <si>
    <t>Test Data Refresh Pending</t>
  </si>
  <si>
    <t>Test data refresh blocked on DBA availability</t>
  </si>
  <si>
    <t>Report validation may use outdated BOM data</t>
  </si>
  <si>
    <t>Prioritize DBA-assisted refresh</t>
  </si>
  <si>
    <t>DFT-013</t>
  </si>
  <si>
    <t>Customs Rules Mismatch</t>
  </si>
  <si>
    <t>UAT customs ruleset one version behind Prod</t>
  </si>
  <si>
    <t>UAT results may not reflect current customs rules</t>
  </si>
  <si>
    <t>Sync customs ruleset to UAT</t>
  </si>
  <si>
    <t>DFT-014</t>
  </si>
  <si>
    <t>PLC Firmware Version</t>
  </si>
  <si>
    <t>3 PLCs on outdated firmware incompatible with new HMI features</t>
  </si>
  <si>
    <t>Deployment blocked until hardware upgrade complete</t>
  </si>
  <si>
    <t>Complete PLC firmware upgrade</t>
  </si>
  <si>
    <t>DFT-015</t>
  </si>
  <si>
    <t>Shop Floor Protocol Mismatch</t>
  </si>
  <si>
    <t>Shop floor integration protocol version mismatch in Pre-prod</t>
  </si>
  <si>
    <t>Cannot validate production readiness</t>
  </si>
  <si>
    <t>Coordinate protocol upgrade with shop floor team</t>
  </si>
  <si>
    <t>DFT-016</t>
  </si>
  <si>
    <t>Kubernetes Version Skew</t>
  </si>
  <si>
    <t>Pre-prod Kubernetes cluster 1 minor version behind Prod target</t>
  </si>
  <si>
    <t>Platform upgrade validation may miss version-specific issues</t>
  </si>
  <si>
    <t>Upgrade Pre-prod cluster to match target version</t>
  </si>
  <si>
    <t>DFT-017</t>
  </si>
  <si>
    <t>Certificate Mismatch</t>
  </si>
  <si>
    <t>UAT e-signature certificate chain differs from Prod</t>
  </si>
  <si>
    <t>Signature validation tests may not reflect Prod behavior</t>
  </si>
  <si>
    <t>Align UAT certificate chain with Prod</t>
  </si>
  <si>
    <t>BLK-016</t>
  </si>
  <si>
    <t>Minor vendor documentation update pending, non-blocking</t>
  </si>
  <si>
    <t>Advisory only — does not gate the Ready transition (CFG-05)</t>
  </si>
  <si>
    <t>BLK-017</t>
  </si>
  <si>
    <t>Deployment script code review comment unresolved</t>
  </si>
  <si>
    <t>Blocking, but overridden to reach Ready — see Override Log OVR-LOG-001</t>
  </si>
  <si>
    <t>RSK-047</t>
  </si>
  <si>
    <t>Firmware upgrade validation incomplete at Ready gate</t>
  </si>
  <si>
    <t>Firmware validation to complete during hypercare; risk accepted by Engineering Director</t>
  </si>
  <si>
    <t>Engineering Director</t>
  </si>
  <si>
    <t>Overridden to reach Ready — see Override Log OVR-LOG-002</t>
  </si>
  <si>
    <t>⚠️ OVERRIDE LOG</t>
  </si>
  <si>
    <t>Immutable record of every warn-and-override decision (CFG-01/02/04) and every CCB severity configuration change (CFG-03)</t>
  </si>
  <si>
    <t>Override ID</t>
  </si>
  <si>
    <t>User Role</t>
  </si>
  <si>
    <t>Gate / Field</t>
  </si>
  <si>
    <t>Friction Level</t>
  </si>
  <si>
    <t>Outcome</t>
  </si>
  <si>
    <t>OVR-LOG-001</t>
  </si>
  <si>
    <t>Blocking blocker (BLK-017) is a minor code-review comment with no functional impact; approved to proceed to Ready to hold the deployment window</t>
  </si>
  <si>
    <t>Proceeded</t>
  </si>
  <si>
    <t>OVR-LOG-002</t>
  </si>
  <si>
    <t>Firmware validation (RSK-047) scheduled to complete during hypercare; risk accepted by Engineering Director</t>
  </si>
  <si>
    <t>Reason + Confirmation</t>
  </si>
  <si>
    <t>OVR-LOG-003</t>
  </si>
  <si>
    <t>Change Control Board</t>
  </si>
  <si>
    <t>— (system-wide config)</t>
  </si>
  <si>
    <t>Config Severity Change</t>
  </si>
  <si>
    <t>Raised the Blocker-Before-Ready gate back to hard BLOCK for Security-department releases per updated compliance policy</t>
  </si>
  <si>
    <t>N/A — config change</t>
  </si>
  <si>
    <t>Applied, effective-dated</t>
  </si>
  <si>
    <t>OVR-LOG-004</t>
  </si>
  <si>
    <t>USR-002 (attempted)</t>
  </si>
  <si>
    <t>Requested to skip Security Sign-Off to meet deadline</t>
  </si>
  <si>
    <t>Rejected — hard invariant, no override permitted</t>
  </si>
  <si>
    <t>Environment booking duration must be minimum 30 minutes, maximum 4 weeks.</t>
  </si>
  <si>
    <t>Pre-Prod</t>
  </si>
  <si>
    <t>MAN-PREPROD-03</t>
  </si>
  <si>
    <t>FIN-PREPROD-03</t>
  </si>
  <si>
    <t>CRM-PREPROD-02</t>
  </si>
  <si>
    <t>IT-PREPROD-03</t>
  </si>
  <si>
    <t>LOG-PREPROD-03</t>
  </si>
  <si>
    <t>LEG-PREPROD-02</t>
  </si>
  <si>
    <t>ENV-0081</t>
  </si>
  <si>
    <t>ENV-0082</t>
  </si>
  <si>
    <t>ENV-0083</t>
  </si>
  <si>
    <t>ENV-0084</t>
  </si>
  <si>
    <t>ENV-0085</t>
  </si>
  <si>
    <t>ENV-0086</t>
  </si>
  <si>
    <t>ENV-0087</t>
  </si>
  <si>
    <t>ENV-0088</t>
  </si>
  <si>
    <t>ENV-0089</t>
  </si>
  <si>
    <t>ENV-0090</t>
  </si>
  <si>
    <t>HR-PREPROD-02</t>
  </si>
  <si>
    <t>ENV-0091</t>
  </si>
  <si>
    <t>ENV-0092</t>
  </si>
  <si>
    <t>ENV-0093</t>
  </si>
  <si>
    <t>ENV-0094</t>
  </si>
  <si>
    <t>ENV-0095</t>
  </si>
  <si>
    <t>ENV-0096</t>
  </si>
  <si>
    <t>ENV-0097</t>
  </si>
  <si>
    <t>ENV-0098</t>
  </si>
  <si>
    <t>ENV-0099</t>
  </si>
  <si>
    <t>ENV-0100</t>
  </si>
  <si>
    <t>ENV-0101</t>
  </si>
  <si>
    <t>ENV-0102</t>
  </si>
  <si>
    <t>ENV-0103</t>
  </si>
  <si>
    <t>ENV-0104</t>
  </si>
  <si>
    <t>ENV-0105</t>
  </si>
  <si>
    <t>ENV-0106</t>
  </si>
  <si>
    <t>ENV-0107</t>
  </si>
  <si>
    <t>ENV-0108</t>
  </si>
  <si>
    <t>ENV-0109</t>
  </si>
  <si>
    <t>ENV-0110</t>
  </si>
  <si>
    <t>ENV-0111</t>
  </si>
  <si>
    <t>ENV-0112</t>
  </si>
  <si>
    <t>ENV-0113</t>
  </si>
  <si>
    <t>ENV-0114</t>
  </si>
  <si>
    <t>ENV-0115</t>
  </si>
  <si>
    <t>ENV-0116</t>
  </si>
  <si>
    <t>ENV-0117</t>
  </si>
  <si>
    <t>LEG-PREPROD-03</t>
  </si>
  <si>
    <t>ENV-0118</t>
  </si>
  <si>
    <t>ENV-0119</t>
  </si>
  <si>
    <t>ENV-0120</t>
  </si>
  <si>
    <t>SEC-PREPROD-03</t>
  </si>
  <si>
    <t>ENV-0121</t>
  </si>
  <si>
    <t>ENV-0122</t>
  </si>
  <si>
    <t>ENV-0123</t>
  </si>
  <si>
    <t>ENV-0124</t>
  </si>
  <si>
    <t>ENV-0125</t>
  </si>
  <si>
    <t>ENV-0126</t>
  </si>
  <si>
    <t>ENV-0127</t>
  </si>
  <si>
    <t>ENV-0128</t>
  </si>
  <si>
    <t>ENV-0129</t>
  </si>
  <si>
    <t>ENV-0130</t>
  </si>
  <si>
    <t>ENV-0131</t>
  </si>
  <si>
    <t>ENV-0132</t>
  </si>
  <si>
    <t>MAN-PREPROD-01</t>
  </si>
  <si>
    <t>ENV-0133</t>
  </si>
  <si>
    <t>ENV-0134</t>
  </si>
  <si>
    <t>ENV-0135</t>
  </si>
  <si>
    <t>ENV-0136</t>
  </si>
  <si>
    <t>ENV-0137</t>
  </si>
  <si>
    <t>ENV-0138</t>
  </si>
  <si>
    <t>HR-PREPROD-03</t>
  </si>
  <si>
    <t>ENV-0139</t>
  </si>
  <si>
    <t>ENV-0140</t>
  </si>
  <si>
    <t>ENV-0141</t>
  </si>
  <si>
    <t>ENV-0142</t>
  </si>
  <si>
    <t>ENV-0143</t>
  </si>
  <si>
    <t>ENV-0144</t>
  </si>
  <si>
    <t>ENV-0145</t>
  </si>
  <si>
    <t>ENV-0146</t>
  </si>
  <si>
    <t>ENV-0147</t>
  </si>
  <si>
    <t>FIN-PREPROD-02</t>
  </si>
  <si>
    <t>ENV-0148</t>
  </si>
  <si>
    <t>ENV-0149</t>
  </si>
  <si>
    <t>ENV-0150</t>
  </si>
  <si>
    <t>ENV-0151</t>
  </si>
  <si>
    <t>ENV-0152</t>
  </si>
  <si>
    <t>ENV-0153</t>
  </si>
  <si>
    <t>CRM-PREPROD-03</t>
  </si>
  <si>
    <t>ENV-0154</t>
  </si>
  <si>
    <t>ENV-0155</t>
  </si>
  <si>
    <t>ENV-0156</t>
  </si>
  <si>
    <t>ENV-0157</t>
  </si>
  <si>
    <t>ENV-0158</t>
  </si>
  <si>
    <t>ENV-0159</t>
  </si>
  <si>
    <t>ENV-0160</t>
  </si>
  <si>
    <t>ENV-0161</t>
  </si>
  <si>
    <t>ENV-0162</t>
  </si>
  <si>
    <t>ENV-0163</t>
  </si>
  <si>
    <t>ENV-0164</t>
  </si>
  <si>
    <t>ENV-0165</t>
  </si>
  <si>
    <t>ENV-0166</t>
  </si>
  <si>
    <t>ENV-0167</t>
  </si>
  <si>
    <t>ENV-0168</t>
  </si>
  <si>
    <t>ENV-0169</t>
  </si>
  <si>
    <t>ENV-0170</t>
  </si>
  <si>
    <t>ENV-0171</t>
  </si>
  <si>
    <t>ENV-0172</t>
  </si>
  <si>
    <t>ENV-0173</t>
  </si>
  <si>
    <t>ENV-0174</t>
  </si>
  <si>
    <t>ENV-0175</t>
  </si>
  <si>
    <t>ENV-0176</t>
  </si>
  <si>
    <t>ENV-0177</t>
  </si>
  <si>
    <t>ENV-0178</t>
  </si>
  <si>
    <t>ENV-0179</t>
  </si>
  <si>
    <t>ENV-0180</t>
  </si>
  <si>
    <t>MAN-PREPROD-02</t>
  </si>
  <si>
    <t>ENV-0181</t>
  </si>
  <si>
    <t>ENV-0182</t>
  </si>
  <si>
    <t>ENV-0183</t>
  </si>
  <si>
    <t>IT-PREPROD-02</t>
  </si>
  <si>
    <t>ENV-0184</t>
  </si>
  <si>
    <t>ENV-0185</t>
  </si>
  <si>
    <t>ENV-0186</t>
  </si>
  <si>
    <t>ENV-0187</t>
  </si>
  <si>
    <t>ENV-0188</t>
  </si>
  <si>
    <t>ENV-0189</t>
  </si>
  <si>
    <t>ENV-0190</t>
  </si>
  <si>
    <t>ENV-0191</t>
  </si>
  <si>
    <t>ENV-0192</t>
  </si>
  <si>
    <t>ENV-0193</t>
  </si>
  <si>
    <t>ENV-0194</t>
  </si>
  <si>
    <t>ENV-0195</t>
  </si>
  <si>
    <t>ENV-0196</t>
  </si>
  <si>
    <t>ENV-0197</t>
  </si>
  <si>
    <t>ENV-0198</t>
  </si>
  <si>
    <t>LOG-PREPROD-02</t>
  </si>
  <si>
    <t>ENV-0199</t>
  </si>
  <si>
    <t>ENV-0200</t>
  </si>
  <si>
    <t>ENV-0201</t>
  </si>
  <si>
    <t>ENV-0202</t>
  </si>
  <si>
    <t>ENV-0203</t>
  </si>
  <si>
    <t>ENV-0204</t>
  </si>
  <si>
    <t>ENV-0205</t>
  </si>
  <si>
    <t>ENV-0206</t>
  </si>
  <si>
    <t>ENV-0207</t>
  </si>
  <si>
    <t>ENV-0208</t>
  </si>
  <si>
    <t>ENV-0209</t>
  </si>
  <si>
    <t>ENV-0210</t>
  </si>
  <si>
    <t>ENV-0211</t>
  </si>
  <si>
    <t>ENV-0212</t>
  </si>
  <si>
    <t>ENV-0213</t>
  </si>
  <si>
    <t>ENV-0214</t>
  </si>
  <si>
    <t>ENV-0215</t>
  </si>
  <si>
    <t>ENV-0216</t>
  </si>
  <si>
    <t>ENV-0217</t>
  </si>
  <si>
    <t>ENV-0218</t>
  </si>
  <si>
    <t>ENV-0219</t>
  </si>
  <si>
    <t>ENV-0220</t>
  </si>
  <si>
    <t>ENV-0221</t>
  </si>
  <si>
    <t>ENV-0222</t>
  </si>
  <si>
    <t>ENV-0223</t>
  </si>
  <si>
    <t>ENV-0224</t>
  </si>
  <si>
    <t>ENV-0225</t>
  </si>
  <si>
    <t>ENV-0226</t>
  </si>
  <si>
    <t>ENV-0227</t>
  </si>
  <si>
    <t>ENV-0228</t>
  </si>
  <si>
    <t>ENV-0229</t>
  </si>
  <si>
    <t>ENV-0230</t>
  </si>
  <si>
    <t>ENV-0231</t>
  </si>
  <si>
    <t>ENV-0232</t>
  </si>
  <si>
    <t>ENV-0233</t>
  </si>
  <si>
    <t>ENV-0234</t>
  </si>
  <si>
    <t>ENV-0235</t>
  </si>
  <si>
    <t>ENV-0236</t>
  </si>
  <si>
    <t>ENV-0237</t>
  </si>
  <si>
    <t>ENV-0238</t>
  </si>
  <si>
    <t>ENV-0239</t>
  </si>
  <si>
    <t>ENV-0240</t>
  </si>
  <si>
    <t>ENV-0241</t>
  </si>
  <si>
    <t>SEC-TEST-SMOKE</t>
  </si>
  <si>
    <t>ENV-0242</t>
  </si>
  <si>
    <t>MAN-PREPROD-SOAK</t>
  </si>
  <si>
    <t>Maximum duration 4 weeks (§1-08)</t>
  </si>
  <si>
    <t>Duration is 5 weeks.</t>
  </si>
  <si>
    <t>Exactly 4 weeks duration accepted</t>
  </si>
  <si>
    <t>Duration exactly 4 weeks.</t>
  </si>
  <si>
    <t>Maximum booking duration is 4 weeks.</t>
  </si>
  <si>
    <t>Verify booker cannot extend booking beyond 4 weeks</t>
  </si>
  <si>
    <t>Attempt to extend total duration to 5 weeks</t>
  </si>
  <si>
    <t>Cannot extend — maximum booking duration is 4 weeks</t>
  </si>
  <si>
    <t>Booking with exactly 4 week duration</t>
  </si>
  <si>
    <t>User books ENV-01 for maximum 4 weeks</t>
  </si>
  <si>
    <t>Submit booking Monday to the Monday 4 weeks later</t>
  </si>
  <si>
    <t>Environment slot booked (4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</si>
</sst>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yyyy\-mm\-dd\ hh:mm"/>
  </numFmts>
  <fonts count="55" x14ac:knownFonts="1">
    <font>
      <sz val="11"/>
      <color theme="1"/>
      <name val="Aptos Narrow"/>
      <family val="2"/>
      <scheme val="minor"/>
    </font>
    <font>
      <b/>
      <sz val="11"/>
      <color rgb="FFFFFFFF"/>
      <name val="Aptos Narrow"/>
      <family val="2"/>
      <scheme val="minor"/>
    </font>
    <font>
      <b/>
      <sz val="12"/>
      <color rgb="FFFFFFFF"/>
      <name val="Aptos Narrow"/>
      <family val="2"/>
      <scheme val="minor"/>
    </font>
    <font>
      <b/>
      <sz val="14"/>
      <color rgb="FFFFFFFF"/>
      <name val="Aptos Narrow"/>
      <family val="2"/>
      <scheme val="minor"/>
    </font>
    <font>
      <b/>
      <sz val="11"/>
      <color theme="1"/>
      <name val="Aptos Narrow"/>
      <family val="2"/>
      <scheme val="minor"/>
    </font>
    <font>
      <b/>
      <sz val="14"/>
      <color theme="1"/>
      <name val="Aptos Narrow"/>
      <family val="2"/>
      <scheme val="minor"/>
    </font>
    <font>
      <b/>
      <sz val="16"/>
      <color rgb="FFFFFFFF"/>
      <name val="Aptos Narrow"/>
      <family val="2"/>
      <scheme val="minor"/>
    </font>
    <font>
      <i/>
      <sz val="11"/>
      <color theme="1"/>
      <name val="Aptos Narrow"/>
      <family val="2"/>
      <scheme val="minor"/>
    </font>
    <font>
      <b/>
      <sz val="12"/>
      <color theme="1"/>
      <name val="Aptos Narrow"/>
      <family val="2"/>
      <scheme val="minor"/>
    </font>
    <font>
      <sz val="10"/>
      <color theme="1"/>
      <name val="Aptos Narrow"/>
      <family val="2"/>
      <scheme val="minor"/>
    </font>
    <font>
      <b/>
      <sz val="11"/>
      <color rgb="FFFFFFFF"/>
      <name val="Aptos Narrow"/>
      <scheme val="minor"/>
    </font>
    <font>
      <sz val="11"/>
      <color theme="1"/>
      <name val="Aptos Narrow"/>
      <scheme val="minor"/>
    </font>
    <font>
      <sz val="11"/>
      <color rgb="FFFFFFFF"/>
      <name val="Aptos Narrow"/>
      <family val="2"/>
      <scheme val="minor"/>
    </font>
    <font>
      <sz val="16"/>
      <color rgb="FFFFFFFF"/>
      <name val="Aptos Narrow"/>
      <family val="2"/>
      <scheme val="minor"/>
    </font>
    <font>
      <sz val="10"/>
      <color rgb="FF444444"/>
      <name val="Aptos Narrow"/>
      <family val="2"/>
      <scheme val="minor"/>
    </font>
    <font>
      <sz val="10"/>
      <color rgb="FF000000"/>
      <name val="Aptos Narrow"/>
      <family val="2"/>
      <scheme val="minor"/>
    </font>
    <font>
      <sz val="11"/>
      <color rgb="FFC00000"/>
      <name val="Aptos Narrow"/>
      <family val="2"/>
      <scheme val="minor"/>
    </font>
    <font>
      <b/>
      <sz val="18"/>
      <color rgb="FFFFFFFF"/>
      <name val="Aptos Narrow"/>
      <family val="2"/>
      <scheme val="minor"/>
    </font>
    <font>
      <i/>
      <sz val="11"/>
      <color rgb="FF44546A"/>
      <name val="Aptos Narrow"/>
      <family val="2"/>
      <scheme val="minor"/>
    </font>
    <font>
      <sz val="11"/>
      <color rgb="FF0563C1"/>
      <name val="Aptos Narrow"/>
      <family val="2"/>
      <scheme val="minor"/>
    </font>
    <font>
      <sz val="11"/>
      <color rgb="FF595959"/>
      <name val="Aptos Narrow"/>
      <family val="2"/>
      <scheme val="minor"/>
    </font>
    <font>
      <sz val="11"/>
      <name val="Aptos Narrow"/>
      <family val="2"/>
      <scheme val="minor"/>
    </font>
    <font>
      <sz val="14"/>
      <color rgb="FFFFFFFF"/>
      <name val="Aptos Narrow"/>
      <family val="2"/>
      <scheme val="minor"/>
    </font>
    <font>
      <i/>
      <sz val="11"/>
      <color rgb="FF666666"/>
      <name val="Aptos Narrow"/>
      <family val="2"/>
      <scheme val="minor"/>
    </font>
    <font>
      <i/>
      <sz val="11"/>
      <color rgb="FF555555"/>
      <name val="Aptos Narrow"/>
      <family val="2"/>
      <scheme val="minor"/>
    </font>
    <font>
      <i/>
      <sz val="11"/>
      <color rgb="FF888888"/>
      <name val="Aptos Narrow"/>
      <family val="2"/>
      <scheme val="minor"/>
    </font>
    <font>
      <b/>
      <sz val="12"/>
      <color rgb="FF1F4E79"/>
      <name val="Aptos Narrow"/>
      <family val="2"/>
      <scheme val="minor"/>
    </font>
    <font>
      <b/>
      <sz val="18"/>
      <color rgb="FF1F4E79"/>
      <name val="Aptos Narrow"/>
      <family val="2"/>
      <scheme val="minor"/>
    </font>
    <font>
      <sz val="11"/>
      <color rgb="FF1F4E79"/>
      <name val="Aptos Narrow"/>
      <family val="2"/>
      <scheme val="minor"/>
    </font>
    <font>
      <b/>
      <i/>
      <sz val="11"/>
      <color theme="1"/>
      <name val="Aptos Narrow"/>
      <family val="2"/>
      <scheme val="minor"/>
    </font>
    <font>
      <i/>
      <sz val="9"/>
      <color rgb="FF808080"/>
      <name val="Aptos Narrow"/>
      <family val="2"/>
      <scheme val="minor"/>
    </font>
    <font>
      <b/>
      <i/>
      <sz val="11"/>
      <color rgb="FFFFFFFF"/>
      <name val="Aptos Narrow"/>
      <family val="2"/>
      <scheme val="minor"/>
    </font>
    <font>
      <b/>
      <i/>
      <sz val="10"/>
      <color rgb="FFFFFFFF"/>
      <name val="Aptos Narrow"/>
      <family val="2"/>
      <scheme val="minor"/>
    </font>
    <font>
      <b/>
      <i/>
      <sz val="9"/>
      <color rgb="FFFFFFFF"/>
      <name val="Aptos Narrow"/>
      <family val="2"/>
      <scheme val="minor"/>
    </font>
    <font>
      <b/>
      <i/>
      <sz val="11"/>
      <color rgb="FF1F4E79"/>
      <name val="Aptos Narrow"/>
      <family val="2"/>
      <scheme val="minor"/>
    </font>
    <font>
      <b/>
      <sz val="12"/>
      <color rgb="FFC00000"/>
      <name val="Aptos Narrow"/>
      <family val="2"/>
      <scheme val="minor"/>
    </font>
    <font>
      <b/>
      <sz val="14"/>
      <color rgb="FF305496"/>
      <name val="Aptos Narrow"/>
      <family val="2"/>
      <scheme val="minor"/>
    </font>
    <font>
      <b/>
      <sz val="11"/>
      <color rgb="FFC00000"/>
      <name val="Aptos Narrow"/>
      <family val="2"/>
      <scheme val="minor"/>
    </font>
    <font>
      <b/>
      <sz val="11"/>
      <color rgb="FF2980B9"/>
      <name val="Aptos Narrow"/>
      <family val="2"/>
      <scheme val="minor"/>
    </font>
    <font>
      <i/>
      <sz val="10"/>
      <color rgb="FF7F8C8D"/>
      <name val="Aptos Narrow"/>
      <family val="2"/>
      <scheme val="minor"/>
    </font>
    <font>
      <b/>
      <sz val="16"/>
      <color theme="1"/>
      <name val="Aptos Narrow"/>
      <family val="2"/>
      <scheme val="minor"/>
    </font>
    <font>
      <sz val="11"/>
      <color rgb="FFFF6B6B"/>
      <name val="Aptos Narrow"/>
      <family val="2"/>
      <scheme val="minor"/>
    </font>
    <font>
      <sz val="11"/>
      <color rgb="FFFFC000"/>
      <name val="Aptos Narrow"/>
      <family val="2"/>
      <scheme val="minor"/>
    </font>
    <font>
      <sz val="11"/>
      <color rgb="FF92D050"/>
      <name val="Aptos Narrow"/>
      <family val="2"/>
      <scheme val="minor"/>
    </font>
    <font>
      <sz val="11"/>
      <color rgb="FFB4A7D6"/>
      <name val="Aptos Narrow"/>
      <family val="2"/>
      <scheme val="minor"/>
    </font>
    <font>
      <sz val="11"/>
      <color rgb="FF00B0F0"/>
      <name val="Aptos Narrow"/>
      <family val="2"/>
      <scheme val="minor"/>
    </font>
    <font>
      <sz val="11"/>
      <color rgb="FF000000"/>
      <name val="Aptos Narrow"/>
      <family val="2"/>
      <scheme val="minor"/>
    </font>
    <font>
      <b/>
      <sz val="11"/>
      <color rgb="FF000000"/>
      <name val="Aptos Narrow"/>
      <family val="2"/>
      <scheme val="minor"/>
    </font>
    <font>
      <b/>
      <sz val="11"/>
      <color rgb="FF1F4E79"/>
      <name val="Aptos Narrow"/>
      <family val="2"/>
      <scheme val="minor"/>
    </font>
    <font>
      <sz val="9"/>
      <color theme="1"/>
      <name val="Consolas"/>
    </font>
    <font>
      <b/>
      <sz val="16"/>
      <color rgb="FF2E7D32"/>
      <name val="Aptos Narrow"/>
      <family val="2"/>
      <scheme val="minor"/>
    </font>
    <font>
      <i/>
      <sz val="11"/>
      <color rgb="FFC00000"/>
      <name val="Aptos Narrow"/>
      <family val="2"/>
      <scheme val="minor"/>
    </font>
    <font>
      <b/>
      <sz val="14"/>
      <color rgb="FF2E7D32"/>
      <name val="Aptos Narrow"/>
      <family val="2"/>
      <scheme val="minor"/>
    </font>
    <font>
      <sz val="9"/>
      <color indexed="81"/>
      <name val="Tahoma"/>
    </font>
    <font>
      <b/>
      <sz val="9"/>
      <color indexed="81"/>
      <name val="Tahoma"/>
    </font>
  </fonts>
  <fills count="91">
    <fill>
      <patternFill patternType="none"/>
    </fill>
    <fill>
      <patternFill patternType="gray125"/>
    </fill>
    <fill>
      <patternFill patternType="solid">
        <fgColor rgb="FF4472C4"/>
        <bgColor indexed="64"/>
      </patternFill>
    </fill>
    <fill>
      <patternFill patternType="solid">
        <fgColor rgb="FF1F4E79"/>
        <bgColor indexed="64"/>
      </patternFill>
    </fill>
    <fill>
      <patternFill patternType="solid">
        <fgColor rgb="FFFFF8E1"/>
        <bgColor indexed="64"/>
      </patternFill>
    </fill>
    <fill>
      <patternFill patternType="solid">
        <fgColor rgb="FFFFF3E0"/>
        <bgColor indexed="64"/>
      </patternFill>
    </fill>
    <fill>
      <patternFill patternType="solid">
        <fgColor rgb="FFF3E5F5"/>
        <bgColor indexed="64"/>
      </patternFill>
    </fill>
    <fill>
      <patternFill patternType="solid">
        <fgColor rgb="FFE0F7FA"/>
        <bgColor indexed="64"/>
      </patternFill>
    </fill>
    <fill>
      <patternFill patternType="solid">
        <fgColor rgb="FFECEFF1"/>
        <bgColor indexed="64"/>
      </patternFill>
    </fill>
    <fill>
      <patternFill patternType="solid">
        <fgColor rgb="FFFCE4EC"/>
        <bgColor indexed="64"/>
      </patternFill>
    </fill>
    <fill>
      <patternFill patternType="solid">
        <fgColor rgb="FFFFEBEE"/>
        <bgColor indexed="64"/>
      </patternFill>
    </fill>
    <fill>
      <patternFill patternType="solid">
        <fgColor rgb="FFF9FBE7"/>
        <bgColor indexed="64"/>
      </patternFill>
    </fill>
    <fill>
      <patternFill patternType="solid">
        <fgColor rgb="FFE0F2F1"/>
        <bgColor indexed="64"/>
      </patternFill>
    </fill>
    <fill>
      <patternFill patternType="solid">
        <fgColor rgb="FFE8EAF6"/>
        <bgColor indexed="64"/>
      </patternFill>
    </fill>
    <fill>
      <patternFill patternType="solid">
        <fgColor rgb="FFE3F2FD"/>
        <bgColor indexed="64"/>
      </patternFill>
    </fill>
    <fill>
      <patternFill patternType="solid">
        <fgColor rgb="FFE8F5E9"/>
        <bgColor indexed="64"/>
      </patternFill>
    </fill>
    <fill>
      <patternFill patternType="solid">
        <fgColor rgb="FF2E75B6"/>
        <bgColor indexed="64"/>
      </patternFill>
    </fill>
    <fill>
      <patternFill patternType="solid">
        <fgColor rgb="FF203764"/>
        <bgColor indexed="64"/>
      </patternFill>
    </fill>
    <fill>
      <patternFill patternType="solid">
        <fgColor rgb="FFD6DCE5"/>
        <bgColor indexed="64"/>
      </patternFill>
    </fill>
    <fill>
      <patternFill patternType="solid">
        <fgColor rgb="FFFF6B6B"/>
        <bgColor indexed="64"/>
      </patternFill>
    </fill>
    <fill>
      <patternFill patternType="solid">
        <fgColor rgb="FFFFE066"/>
        <bgColor indexed="64"/>
      </patternFill>
    </fill>
    <fill>
      <patternFill patternType="solid">
        <fgColor rgb="FF4ECDC4"/>
        <bgColor indexed="64"/>
      </patternFill>
    </fill>
    <fill>
      <patternFill patternType="solid">
        <fgColor rgb="FF95E1D3"/>
        <bgColor indexed="64"/>
      </patternFill>
    </fill>
    <fill>
      <patternFill patternType="solid">
        <fgColor rgb="FFD9E2F3"/>
        <bgColor indexed="64"/>
      </patternFill>
    </fill>
    <fill>
      <patternFill patternType="solid">
        <fgColor rgb="FFE8F3FF"/>
        <bgColor indexed="64"/>
      </patternFill>
    </fill>
    <fill>
      <patternFill patternType="solid">
        <fgColor rgb="FFFFF2CC"/>
        <bgColor indexed="64"/>
      </patternFill>
    </fill>
    <fill>
      <patternFill patternType="solid">
        <fgColor rgb="FF70AD47"/>
        <bgColor indexed="64"/>
      </patternFill>
    </fill>
    <fill>
      <patternFill patternType="solid">
        <fgColor rgb="FFC00000"/>
        <bgColor indexed="64"/>
      </patternFill>
    </fill>
    <fill>
      <patternFill patternType="solid">
        <fgColor rgb="FF00B050"/>
        <bgColor indexed="64"/>
      </patternFill>
    </fill>
    <fill>
      <patternFill patternType="solid">
        <fgColor rgb="FFF2F2F2"/>
        <bgColor indexed="64"/>
      </patternFill>
    </fill>
    <fill>
      <patternFill patternType="solid">
        <fgColor rgb="FFE2EFDA"/>
        <bgColor indexed="64"/>
      </patternFill>
    </fill>
    <fill>
      <patternFill patternType="solid">
        <fgColor rgb="FFFCE4D6"/>
        <bgColor indexed="64"/>
      </patternFill>
    </fill>
    <fill>
      <patternFill patternType="solid">
        <fgColor rgb="FFD9E1F2"/>
        <bgColor indexed="64"/>
      </patternFill>
    </fill>
    <fill>
      <patternFill patternType="solid">
        <fgColor rgb="FFE6F3FF"/>
        <bgColor indexed="64"/>
      </patternFill>
    </fill>
    <fill>
      <patternFill patternType="solid">
        <fgColor rgb="FFF3E8FF"/>
        <bgColor indexed="64"/>
      </patternFill>
    </fill>
    <fill>
      <patternFill patternType="solid">
        <fgColor rgb="FFBDD7EE"/>
        <bgColor indexed="64"/>
      </patternFill>
    </fill>
    <fill>
      <patternFill patternType="solid">
        <fgColor rgb="FFFFE699"/>
        <bgColor indexed="64"/>
      </patternFill>
    </fill>
    <fill>
      <patternFill patternType="solid">
        <fgColor rgb="FFDDEBF7"/>
        <bgColor indexed="64"/>
      </patternFill>
    </fill>
    <fill>
      <patternFill patternType="solid">
        <fgColor rgb="FFF4CCCC"/>
        <bgColor indexed="64"/>
      </patternFill>
    </fill>
    <fill>
      <patternFill patternType="solid">
        <fgColor rgb="FFD0E0E3"/>
        <bgColor indexed="64"/>
      </patternFill>
    </fill>
    <fill>
      <patternFill patternType="solid">
        <fgColor rgb="FFE6B8AF"/>
        <bgColor indexed="64"/>
      </patternFill>
    </fill>
    <fill>
      <patternFill patternType="solid">
        <fgColor rgb="FFCFE2F3"/>
        <bgColor indexed="64"/>
      </patternFill>
    </fill>
    <fill>
      <patternFill patternType="solid">
        <fgColor rgb="FFEAD1DC"/>
        <bgColor indexed="64"/>
      </patternFill>
    </fill>
    <fill>
      <patternFill patternType="solid">
        <fgColor rgb="FFD9EAD3"/>
        <bgColor indexed="64"/>
      </patternFill>
    </fill>
    <fill>
      <patternFill patternType="solid">
        <fgColor rgb="FFFCE5CD"/>
        <bgColor indexed="64"/>
      </patternFill>
    </fill>
    <fill>
      <patternFill patternType="solid">
        <fgColor rgb="FFD9D2E9"/>
        <bgColor indexed="64"/>
      </patternFill>
    </fill>
    <fill>
      <patternFill patternType="solid">
        <fgColor rgb="FFC9DAF8"/>
        <bgColor indexed="64"/>
      </patternFill>
    </fill>
    <fill>
      <patternFill patternType="solid">
        <fgColor rgb="FFFFE6CC"/>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rgb="FF17365D"/>
        <bgColor indexed="64"/>
      </patternFill>
    </fill>
    <fill>
      <patternFill patternType="solid">
        <fgColor rgb="FFD9EAF7"/>
        <bgColor indexed="64"/>
      </patternFill>
    </fill>
    <fill>
      <patternFill patternType="solid">
        <fgColor rgb="FFC0504D"/>
        <bgColor indexed="64"/>
      </patternFill>
    </fill>
    <fill>
      <patternFill patternType="solid">
        <fgColor rgb="FF548235"/>
        <bgColor indexed="64"/>
      </patternFill>
    </fill>
    <fill>
      <patternFill patternType="solid">
        <fgColor rgb="FFDEEBF7"/>
        <bgColor indexed="64"/>
      </patternFill>
    </fill>
    <fill>
      <patternFill patternType="solid">
        <fgColor rgb="FFEDEDED"/>
        <bgColor indexed="64"/>
      </patternFill>
    </fill>
    <fill>
      <patternFill patternType="solid">
        <fgColor rgb="FFE4DFEC"/>
        <bgColor indexed="64"/>
      </patternFill>
    </fill>
    <fill>
      <patternFill patternType="solid">
        <fgColor rgb="FF156082"/>
        <bgColor indexed="64"/>
      </patternFill>
    </fill>
    <fill>
      <patternFill patternType="solid">
        <fgColor rgb="FF2E7D32"/>
        <bgColor indexed="64"/>
      </patternFill>
    </fill>
    <fill>
      <patternFill patternType="solid">
        <fgColor rgb="FFFDE9E9"/>
        <bgColor indexed="64"/>
      </patternFill>
    </fill>
    <fill>
      <patternFill patternType="solid">
        <fgColor rgb="FFFFF4CE"/>
        <bgColor indexed="64"/>
      </patternFill>
    </fill>
    <fill>
      <patternFill patternType="solid">
        <fgColor rgb="FF404040"/>
        <bgColor indexed="64"/>
      </patternFill>
    </fill>
    <fill>
      <patternFill patternType="solid">
        <fgColor rgb="FFD0CECE"/>
        <bgColor indexed="64"/>
      </patternFill>
    </fill>
    <fill>
      <patternFill patternType="solid">
        <fgColor rgb="FFD9D9D9"/>
        <bgColor indexed="64"/>
      </patternFill>
    </fill>
    <fill>
      <patternFill patternType="solid">
        <fgColor rgb="FFF4B084"/>
        <bgColor indexed="64"/>
      </patternFill>
    </fill>
    <fill>
      <patternFill patternType="solid">
        <fgColor rgb="FFD6DCE4"/>
        <bgColor indexed="64"/>
      </patternFill>
    </fill>
    <fill>
      <patternFill patternType="solid">
        <fgColor rgb="FFF8F9FA"/>
        <bgColor indexed="64"/>
      </patternFill>
    </fill>
    <fill>
      <patternFill patternType="solid">
        <fgColor rgb="FF305496"/>
        <bgColor indexed="64"/>
      </patternFill>
    </fill>
    <fill>
      <patternFill patternType="solid">
        <fgColor rgb="FF2C3E50"/>
        <bgColor indexed="64"/>
      </patternFill>
    </fill>
    <fill>
      <patternFill patternType="solid">
        <fgColor rgb="FFEBF5FB"/>
        <bgColor indexed="64"/>
      </patternFill>
    </fill>
    <fill>
      <patternFill patternType="solid">
        <fgColor rgb="FF2F5496"/>
        <bgColor indexed="64"/>
      </patternFill>
    </fill>
    <fill>
      <patternFill patternType="solid">
        <fgColor rgb="FFFFCCCB"/>
        <bgColor indexed="64"/>
      </patternFill>
    </fill>
    <fill>
      <patternFill patternType="solid">
        <fgColor rgb="FFB4C6E7"/>
        <bgColor indexed="64"/>
      </patternFill>
    </fill>
    <fill>
      <patternFill patternType="solid">
        <fgColor rgb="FFE6D5E8"/>
        <bgColor indexed="64"/>
      </patternFill>
    </fill>
    <fill>
      <patternFill patternType="solid">
        <fgColor rgb="FFFFE4C4"/>
        <bgColor indexed="64"/>
      </patternFill>
    </fill>
    <fill>
      <patternFill patternType="solid">
        <fgColor rgb="FFFFFFFF"/>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70C0"/>
        <bgColor indexed="64"/>
      </patternFill>
    </fill>
    <fill>
      <patternFill patternType="solid">
        <fgColor rgb="FF538135"/>
        <bgColor indexed="64"/>
      </patternFill>
    </fill>
    <fill>
      <patternFill patternType="solid">
        <fgColor rgb="FFC6E0B4"/>
        <bgColor indexed="64"/>
      </patternFill>
    </fill>
    <fill>
      <patternFill patternType="solid">
        <fgColor rgb="FF7030A0"/>
        <bgColor indexed="64"/>
      </patternFill>
    </fill>
    <fill>
      <patternFill patternType="solid">
        <fgColor rgb="FFE2D1F0"/>
        <bgColor indexed="64"/>
      </patternFill>
    </fill>
    <fill>
      <patternFill patternType="solid">
        <fgColor rgb="FFC55A11"/>
        <bgColor indexed="64"/>
      </patternFill>
    </fill>
    <fill>
      <patternFill patternType="solid">
        <fgColor rgb="FF203864"/>
        <bgColor indexed="64"/>
      </patternFill>
    </fill>
    <fill>
      <patternFill patternType="solid">
        <fgColor rgb="FF8FAADC"/>
        <bgColor indexed="64"/>
      </patternFill>
    </fill>
    <fill>
      <patternFill patternType="solid">
        <fgColor rgb="FFF4B183"/>
        <bgColor indexed="64"/>
      </patternFill>
    </fill>
    <fill>
      <patternFill patternType="solid">
        <fgColor rgb="FFFF0000"/>
        <bgColor indexed="64"/>
      </patternFill>
    </fill>
    <fill>
      <patternFill patternType="solid">
        <fgColor rgb="FFC8E6C9"/>
        <bgColor indexed="64"/>
      </patternFill>
    </fill>
  </fills>
  <borders count="48">
    <border>
      <left/>
      <right/>
      <top/>
      <bottom/>
      <diagonal/>
    </border>
    <border>
      <left/>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D9D9"/>
      </left>
      <right/>
      <top/>
      <bottom/>
      <diagonal/>
    </border>
    <border>
      <left style="thin">
        <color rgb="FFBFBFBF"/>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rgb="FF4472C4"/>
      </bottom>
      <diagonal/>
    </border>
    <border>
      <left style="thin">
        <color auto="1"/>
      </left>
      <right style="thin">
        <color rgb="FFC0C0C0"/>
      </right>
      <top style="thin">
        <color auto="1"/>
      </top>
      <bottom style="thin">
        <color rgb="FFC0C0C0"/>
      </bottom>
      <diagonal/>
    </border>
    <border>
      <left style="thin">
        <color rgb="FFC0C0C0"/>
      </left>
      <right style="thin">
        <color rgb="FFC0C0C0"/>
      </right>
      <top style="thin">
        <color auto="1"/>
      </top>
      <bottom style="thin">
        <color rgb="FFC0C0C0"/>
      </bottom>
      <diagonal/>
    </border>
    <border>
      <left style="thin">
        <color rgb="FFC0C0C0"/>
      </left>
      <right style="thin">
        <color auto="1"/>
      </right>
      <top style="thin">
        <color auto="1"/>
      </top>
      <bottom style="thin">
        <color rgb="FFC0C0C0"/>
      </bottom>
      <diagonal/>
    </border>
    <border>
      <left style="thin">
        <color rgb="FFC0C0C0"/>
      </left>
      <right/>
      <top/>
      <bottom/>
      <diagonal/>
    </border>
    <border>
      <left style="thin">
        <color auto="1"/>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auto="1"/>
      </right>
      <top style="thin">
        <color rgb="FFC0C0C0"/>
      </top>
      <bottom style="thin">
        <color rgb="FFC0C0C0"/>
      </bottom>
      <diagonal/>
    </border>
    <border>
      <left style="thin">
        <color auto="1"/>
      </left>
      <right style="thin">
        <color rgb="FFC0C0C0"/>
      </right>
      <top style="thin">
        <color rgb="FFC0C0C0"/>
      </top>
      <bottom style="thin">
        <color auto="1"/>
      </bottom>
      <diagonal/>
    </border>
    <border>
      <left style="thin">
        <color rgb="FFC0C0C0"/>
      </left>
      <right style="thin">
        <color rgb="FFC0C0C0"/>
      </right>
      <top style="thin">
        <color rgb="FFC0C0C0"/>
      </top>
      <bottom style="thin">
        <color auto="1"/>
      </bottom>
      <diagonal/>
    </border>
    <border>
      <left style="thin">
        <color rgb="FFC0C0C0"/>
      </left>
      <right style="thin">
        <color auto="1"/>
      </right>
      <top style="thin">
        <color rgb="FFC0C0C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rgb="FF2C3E50"/>
      </bottom>
      <diagonal/>
    </border>
  </borders>
  <cellStyleXfs count="1">
    <xf numFmtId="0" fontId="0" fillId="0" borderId="0"/>
  </cellStyleXfs>
  <cellXfs count="502">
    <xf numFmtId="0" fontId="0" fillId="0" borderId="0" xfId="0"/>
    <xf numFmtId="0" fontId="1" fillId="2" borderId="0" xfId="0" applyFont="1" applyFill="1"/>
    <xf numFmtId="0" fontId="1" fillId="3" borderId="0" xfId="0" applyFont="1" applyFill="1"/>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0" xfId="0" applyAlignment="1">
      <alignment wrapText="1"/>
    </xf>
    <xf numFmtId="0" fontId="0" fillId="14" borderId="0" xfId="0" applyFill="1" applyAlignment="1">
      <alignment vertical="top" wrapText="1"/>
    </xf>
    <xf numFmtId="0" fontId="0" fillId="15" borderId="0" xfId="0" applyFill="1" applyAlignment="1">
      <alignment vertical="top" wrapText="1"/>
    </xf>
    <xf numFmtId="0" fontId="4" fillId="0" borderId="0" xfId="0" applyFont="1"/>
    <xf numFmtId="0" fontId="5" fillId="0" borderId="0" xfId="0" applyFont="1"/>
    <xf numFmtId="0" fontId="0" fillId="0" borderId="1" xfId="0" applyBorder="1"/>
    <xf numFmtId="0" fontId="5" fillId="0" borderId="5" xfId="0" applyFont="1" applyBorder="1" applyAlignment="1">
      <alignment vertical="top" wrapText="1"/>
    </xf>
    <xf numFmtId="0" fontId="0" fillId="0" borderId="5" xfId="0" applyBorder="1" applyAlignment="1">
      <alignment vertical="top" wrapText="1"/>
    </xf>
    <xf numFmtId="0" fontId="4" fillId="18" borderId="5" xfId="0" applyFont="1" applyFill="1" applyBorder="1" applyAlignment="1">
      <alignment vertical="top" wrapText="1"/>
    </xf>
    <xf numFmtId="0" fontId="2" fillId="17" borderId="0" xfId="0" applyFont="1" applyFill="1"/>
    <xf numFmtId="0" fontId="2" fillId="17" borderId="0" xfId="0" applyFont="1" applyFill="1" applyAlignment="1">
      <alignment wrapText="1"/>
    </xf>
    <xf numFmtId="0" fontId="4" fillId="18" borderId="0" xfId="0" applyFont="1" applyFill="1" applyAlignment="1">
      <alignment wrapText="1"/>
    </xf>
    <xf numFmtId="0" fontId="0" fillId="0" borderId="1" xfId="0" applyBorder="1" applyAlignment="1">
      <alignment wrapText="1"/>
    </xf>
    <xf numFmtId="0" fontId="4" fillId="18" borderId="8" xfId="0" applyFont="1" applyFill="1" applyBorder="1"/>
    <xf numFmtId="0" fontId="0" fillId="0" borderId="8" xfId="0" applyBorder="1"/>
    <xf numFmtId="0" fontId="0" fillId="19" borderId="8" xfId="0" applyFill="1" applyBorder="1"/>
    <xf numFmtId="0" fontId="0" fillId="20" borderId="8" xfId="0" applyFill="1" applyBorder="1"/>
    <xf numFmtId="0" fontId="0" fillId="21" borderId="8" xfId="0" applyFill="1" applyBorder="1"/>
    <xf numFmtId="0" fontId="0" fillId="22" borderId="4" xfId="0" applyFill="1" applyBorder="1"/>
    <xf numFmtId="0" fontId="0" fillId="0" borderId="9" xfId="0" applyBorder="1"/>
    <xf numFmtId="0" fontId="0" fillId="0" borderId="3" xfId="0" applyBorder="1"/>
    <xf numFmtId="0" fontId="0" fillId="22" borderId="0" xfId="0" applyFill="1"/>
    <xf numFmtId="0" fontId="4" fillId="22" borderId="0" xfId="0" applyFont="1" applyFill="1"/>
    <xf numFmtId="0" fontId="4" fillId="24" borderId="0" xfId="0" applyFont="1" applyFill="1"/>
    <xf numFmtId="9" fontId="0" fillId="0" borderId="0" xfId="0" applyNumberFormat="1"/>
    <xf numFmtId="0" fontId="4" fillId="23" borderId="0" xfId="0" applyFont="1" applyFill="1"/>
    <xf numFmtId="0" fontId="4" fillId="25" borderId="0" xfId="0" applyFont="1" applyFill="1"/>
    <xf numFmtId="0" fontId="0" fillId="25" borderId="0" xfId="0" applyFill="1"/>
    <xf numFmtId="0" fontId="1" fillId="2" borderId="0" xfId="0" applyFont="1" applyFill="1" applyAlignment="1">
      <alignment horizontal="center"/>
    </xf>
    <xf numFmtId="0" fontId="1" fillId="26" borderId="0" xfId="0" applyFont="1" applyFill="1"/>
    <xf numFmtId="0" fontId="1" fillId="27" borderId="0" xfId="0" applyFont="1" applyFill="1"/>
    <xf numFmtId="0" fontId="1" fillId="28" borderId="0" xfId="0" applyFont="1" applyFill="1"/>
    <xf numFmtId="0" fontId="0" fillId="29" borderId="0" xfId="0" applyFill="1"/>
    <xf numFmtId="0" fontId="0" fillId="30" borderId="0" xfId="0" applyFill="1"/>
    <xf numFmtId="0" fontId="0" fillId="31" borderId="0" xfId="0" applyFill="1"/>
    <xf numFmtId="0" fontId="0" fillId="29" borderId="0" xfId="0" applyFill="1" applyAlignment="1">
      <alignment horizontal="center"/>
    </xf>
    <xf numFmtId="0" fontId="0" fillId="0" borderId="0" xfId="0" applyAlignment="1">
      <alignment horizontal="center"/>
    </xf>
    <xf numFmtId="0" fontId="1" fillId="3" borderId="0" xfId="0" applyFont="1" applyFill="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0" fillId="33" borderId="13" xfId="0" applyFill="1" applyBorder="1"/>
    <xf numFmtId="0" fontId="0" fillId="33" borderId="14" xfId="0" applyFill="1" applyBorder="1"/>
    <xf numFmtId="0" fontId="0" fillId="33" borderId="14" xfId="0" applyFill="1" applyBorder="1" applyAlignment="1">
      <alignment wrapText="1"/>
    </xf>
    <xf numFmtId="0" fontId="0" fillId="33" borderId="15" xfId="0" applyFill="1" applyBorder="1"/>
    <xf numFmtId="0" fontId="0" fillId="15" borderId="13" xfId="0" applyFill="1" applyBorder="1"/>
    <xf numFmtId="0" fontId="0" fillId="15" borderId="14" xfId="0" applyFill="1" applyBorder="1"/>
    <xf numFmtId="0" fontId="0" fillId="15" borderId="14" xfId="0" applyFill="1" applyBorder="1" applyAlignment="1">
      <alignment wrapText="1"/>
    </xf>
    <xf numFmtId="0" fontId="0" fillId="15" borderId="15" xfId="0" applyFill="1" applyBorder="1"/>
    <xf numFmtId="0" fontId="0" fillId="5" borderId="13" xfId="0" applyFill="1" applyBorder="1"/>
    <xf numFmtId="0" fontId="0" fillId="5" borderId="14" xfId="0" applyFill="1" applyBorder="1"/>
    <xf numFmtId="0" fontId="0" fillId="5" borderId="14" xfId="0" applyFill="1" applyBorder="1" applyAlignment="1">
      <alignment wrapText="1"/>
    </xf>
    <xf numFmtId="0" fontId="0" fillId="5" borderId="15" xfId="0" applyFill="1" applyBorder="1"/>
    <xf numFmtId="0" fontId="0" fillId="6" borderId="13" xfId="0" applyFill="1" applyBorder="1"/>
    <xf numFmtId="0" fontId="0" fillId="6" borderId="14" xfId="0" applyFill="1" applyBorder="1"/>
    <xf numFmtId="0" fontId="0" fillId="6" borderId="14" xfId="0" applyFill="1" applyBorder="1" applyAlignment="1">
      <alignment wrapText="1"/>
    </xf>
    <xf numFmtId="0" fontId="0" fillId="6" borderId="15" xfId="0" applyFill="1" applyBorder="1"/>
    <xf numFmtId="0" fontId="0" fillId="7" borderId="13" xfId="0" applyFill="1" applyBorder="1"/>
    <xf numFmtId="0" fontId="0" fillId="7" borderId="14" xfId="0" applyFill="1" applyBorder="1"/>
    <xf numFmtId="0" fontId="0" fillId="7" borderId="14" xfId="0" applyFill="1" applyBorder="1" applyAlignment="1">
      <alignment wrapText="1"/>
    </xf>
    <xf numFmtId="0" fontId="0" fillId="7" borderId="15" xfId="0" applyFill="1" applyBorder="1"/>
    <xf numFmtId="0" fontId="0" fillId="10" borderId="13" xfId="0" applyFill="1" applyBorder="1"/>
    <xf numFmtId="0" fontId="0" fillId="10" borderId="14" xfId="0" applyFill="1" applyBorder="1"/>
    <xf numFmtId="0" fontId="0" fillId="10" borderId="14" xfId="0" applyFill="1" applyBorder="1" applyAlignment="1">
      <alignment wrapText="1"/>
    </xf>
    <xf numFmtId="0" fontId="0" fillId="10" borderId="15" xfId="0" applyFill="1" applyBorder="1"/>
    <xf numFmtId="0" fontId="0" fillId="10" borderId="16" xfId="0" applyFill="1" applyBorder="1"/>
    <xf numFmtId="0" fontId="0" fillId="10" borderId="17" xfId="0" applyFill="1" applyBorder="1"/>
    <xf numFmtId="0" fontId="0" fillId="10" borderId="17" xfId="0" applyFill="1" applyBorder="1" applyAlignment="1">
      <alignment wrapText="1"/>
    </xf>
    <xf numFmtId="0" fontId="0" fillId="10" borderId="18" xfId="0" applyFill="1" applyBorder="1"/>
    <xf numFmtId="49" fontId="0" fillId="0" borderId="0" xfId="0" applyNumberFormat="1"/>
    <xf numFmtId="0" fontId="9" fillId="34" borderId="0" xfId="0" applyFont="1" applyFill="1" applyAlignment="1">
      <alignment horizontal="left" vertical="top" wrapText="1"/>
    </xf>
    <xf numFmtId="0" fontId="3" fillId="3" borderId="0" xfId="0" applyFont="1" applyFill="1"/>
    <xf numFmtId="0" fontId="4" fillId="35" borderId="0" xfId="0" applyFont="1" applyFill="1"/>
    <xf numFmtId="0" fontId="4" fillId="36" borderId="0" xfId="0" applyFont="1" applyFill="1"/>
    <xf numFmtId="0" fontId="0" fillId="34" borderId="0" xfId="0" applyFill="1"/>
    <xf numFmtId="0" fontId="4" fillId="34" borderId="0" xfId="0" applyFont="1" applyFill="1"/>
    <xf numFmtId="0" fontId="0" fillId="37" borderId="0" xfId="0" applyFill="1"/>
    <xf numFmtId="0" fontId="0" fillId="32"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0" fillId="30" borderId="22" xfId="0" applyFill="1" applyBorder="1"/>
    <xf numFmtId="0" fontId="0" fillId="30" borderId="23" xfId="0" applyFill="1" applyBorder="1"/>
    <xf numFmtId="0" fontId="0" fillId="30" borderId="24" xfId="0" applyFill="1" applyBorder="1"/>
    <xf numFmtId="0" fontId="0" fillId="37" borderId="22" xfId="0" applyFill="1" applyBorder="1"/>
    <xf numFmtId="0" fontId="0" fillId="37" borderId="23" xfId="0" applyFill="1" applyBorder="1"/>
    <xf numFmtId="0" fontId="0" fillId="37" borderId="24" xfId="0" applyFill="1" applyBorder="1"/>
    <xf numFmtId="0" fontId="0" fillId="31" borderId="22" xfId="0" applyFill="1" applyBorder="1"/>
    <xf numFmtId="0" fontId="0" fillId="31" borderId="23" xfId="0" applyFill="1" applyBorder="1"/>
    <xf numFmtId="0" fontId="0" fillId="31" borderId="24" xfId="0" applyFill="1" applyBorder="1"/>
    <xf numFmtId="0" fontId="0" fillId="25" borderId="22" xfId="0" applyFill="1" applyBorder="1"/>
    <xf numFmtId="0" fontId="0" fillId="25" borderId="23" xfId="0" applyFill="1" applyBorder="1"/>
    <xf numFmtId="0" fontId="0" fillId="25" borderId="24" xfId="0" applyFill="1" applyBorder="1"/>
    <xf numFmtId="0" fontId="0" fillId="32" borderId="22" xfId="0" applyFill="1" applyBorder="1"/>
    <xf numFmtId="0" fontId="0" fillId="32" borderId="23" xfId="0" applyFill="1" applyBorder="1"/>
    <xf numFmtId="0" fontId="0" fillId="32" borderId="24" xfId="0" applyFill="1" applyBorder="1"/>
    <xf numFmtId="0" fontId="0" fillId="38" borderId="22" xfId="0" applyFill="1" applyBorder="1"/>
    <xf numFmtId="0" fontId="0" fillId="38" borderId="23" xfId="0" applyFill="1" applyBorder="1"/>
    <xf numFmtId="0" fontId="0" fillId="38" borderId="24" xfId="0" applyFill="1" applyBorder="1"/>
    <xf numFmtId="0" fontId="0" fillId="39" borderId="22" xfId="0" applyFill="1" applyBorder="1"/>
    <xf numFmtId="0" fontId="0" fillId="39" borderId="23" xfId="0" applyFill="1" applyBorder="1"/>
    <xf numFmtId="0" fontId="0" fillId="39" borderId="24" xfId="0" applyFill="1" applyBorder="1"/>
    <xf numFmtId="0" fontId="0" fillId="40" borderId="22" xfId="0" applyFill="1" applyBorder="1"/>
    <xf numFmtId="0" fontId="0" fillId="40" borderId="23" xfId="0" applyFill="1" applyBorder="1"/>
    <xf numFmtId="0" fontId="0" fillId="40" borderId="24" xfId="0" applyFill="1" applyBorder="1"/>
    <xf numFmtId="0" fontId="0" fillId="34" borderId="22" xfId="0" applyFill="1" applyBorder="1"/>
    <xf numFmtId="0" fontId="0" fillId="34" borderId="23" xfId="0" applyFill="1" applyBorder="1"/>
    <xf numFmtId="0" fontId="0" fillId="34" borderId="24" xfId="0" applyFill="1" applyBorder="1"/>
    <xf numFmtId="0" fontId="0" fillId="34" borderId="25" xfId="0" applyFill="1" applyBorder="1"/>
    <xf numFmtId="0" fontId="0" fillId="34" borderId="26" xfId="0" applyFill="1" applyBorder="1"/>
    <xf numFmtId="0" fontId="0" fillId="34" borderId="27" xfId="0" applyFill="1" applyBorder="1"/>
    <xf numFmtId="0" fontId="1" fillId="2" borderId="20" xfId="0" applyFont="1" applyFill="1" applyBorder="1" applyAlignment="1">
      <alignment horizontal="center" wrapText="1"/>
    </xf>
    <xf numFmtId="0" fontId="0" fillId="30" borderId="23" xfId="0" applyFill="1" applyBorder="1" applyAlignment="1">
      <alignment wrapText="1"/>
    </xf>
    <xf numFmtId="0" fontId="0" fillId="37" borderId="23" xfId="0" applyFill="1" applyBorder="1" applyAlignment="1">
      <alignment wrapText="1"/>
    </xf>
    <xf numFmtId="0" fontId="0" fillId="31" borderId="23" xfId="0" applyFill="1" applyBorder="1" applyAlignment="1">
      <alignment wrapText="1"/>
    </xf>
    <xf numFmtId="0" fontId="0" fillId="25" borderId="23" xfId="0" applyFill="1" applyBorder="1" applyAlignment="1">
      <alignment wrapText="1"/>
    </xf>
    <xf numFmtId="0" fontId="0" fillId="32" borderId="23" xfId="0" applyFill="1" applyBorder="1" applyAlignment="1">
      <alignment wrapText="1"/>
    </xf>
    <xf numFmtId="0" fontId="0" fillId="38" borderId="23" xfId="0" applyFill="1" applyBorder="1" applyAlignment="1">
      <alignment wrapText="1"/>
    </xf>
    <xf numFmtId="0" fontId="0" fillId="39" borderId="23" xfId="0" applyFill="1" applyBorder="1" applyAlignment="1">
      <alignment wrapText="1"/>
    </xf>
    <xf numFmtId="0" fontId="0" fillId="40" borderId="23" xfId="0" applyFill="1" applyBorder="1" applyAlignment="1">
      <alignment wrapText="1"/>
    </xf>
    <xf numFmtId="0" fontId="0" fillId="34" borderId="23" xfId="0" applyFill="1" applyBorder="1" applyAlignment="1">
      <alignment wrapText="1"/>
    </xf>
    <xf numFmtId="0" fontId="0" fillId="34" borderId="26" xfId="0" applyFill="1" applyBorder="1" applyAlignment="1">
      <alignment wrapText="1"/>
    </xf>
    <xf numFmtId="9" fontId="4" fillId="0" borderId="0" xfId="0" applyNumberFormat="1" applyFont="1"/>
    <xf numFmtId="0" fontId="4" fillId="43" borderId="0" xfId="0" applyFont="1" applyFill="1"/>
    <xf numFmtId="0" fontId="4" fillId="41" borderId="0" xfId="0" applyFont="1" applyFill="1"/>
    <xf numFmtId="0" fontId="4" fillId="44" borderId="0" xfId="0" applyFont="1" applyFill="1"/>
    <xf numFmtId="0" fontId="4" fillId="45" borderId="0" xfId="0" applyFont="1" applyFill="1"/>
    <xf numFmtId="0" fontId="5" fillId="34" borderId="0" xfId="0" applyFont="1" applyFill="1"/>
    <xf numFmtId="0" fontId="0" fillId="30" borderId="0" xfId="0" applyFill="1" applyAlignment="1">
      <alignment wrapText="1"/>
    </xf>
    <xf numFmtId="0" fontId="5" fillId="31" borderId="0" xfId="0" applyFont="1" applyFill="1"/>
    <xf numFmtId="0" fontId="0" fillId="46" borderId="0" xfId="0" applyFill="1"/>
    <xf numFmtId="0" fontId="0" fillId="47" borderId="0" xfId="0" applyFill="1"/>
    <xf numFmtId="0" fontId="5" fillId="42" borderId="0" xfId="0" applyFont="1" applyFill="1"/>
    <xf numFmtId="0" fontId="3" fillId="2" borderId="0" xfId="0" applyFont="1" applyFill="1"/>
    <xf numFmtId="0" fontId="10" fillId="2" borderId="0" xfId="0" applyFont="1" applyFill="1" applyAlignment="1">
      <alignment vertical="top" wrapText="1"/>
    </xf>
    <xf numFmtId="0" fontId="0" fillId="0" borderId="0" xfId="0" applyAlignment="1">
      <alignment vertical="top" wrapText="1"/>
    </xf>
    <xf numFmtId="0" fontId="11" fillId="48" borderId="0" xfId="0" applyFont="1" applyFill="1" applyAlignment="1">
      <alignment vertical="top" wrapText="1"/>
    </xf>
    <xf numFmtId="0" fontId="11" fillId="49" borderId="0" xfId="0" applyFont="1" applyFill="1" applyAlignment="1">
      <alignment vertical="top" wrapText="1"/>
    </xf>
    <xf numFmtId="0" fontId="11" fillId="31" borderId="0" xfId="0" applyFont="1" applyFill="1" applyAlignment="1">
      <alignment vertical="top" wrapText="1"/>
    </xf>
    <xf numFmtId="0" fontId="10" fillId="2" borderId="0" xfId="0" applyFont="1" applyFill="1" applyAlignment="1">
      <alignment horizontal="center" vertical="top" wrapText="1"/>
    </xf>
    <xf numFmtId="0" fontId="10" fillId="2" borderId="28" xfId="0" applyFont="1" applyFill="1" applyBorder="1" applyAlignment="1">
      <alignment horizontal="center" vertical="top" wrapText="1"/>
    </xf>
    <xf numFmtId="0" fontId="11" fillId="48" borderId="28" xfId="0" applyFont="1" applyFill="1" applyBorder="1" applyAlignment="1">
      <alignment vertical="top" wrapText="1"/>
    </xf>
    <xf numFmtId="0" fontId="11" fillId="31" borderId="28" xfId="0" applyFont="1" applyFill="1" applyBorder="1" applyAlignment="1">
      <alignment vertical="top" wrapText="1"/>
    </xf>
    <xf numFmtId="0" fontId="11" fillId="49" borderId="28" xfId="0" applyFont="1" applyFill="1" applyBorder="1" applyAlignment="1">
      <alignment vertical="top" wrapText="1"/>
    </xf>
    <xf numFmtId="0" fontId="11" fillId="50" borderId="0" xfId="0" applyFont="1" applyFill="1" applyAlignment="1">
      <alignment vertical="top" wrapText="1"/>
    </xf>
    <xf numFmtId="0" fontId="10" fillId="2" borderId="29" xfId="0" applyFont="1" applyFill="1" applyBorder="1" applyAlignment="1">
      <alignment horizontal="center" vertical="top" wrapText="1"/>
    </xf>
    <xf numFmtId="0" fontId="11" fillId="48" borderId="29" xfId="0" applyFont="1" applyFill="1" applyBorder="1" applyAlignment="1">
      <alignment vertical="top" wrapText="1"/>
    </xf>
    <xf numFmtId="0" fontId="11" fillId="49" borderId="29" xfId="0" applyFont="1" applyFill="1" applyBorder="1" applyAlignment="1">
      <alignment vertical="top" wrapText="1"/>
    </xf>
    <xf numFmtId="0" fontId="11" fillId="31" borderId="29" xfId="0" applyFont="1" applyFill="1" applyBorder="1" applyAlignment="1">
      <alignment vertical="top" wrapText="1"/>
    </xf>
    <xf numFmtId="0" fontId="13" fillId="27" borderId="0" xfId="0" applyFont="1" applyFill="1"/>
    <xf numFmtId="0" fontId="16" fillId="0" borderId="0" xfId="0" applyFont="1"/>
    <xf numFmtId="0" fontId="14" fillId="0" borderId="0" xfId="0" applyFont="1" applyAlignment="1">
      <alignment wrapText="1"/>
    </xf>
    <xf numFmtId="0" fontId="15" fillId="25" borderId="0" xfId="0" applyFont="1" applyFill="1" applyAlignment="1">
      <alignment wrapText="1"/>
    </xf>
    <xf numFmtId="0" fontId="12" fillId="2" borderId="5" xfId="0" applyFont="1" applyFill="1" applyBorder="1"/>
    <xf numFmtId="0" fontId="0" fillId="50" borderId="5" xfId="0" applyFill="1" applyBorder="1" applyAlignment="1">
      <alignment vertical="top" wrapText="1"/>
    </xf>
    <xf numFmtId="0" fontId="12" fillId="2" borderId="0" xfId="0" applyFont="1" applyFill="1" applyAlignment="1">
      <alignment vertical="top" wrapText="1"/>
    </xf>
    <xf numFmtId="0" fontId="2" fillId="2" borderId="8" xfId="0" applyFont="1" applyFill="1" applyBorder="1"/>
    <xf numFmtId="0" fontId="2" fillId="2" borderId="0" xfId="0" applyFont="1" applyFill="1"/>
    <xf numFmtId="0" fontId="2" fillId="2" borderId="9" xfId="0" applyFont="1" applyFill="1" applyBorder="1"/>
    <xf numFmtId="0" fontId="0" fillId="0" borderId="30" xfId="0" applyBorder="1" applyAlignment="1">
      <alignment vertical="top" wrapText="1"/>
    </xf>
    <xf numFmtId="0" fontId="0" fillId="50" borderId="30" xfId="0" applyFill="1" applyBorder="1" applyAlignment="1">
      <alignment vertical="top" wrapText="1"/>
    </xf>
    <xf numFmtId="0" fontId="0" fillId="34" borderId="0" xfId="0" applyFill="1" applyAlignment="1">
      <alignment wrapText="1"/>
    </xf>
    <xf numFmtId="0" fontId="0" fillId="0" borderId="0" xfId="0" applyAlignment="1">
      <alignment vertical="top"/>
    </xf>
    <xf numFmtId="0" fontId="19" fillId="0" borderId="0" xfId="0" applyFont="1" applyAlignment="1">
      <alignment vertical="top"/>
    </xf>
    <xf numFmtId="0" fontId="0" fillId="0" borderId="0" xfId="0" applyAlignment="1">
      <alignment horizontal="center" vertical="top"/>
    </xf>
    <xf numFmtId="1" fontId="0" fillId="0" borderId="0" xfId="0" applyNumberFormat="1"/>
    <xf numFmtId="1" fontId="0" fillId="0" borderId="1" xfId="0" applyNumberFormat="1" applyBorder="1"/>
    <xf numFmtId="0" fontId="0" fillId="50" borderId="0" xfId="0" applyFill="1" applyAlignment="1">
      <alignment vertical="top" wrapText="1"/>
    </xf>
    <xf numFmtId="0" fontId="12" fillId="53" borderId="0" xfId="0" applyFont="1" applyFill="1" applyAlignment="1">
      <alignment vertical="top" wrapText="1"/>
    </xf>
    <xf numFmtId="0" fontId="0" fillId="37" borderId="0" xfId="0" applyFill="1" applyAlignment="1">
      <alignment vertical="top" wrapText="1"/>
    </xf>
    <xf numFmtId="0" fontId="0" fillId="25" borderId="0" xfId="0" applyFill="1" applyAlignment="1">
      <alignment vertical="top" wrapText="1"/>
    </xf>
    <xf numFmtId="0" fontId="2" fillId="2" borderId="0" xfId="0" applyFont="1" applyFill="1" applyAlignment="1">
      <alignment wrapText="1"/>
    </xf>
    <xf numFmtId="0" fontId="4" fillId="24" borderId="0" xfId="0" applyFont="1" applyFill="1" applyAlignment="1">
      <alignment wrapText="1"/>
    </xf>
    <xf numFmtId="0" fontId="21" fillId="0" borderId="0" xfId="0" applyFont="1"/>
    <xf numFmtId="0" fontId="4" fillId="18" borderId="30" xfId="0" applyFont="1" applyFill="1" applyBorder="1" applyAlignment="1">
      <alignment vertical="top" wrapText="1"/>
    </xf>
    <xf numFmtId="0" fontId="0" fillId="0" borderId="8" xfId="0" applyBorder="1" applyAlignment="1">
      <alignment vertical="top" wrapText="1"/>
    </xf>
    <xf numFmtId="0" fontId="0" fillId="31" borderId="0" xfId="0" applyFill="1" applyAlignment="1">
      <alignment vertical="top" wrapText="1"/>
    </xf>
    <xf numFmtId="0" fontId="0" fillId="30" borderId="0" xfId="0" applyFill="1" applyAlignment="1">
      <alignment vertical="top" wrapText="1"/>
    </xf>
    <xf numFmtId="0" fontId="0" fillId="0" borderId="0" xfId="0" quotePrefix="1" applyAlignment="1">
      <alignment vertical="top" wrapText="1"/>
    </xf>
    <xf numFmtId="0" fontId="7" fillId="0" borderId="0" xfId="0" applyFont="1"/>
    <xf numFmtId="0" fontId="5" fillId="0" borderId="0" xfId="0" applyFont="1"/>
    <xf numFmtId="0" fontId="7" fillId="0" borderId="0" xfId="0" applyFont="1"/>
    <xf numFmtId="0" fontId="8" fillId="23" borderId="0" xfId="0" applyFont="1" applyFill="1"/>
    <xf numFmtId="0" fontId="22" fillId="54" borderId="0" xfId="0" applyFont="1" applyFill="1" applyAlignment="1">
      <alignment vertical="top" wrapText="1"/>
    </xf>
    <xf numFmtId="0" fontId="20" fillId="0" borderId="0" xfId="0" applyFont="1" applyAlignment="1">
      <alignment vertical="top" wrapText="1"/>
    </xf>
    <xf numFmtId="0" fontId="13" fillId="3" borderId="0" xfId="0" applyFont="1" applyFill="1" applyAlignment="1">
      <alignment vertical="top" wrapText="1"/>
    </xf>
    <xf numFmtId="0" fontId="8" fillId="23" borderId="2" xfId="0" applyFont="1" applyFill="1" applyBorder="1"/>
    <xf numFmtId="0" fontId="6" fillId="17" borderId="0" xfId="0" applyFont="1" applyFill="1" applyAlignment="1">
      <alignment horizontal="center"/>
    </xf>
    <xf numFmtId="0" fontId="7" fillId="0" borderId="0" xfId="0" applyFont="1" applyAlignment="1">
      <alignment horizontal="center"/>
    </xf>
    <xf numFmtId="0" fontId="2" fillId="2" borderId="7" xfId="0" applyFont="1" applyFill="1" applyBorder="1"/>
    <xf numFmtId="0" fontId="2" fillId="2" borderId="2" xfId="0" applyFont="1" applyFill="1" applyBorder="1"/>
    <xf numFmtId="0" fontId="2" fillId="2" borderId="6" xfId="0" applyFont="1" applyFill="1" applyBorder="1"/>
    <xf numFmtId="0" fontId="2" fillId="2" borderId="8" xfId="0" applyFont="1" applyFill="1" applyBorder="1"/>
    <xf numFmtId="0" fontId="2" fillId="2" borderId="0" xfId="0" applyFont="1" applyFill="1"/>
    <xf numFmtId="0" fontId="2" fillId="2" borderId="9" xfId="0" applyFont="1" applyFill="1" applyBorder="1"/>
    <xf numFmtId="0" fontId="3" fillId="16" borderId="0" xfId="0" applyFont="1" applyFill="1"/>
    <xf numFmtId="0" fontId="17" fillId="51" borderId="0" xfId="0" applyFont="1" applyFill="1"/>
    <xf numFmtId="0" fontId="18" fillId="52" borderId="0" xfId="0" applyFont="1" applyFill="1" applyAlignment="1">
      <alignment wrapText="1"/>
    </xf>
    <xf numFmtId="0" fontId="1" fillId="2" borderId="0" xfId="0" applyFont="1" applyFill="1"/>
    <xf numFmtId="0" fontId="1" fillId="17" borderId="5" xfId="0" applyFont="1" applyFill="1" applyBorder="1" applyAlignment="1">
      <alignment vertical="top" wrapText="1"/>
    </xf>
    <xf numFmtId="0" fontId="6" fillId="3" borderId="0" xfId="0" applyFont="1" applyFill="1"/>
    <xf numFmtId="0" fontId="0" fillId="0" borderId="0" xfId="0"/>
    <xf numFmtId="0" fontId="1" fillId="16" borderId="0" xfId="0" applyFont="1" applyFill="1"/>
    <xf numFmtId="0" fontId="4" fillId="18" borderId="0" xfId="0" applyFont="1" applyFill="1"/>
    <xf numFmtId="0" fontId="0" fillId="30" borderId="5" xfId="0" applyFill="1" applyBorder="1"/>
    <xf numFmtId="0" fontId="0" fillId="31" borderId="5" xfId="0" applyFill="1" applyBorder="1"/>
    <xf numFmtId="0" fontId="0" fillId="0" borderId="5" xfId="0" applyBorder="1"/>
    <xf numFmtId="0" fontId="23" fillId="0" borderId="0" xfId="0" applyFont="1"/>
    <xf numFmtId="0" fontId="23" fillId="0" borderId="0" xfId="0" applyFont="1"/>
    <xf numFmtId="0" fontId="0" fillId="30" borderId="0" xfId="0" applyFill="1" applyAlignment="1">
      <alignment vertical="top"/>
    </xf>
    <xf numFmtId="0" fontId="0" fillId="55" borderId="0" xfId="0" applyFill="1" applyAlignment="1">
      <alignment vertical="top"/>
    </xf>
    <xf numFmtId="0" fontId="0" fillId="55" borderId="0" xfId="0" applyFill="1" applyAlignment="1">
      <alignment vertical="top" wrapText="1"/>
    </xf>
    <xf numFmtId="0" fontId="0" fillId="31" borderId="0" xfId="0" applyFill="1" applyAlignment="1">
      <alignment vertical="top"/>
    </xf>
    <xf numFmtId="0" fontId="0" fillId="56" borderId="0" xfId="0" applyFill="1" applyAlignment="1">
      <alignment vertical="top"/>
    </xf>
    <xf numFmtId="0" fontId="0" fillId="56" borderId="0" xfId="0" applyFill="1" applyAlignment="1">
      <alignment vertical="top" wrapText="1"/>
    </xf>
    <xf numFmtId="0" fontId="0" fillId="25" borderId="0" xfId="0" applyFill="1" applyAlignment="1">
      <alignment vertical="top"/>
    </xf>
    <xf numFmtId="0" fontId="0" fillId="57" borderId="0" xfId="0" applyFill="1" applyAlignment="1">
      <alignment vertical="top"/>
    </xf>
    <xf numFmtId="0" fontId="0" fillId="57" borderId="0" xfId="0" applyFill="1" applyAlignment="1">
      <alignment vertical="top" wrapText="1"/>
    </xf>
    <xf numFmtId="0" fontId="6" fillId="3" borderId="0" xfId="0" applyFont="1" applyFill="1" applyAlignment="1">
      <alignment vertical="top" wrapText="1"/>
    </xf>
    <xf numFmtId="0" fontId="24" fillId="0" borderId="0" xfId="0" applyFont="1" applyAlignment="1">
      <alignment vertical="top" wrapText="1"/>
    </xf>
    <xf numFmtId="0" fontId="2" fillId="58" borderId="0" xfId="0" applyFont="1" applyFill="1" applyAlignment="1">
      <alignment vertical="top" wrapText="1"/>
    </xf>
    <xf numFmtId="0" fontId="0" fillId="0" borderId="0" xfId="0" applyAlignment="1">
      <alignment vertical="top" wrapText="1"/>
    </xf>
    <xf numFmtId="0" fontId="1" fillId="59" borderId="0" xfId="0" applyFont="1" applyFill="1" applyAlignment="1">
      <alignment horizontal="center" vertical="top" wrapText="1"/>
    </xf>
    <xf numFmtId="0" fontId="4" fillId="15" borderId="0" xfId="0" applyFont="1" applyFill="1" applyAlignment="1">
      <alignment vertical="top" wrapText="1"/>
    </xf>
    <xf numFmtId="0" fontId="1" fillId="27" borderId="0" xfId="0" applyFont="1" applyFill="1" applyAlignment="1">
      <alignment horizontal="center" vertical="top" wrapText="1"/>
    </xf>
    <xf numFmtId="0" fontId="4" fillId="60" borderId="0" xfId="0" applyFont="1" applyFill="1" applyAlignment="1">
      <alignment vertical="top" wrapText="1"/>
    </xf>
    <xf numFmtId="0" fontId="0" fillId="60" borderId="0" xfId="0" applyFill="1" applyAlignment="1">
      <alignment vertical="top" wrapText="1"/>
    </xf>
    <xf numFmtId="0" fontId="4" fillId="61" borderId="0" xfId="0" applyFont="1" applyFill="1" applyAlignment="1">
      <alignment vertical="top" wrapText="1"/>
    </xf>
    <xf numFmtId="0" fontId="1" fillId="62" borderId="0" xfId="0" applyFont="1" applyFill="1" applyAlignment="1">
      <alignment vertical="top" wrapText="1"/>
    </xf>
    <xf numFmtId="0" fontId="4" fillId="56" borderId="0" xfId="0" applyFont="1" applyFill="1" applyAlignment="1">
      <alignment vertical="top" wrapText="1"/>
    </xf>
    <xf numFmtId="0" fontId="4" fillId="0" borderId="0" xfId="0" applyFont="1" applyAlignment="1">
      <alignment vertical="top" wrapText="1"/>
    </xf>
    <xf numFmtId="0" fontId="4" fillId="0" borderId="0" xfId="0" applyFont="1" applyAlignment="1">
      <alignment vertical="top" wrapText="1"/>
    </xf>
    <xf numFmtId="0" fontId="0" fillId="61" borderId="0" xfId="0" applyFill="1" applyAlignment="1">
      <alignment vertical="top" wrapText="1"/>
    </xf>
    <xf numFmtId="0" fontId="25" fillId="0" borderId="0" xfId="0" applyFont="1" applyAlignment="1">
      <alignment vertical="top" wrapText="1"/>
    </xf>
    <xf numFmtId="0" fontId="4" fillId="32" borderId="0" xfId="0" applyFont="1" applyFill="1"/>
    <xf numFmtId="0" fontId="4" fillId="32" borderId="5" xfId="0" applyFont="1" applyFill="1" applyBorder="1"/>
    <xf numFmtId="9" fontId="0" fillId="31" borderId="5" xfId="0" applyNumberFormat="1" applyFill="1" applyBorder="1" applyAlignment="1">
      <alignment horizontal="center"/>
    </xf>
    <xf numFmtId="0" fontId="0" fillId="43" borderId="5" xfId="0" applyFill="1" applyBorder="1"/>
    <xf numFmtId="9" fontId="0" fillId="43" borderId="5" xfId="0" applyNumberFormat="1" applyFill="1" applyBorder="1" applyAlignment="1">
      <alignment horizontal="center"/>
    </xf>
    <xf numFmtId="0" fontId="0" fillId="63" borderId="5" xfId="0" applyFill="1" applyBorder="1"/>
    <xf numFmtId="9" fontId="0" fillId="63" borderId="5" xfId="0" applyNumberFormat="1" applyFill="1" applyBorder="1" applyAlignment="1">
      <alignment horizontal="center"/>
    </xf>
    <xf numFmtId="9" fontId="0" fillId="30" borderId="5" xfId="0" applyNumberFormat="1" applyFill="1" applyBorder="1" applyAlignment="1">
      <alignment horizontal="center"/>
    </xf>
    <xf numFmtId="0" fontId="0" fillId="37" borderId="5" xfId="0" applyFill="1" applyBorder="1"/>
    <xf numFmtId="9" fontId="0" fillId="37" borderId="5" xfId="0" applyNumberFormat="1" applyFill="1" applyBorder="1" applyAlignment="1">
      <alignment horizontal="center"/>
    </xf>
    <xf numFmtId="0" fontId="0" fillId="64" borderId="5" xfId="0" applyFill="1" applyBorder="1"/>
    <xf numFmtId="9" fontId="0" fillId="64" borderId="5" xfId="0" applyNumberFormat="1" applyFill="1" applyBorder="1" applyAlignment="1">
      <alignment horizontal="center"/>
    </xf>
    <xf numFmtId="0" fontId="0" fillId="36" borderId="5" xfId="0" applyFill="1" applyBorder="1"/>
    <xf numFmtId="9" fontId="0" fillId="36" borderId="5" xfId="0" applyNumberFormat="1" applyFill="1" applyBorder="1" applyAlignment="1">
      <alignment horizontal="center"/>
    </xf>
    <xf numFmtId="0" fontId="0" fillId="65" borderId="5" xfId="0" applyFill="1" applyBorder="1"/>
    <xf numFmtId="9" fontId="0" fillId="65" borderId="5" xfId="0" applyNumberFormat="1" applyFill="1" applyBorder="1" applyAlignment="1">
      <alignment horizontal="center"/>
    </xf>
    <xf numFmtId="0" fontId="0" fillId="50" borderId="5" xfId="0" applyFill="1" applyBorder="1"/>
    <xf numFmtId="9" fontId="0" fillId="50" borderId="5" xfId="0" applyNumberFormat="1" applyFill="1" applyBorder="1" applyAlignment="1">
      <alignment horizontal="center"/>
    </xf>
    <xf numFmtId="0" fontId="0" fillId="35" borderId="5" xfId="0" applyFill="1" applyBorder="1"/>
    <xf numFmtId="9" fontId="0" fillId="35" borderId="5" xfId="0" applyNumberFormat="1" applyFill="1" applyBorder="1" applyAlignment="1">
      <alignment horizontal="center"/>
    </xf>
    <xf numFmtId="0" fontId="28" fillId="0" borderId="0" xfId="0" applyFont="1"/>
    <xf numFmtId="0" fontId="27" fillId="0" borderId="0" xfId="0" applyFont="1"/>
    <xf numFmtId="0" fontId="17" fillId="3" borderId="0" xfId="0" applyFont="1" applyFill="1" applyAlignment="1">
      <alignment horizontal="left" vertical="center"/>
    </xf>
    <xf numFmtId="0" fontId="31" fillId="3" borderId="0" xfId="0" applyFont="1" applyFill="1" applyAlignment="1">
      <alignment horizontal="left" vertical="center"/>
    </xf>
    <xf numFmtId="0" fontId="6" fillId="3" borderId="0" xfId="0" applyFont="1" applyFill="1" applyAlignment="1">
      <alignment horizontal="left" vertical="center"/>
    </xf>
    <xf numFmtId="0" fontId="32" fillId="3" borderId="0" xfId="0" applyFont="1" applyFill="1" applyAlignment="1">
      <alignment horizontal="left" vertical="center"/>
    </xf>
    <xf numFmtId="0" fontId="33" fillId="3" borderId="0" xfId="0" applyFont="1" applyFill="1" applyAlignment="1">
      <alignment horizontal="left" vertical="center"/>
    </xf>
    <xf numFmtId="0" fontId="1" fillId="16" borderId="0" xfId="0" applyFont="1" applyFill="1" applyAlignment="1">
      <alignment vertical="top" wrapText="1"/>
    </xf>
    <xf numFmtId="0" fontId="4" fillId="32" borderId="0" xfId="0" applyFont="1" applyFill="1" applyAlignment="1">
      <alignment vertical="top" wrapText="1"/>
    </xf>
    <xf numFmtId="0" fontId="34" fillId="35" borderId="0" xfId="0" applyFont="1" applyFill="1" applyAlignment="1">
      <alignment vertical="top" wrapText="1"/>
    </xf>
    <xf numFmtId="49" fontId="0" fillId="0" borderId="0" xfId="0" applyNumberFormat="1" applyAlignment="1">
      <alignment vertical="top" wrapText="1"/>
    </xf>
    <xf numFmtId="9" fontId="0" fillId="0" borderId="0" xfId="0" applyNumberFormat="1" applyAlignment="1">
      <alignment vertical="top" wrapText="1"/>
    </xf>
    <xf numFmtId="9" fontId="4" fillId="0" borderId="0" xfId="0" applyNumberFormat="1" applyFont="1" applyAlignment="1">
      <alignment vertical="top" wrapText="1"/>
    </xf>
    <xf numFmtId="0" fontId="30" fillId="0" borderId="0" xfId="0" applyFont="1" applyAlignment="1">
      <alignment vertical="top" wrapText="1"/>
    </xf>
    <xf numFmtId="0" fontId="3" fillId="3" borderId="0" xfId="0" applyFont="1" applyFill="1" applyAlignment="1">
      <alignment horizontal="center"/>
    </xf>
    <xf numFmtId="0" fontId="2" fillId="3" borderId="5" xfId="0" applyFont="1" applyFill="1" applyBorder="1" applyAlignment="1">
      <alignment horizontal="center"/>
    </xf>
    <xf numFmtId="0" fontId="3" fillId="3" borderId="5" xfId="0" applyFont="1" applyFill="1" applyBorder="1" applyAlignment="1">
      <alignment horizontal="center"/>
    </xf>
    <xf numFmtId="0" fontId="7" fillId="66" borderId="0" xfId="0" applyFont="1" applyFill="1"/>
    <xf numFmtId="0" fontId="29" fillId="64" borderId="5" xfId="0" applyFont="1" applyFill="1" applyBorder="1"/>
    <xf numFmtId="0" fontId="1" fillId="16" borderId="5" xfId="0" applyFont="1" applyFill="1" applyBorder="1"/>
    <xf numFmtId="0" fontId="12" fillId="27" borderId="5" xfId="0" applyFont="1" applyFill="1" applyBorder="1"/>
    <xf numFmtId="0" fontId="1" fillId="27" borderId="5" xfId="0" applyFont="1" applyFill="1" applyBorder="1"/>
    <xf numFmtId="0" fontId="4" fillId="35" borderId="31" xfId="0" applyFont="1" applyFill="1" applyBorder="1" applyAlignment="1">
      <alignment vertical="center"/>
    </xf>
    <xf numFmtId="164" fontId="0" fillId="35" borderId="5" xfId="0" applyNumberFormat="1" applyFill="1" applyBorder="1"/>
    <xf numFmtId="0" fontId="4" fillId="65" borderId="5" xfId="0" applyFont="1" applyFill="1" applyBorder="1"/>
    <xf numFmtId="0" fontId="4" fillId="35" borderId="30" xfId="0" applyFont="1" applyFill="1" applyBorder="1" applyAlignment="1">
      <alignment vertical="center"/>
    </xf>
    <xf numFmtId="0" fontId="0" fillId="49" borderId="5" xfId="0" applyFill="1" applyBorder="1"/>
    <xf numFmtId="0" fontId="0" fillId="48" borderId="5" xfId="0" applyFill="1" applyBorder="1"/>
    <xf numFmtId="0" fontId="4" fillId="35" borderId="32" xfId="0" applyFont="1" applyFill="1" applyBorder="1" applyAlignment="1">
      <alignment vertical="center"/>
    </xf>
    <xf numFmtId="0" fontId="4" fillId="50" borderId="31" xfId="0" applyFont="1" applyFill="1" applyBorder="1" applyAlignment="1">
      <alignment vertical="center"/>
    </xf>
    <xf numFmtId="164" fontId="0" fillId="50" borderId="5" xfId="0" applyNumberFormat="1" applyFill="1" applyBorder="1"/>
    <xf numFmtId="0" fontId="4" fillId="0" borderId="5" xfId="0" applyFont="1" applyBorder="1"/>
    <xf numFmtId="2" fontId="0" fillId="0" borderId="5" xfId="0" applyNumberFormat="1" applyBorder="1"/>
    <xf numFmtId="0" fontId="4" fillId="50" borderId="30" xfId="0" applyFont="1" applyFill="1" applyBorder="1" applyAlignment="1">
      <alignment vertical="center"/>
    </xf>
    <xf numFmtId="0" fontId="4" fillId="50" borderId="32" xfId="0" applyFont="1" applyFill="1" applyBorder="1" applyAlignment="1">
      <alignment vertical="center"/>
    </xf>
    <xf numFmtId="0" fontId="4" fillId="65" borderId="31" xfId="0" applyFont="1" applyFill="1" applyBorder="1" applyAlignment="1">
      <alignment vertical="center"/>
    </xf>
    <xf numFmtId="164" fontId="0" fillId="65" borderId="5" xfId="0" applyNumberFormat="1" applyFill="1" applyBorder="1"/>
    <xf numFmtId="0" fontId="4" fillId="65" borderId="30" xfId="0" applyFont="1" applyFill="1" applyBorder="1" applyAlignment="1">
      <alignment vertical="center"/>
    </xf>
    <xf numFmtId="0" fontId="4" fillId="65" borderId="32" xfId="0" applyFont="1" applyFill="1" applyBorder="1" applyAlignment="1">
      <alignment vertical="center"/>
    </xf>
    <xf numFmtId="0" fontId="4" fillId="36" borderId="31" xfId="0" applyFont="1" applyFill="1" applyBorder="1" applyAlignment="1">
      <alignment vertical="center"/>
    </xf>
    <xf numFmtId="164" fontId="0" fillId="36" borderId="5" xfId="0" applyNumberFormat="1" applyFill="1" applyBorder="1"/>
    <xf numFmtId="0" fontId="1" fillId="3" borderId="5" xfId="0" applyFont="1" applyFill="1" applyBorder="1"/>
    <xf numFmtId="0" fontId="4" fillId="36" borderId="30" xfId="0" applyFont="1" applyFill="1" applyBorder="1" applyAlignment="1">
      <alignment vertical="center"/>
    </xf>
    <xf numFmtId="0" fontId="4" fillId="64" borderId="5" xfId="0" applyFont="1" applyFill="1" applyBorder="1"/>
    <xf numFmtId="0" fontId="4" fillId="36" borderId="32" xfId="0" applyFont="1" applyFill="1" applyBorder="1" applyAlignment="1">
      <alignment vertical="center"/>
    </xf>
    <xf numFmtId="0" fontId="4" fillId="64" borderId="31" xfId="0" applyFont="1" applyFill="1" applyBorder="1" applyAlignment="1">
      <alignment vertical="center"/>
    </xf>
    <xf numFmtId="164" fontId="0" fillId="64" borderId="5" xfId="0" applyNumberFormat="1" applyFill="1" applyBorder="1"/>
    <xf numFmtId="0" fontId="4" fillId="64" borderId="30" xfId="0" applyFont="1" applyFill="1" applyBorder="1" applyAlignment="1">
      <alignment vertical="center"/>
    </xf>
    <xf numFmtId="0" fontId="4" fillId="64" borderId="32" xfId="0" applyFont="1" applyFill="1" applyBorder="1" applyAlignment="1">
      <alignment vertical="center"/>
    </xf>
    <xf numFmtId="0" fontId="4" fillId="37" borderId="31" xfId="0" applyFont="1" applyFill="1" applyBorder="1" applyAlignment="1">
      <alignment vertical="center"/>
    </xf>
    <xf numFmtId="164" fontId="0" fillId="37" borderId="5" xfId="0" applyNumberFormat="1" applyFill="1" applyBorder="1"/>
    <xf numFmtId="0" fontId="4" fillId="37" borderId="30" xfId="0" applyFont="1" applyFill="1" applyBorder="1" applyAlignment="1">
      <alignment vertical="center"/>
    </xf>
    <xf numFmtId="0" fontId="4" fillId="37" borderId="32" xfId="0" applyFont="1" applyFill="1" applyBorder="1" applyAlignment="1">
      <alignment vertical="center"/>
    </xf>
    <xf numFmtId="0" fontId="4" fillId="30" borderId="31" xfId="0" applyFont="1" applyFill="1" applyBorder="1" applyAlignment="1">
      <alignment vertical="center"/>
    </xf>
    <xf numFmtId="0" fontId="4" fillId="30" borderId="31" xfId="0" applyFont="1" applyFill="1" applyBorder="1" applyAlignment="1">
      <alignment vertical="center"/>
    </xf>
    <xf numFmtId="164" fontId="0" fillId="30" borderId="5" xfId="0" applyNumberFormat="1" applyFill="1" applyBorder="1"/>
    <xf numFmtId="0" fontId="4" fillId="30" borderId="30" xfId="0" applyFont="1" applyFill="1" applyBorder="1" applyAlignment="1">
      <alignment vertical="center"/>
    </xf>
    <xf numFmtId="0" fontId="4" fillId="30" borderId="30" xfId="0" applyFont="1" applyFill="1" applyBorder="1" applyAlignment="1">
      <alignment vertical="center"/>
    </xf>
    <xf numFmtId="0" fontId="4" fillId="30" borderId="32" xfId="0" applyFont="1" applyFill="1" applyBorder="1" applyAlignment="1">
      <alignment vertical="center"/>
    </xf>
    <xf numFmtId="0" fontId="4" fillId="30" borderId="32" xfId="0" applyFont="1" applyFill="1" applyBorder="1" applyAlignment="1">
      <alignment vertical="center"/>
    </xf>
    <xf numFmtId="0" fontId="4" fillId="63" borderId="31" xfId="0" applyFont="1" applyFill="1" applyBorder="1" applyAlignment="1">
      <alignment vertical="center"/>
    </xf>
    <xf numFmtId="0" fontId="4" fillId="63" borderId="31" xfId="0" applyFont="1" applyFill="1" applyBorder="1" applyAlignment="1">
      <alignment vertical="center"/>
    </xf>
    <xf numFmtId="164" fontId="0" fillId="63" borderId="5" xfId="0" applyNumberFormat="1" applyFill="1" applyBorder="1"/>
    <xf numFmtId="0" fontId="4" fillId="63" borderId="32" xfId="0" applyFont="1" applyFill="1" applyBorder="1" applyAlignment="1">
      <alignment vertical="center"/>
    </xf>
    <xf numFmtId="0" fontId="4" fillId="63" borderId="32" xfId="0" applyFont="1" applyFill="1" applyBorder="1" applyAlignment="1">
      <alignment vertical="center"/>
    </xf>
    <xf numFmtId="0" fontId="4" fillId="43" borderId="31" xfId="0" applyFont="1" applyFill="1" applyBorder="1" applyAlignment="1">
      <alignment vertical="center"/>
    </xf>
    <xf numFmtId="0" fontId="4" fillId="43" borderId="31" xfId="0" applyFont="1" applyFill="1" applyBorder="1" applyAlignment="1">
      <alignment vertical="center"/>
    </xf>
    <xf numFmtId="164" fontId="0" fillId="43" borderId="5" xfId="0" applyNumberFormat="1" applyFill="1" applyBorder="1"/>
    <xf numFmtId="0" fontId="4" fillId="43" borderId="30" xfId="0" applyFont="1" applyFill="1" applyBorder="1" applyAlignment="1">
      <alignment vertical="center"/>
    </xf>
    <xf numFmtId="0" fontId="4" fillId="43" borderId="30" xfId="0" applyFont="1" applyFill="1" applyBorder="1" applyAlignment="1">
      <alignment vertical="center"/>
    </xf>
    <xf numFmtId="0" fontId="4" fillId="43" borderId="32" xfId="0" applyFont="1" applyFill="1" applyBorder="1" applyAlignment="1">
      <alignment vertical="center"/>
    </xf>
    <xf numFmtId="0" fontId="4" fillId="43" borderId="32" xfId="0" applyFont="1" applyFill="1" applyBorder="1" applyAlignment="1">
      <alignment vertical="center"/>
    </xf>
    <xf numFmtId="0" fontId="4" fillId="31" borderId="31" xfId="0" applyFont="1" applyFill="1" applyBorder="1" applyAlignment="1">
      <alignment vertical="center"/>
    </xf>
    <xf numFmtId="0" fontId="4" fillId="31" borderId="31" xfId="0" applyFont="1" applyFill="1" applyBorder="1" applyAlignment="1">
      <alignment vertical="center"/>
    </xf>
    <xf numFmtId="164" fontId="0" fillId="31" borderId="5" xfId="0" applyNumberFormat="1" applyFill="1" applyBorder="1"/>
    <xf numFmtId="0" fontId="4" fillId="31" borderId="32" xfId="0" applyFont="1" applyFill="1" applyBorder="1" applyAlignment="1">
      <alignment vertical="center"/>
    </xf>
    <xf numFmtId="0" fontId="4" fillId="31" borderId="32" xfId="0" applyFont="1" applyFill="1" applyBorder="1" applyAlignment="1">
      <alignment vertical="center"/>
    </xf>
    <xf numFmtId="0" fontId="1" fillId="16" borderId="5" xfId="0" applyFont="1" applyFill="1" applyBorder="1"/>
    <xf numFmtId="0" fontId="0" fillId="0" borderId="5" xfId="0" applyBorder="1"/>
    <xf numFmtId="0" fontId="3" fillId="64" borderId="5" xfId="0" applyFont="1" applyFill="1" applyBorder="1"/>
    <xf numFmtId="0" fontId="7" fillId="30" borderId="5" xfId="0" applyFont="1" applyFill="1" applyBorder="1"/>
    <xf numFmtId="0" fontId="7" fillId="63" borderId="5" xfId="0" applyFont="1" applyFill="1" applyBorder="1"/>
    <xf numFmtId="0" fontId="7" fillId="43" borderId="5" xfId="0" applyFont="1" applyFill="1" applyBorder="1"/>
    <xf numFmtId="0" fontId="7" fillId="31" borderId="5" xfId="0" applyFont="1" applyFill="1" applyBorder="1"/>
    <xf numFmtId="9" fontId="4" fillId="32" borderId="5" xfId="0" applyNumberFormat="1" applyFont="1" applyFill="1" applyBorder="1" applyAlignment="1">
      <alignment horizontal="center"/>
    </xf>
    <xf numFmtId="0" fontId="29" fillId="30" borderId="0" xfId="0" applyFont="1" applyFill="1"/>
    <xf numFmtId="0" fontId="3" fillId="3" borderId="0" xfId="0" applyFont="1" applyFill="1"/>
    <xf numFmtId="0" fontId="1" fillId="2" borderId="5" xfId="0" applyFont="1" applyFill="1" applyBorder="1" applyAlignment="1">
      <alignment horizontal="center"/>
    </xf>
    <xf numFmtId="0" fontId="1" fillId="3" borderId="5" xfId="0" applyFont="1" applyFill="1" applyBorder="1" applyAlignment="1">
      <alignment horizontal="center"/>
    </xf>
    <xf numFmtId="165" fontId="0" fillId="0" borderId="5" xfId="0" applyNumberFormat="1" applyBorder="1"/>
    <xf numFmtId="0" fontId="0" fillId="0" borderId="5" xfId="0" applyBorder="1" applyAlignment="1">
      <alignment horizontal="center"/>
    </xf>
    <xf numFmtId="0" fontId="4" fillId="30" borderId="0" xfId="0" applyFont="1" applyFill="1"/>
    <xf numFmtId="0" fontId="4" fillId="64" borderId="5" xfId="0" applyFont="1" applyFill="1" applyBorder="1" applyAlignment="1">
      <alignment horizontal="center"/>
    </xf>
    <xf numFmtId="0" fontId="0" fillId="29" borderId="5" xfId="0" applyFill="1" applyBorder="1"/>
    <xf numFmtId="0" fontId="0" fillId="29" borderId="5" xfId="0" applyFill="1" applyBorder="1" applyAlignment="1">
      <alignment horizontal="center"/>
    </xf>
    <xf numFmtId="10" fontId="0" fillId="29" borderId="5" xfId="0" applyNumberFormat="1" applyFill="1" applyBorder="1" applyAlignment="1">
      <alignment horizontal="center"/>
    </xf>
    <xf numFmtId="10" fontId="0" fillId="29" borderId="5" xfId="0" applyNumberFormat="1" applyFill="1" applyBorder="1"/>
    <xf numFmtId="10" fontId="0" fillId="0" borderId="5" xfId="0" applyNumberFormat="1" applyBorder="1" applyAlignment="1">
      <alignment horizontal="center"/>
    </xf>
    <xf numFmtId="10" fontId="0" fillId="0" borderId="5" xfId="0" applyNumberFormat="1" applyBorder="1"/>
    <xf numFmtId="0" fontId="1" fillId="3" borderId="5" xfId="0" applyFont="1" applyFill="1" applyBorder="1"/>
    <xf numFmtId="0" fontId="4" fillId="0" borderId="5" xfId="0" applyFont="1" applyBorder="1"/>
    <xf numFmtId="164" fontId="1" fillId="3" borderId="5" xfId="0" applyNumberFormat="1" applyFont="1" applyFill="1" applyBorder="1"/>
    <xf numFmtId="2" fontId="1" fillId="3" borderId="5" xfId="0" applyNumberFormat="1" applyFont="1" applyFill="1" applyBorder="1"/>
    <xf numFmtId="0" fontId="4" fillId="30" borderId="0" xfId="0" applyFont="1" applyFill="1"/>
    <xf numFmtId="2" fontId="0" fillId="0" borderId="0" xfId="0" applyNumberFormat="1"/>
    <xf numFmtId="0" fontId="7" fillId="0" borderId="0" xfId="0" applyFont="1" applyAlignment="1">
      <alignment wrapText="1"/>
    </xf>
    <xf numFmtId="0" fontId="2" fillId="59" borderId="0" xfId="0" applyFont="1" applyFill="1"/>
    <xf numFmtId="0" fontId="0" fillId="15" borderId="0" xfId="0" applyFill="1"/>
    <xf numFmtId="0" fontId="26" fillId="67" borderId="0" xfId="0" applyFont="1" applyFill="1"/>
    <xf numFmtId="0" fontId="0" fillId="67" borderId="0" xfId="0" applyFill="1"/>
    <xf numFmtId="0" fontId="4" fillId="67" borderId="0" xfId="0" applyFont="1" applyFill="1"/>
    <xf numFmtId="0" fontId="35" fillId="67" borderId="0" xfId="0" applyFont="1" applyFill="1"/>
    <xf numFmtId="0" fontId="1" fillId="2" borderId="5" xfId="0" applyFont="1" applyFill="1" applyBorder="1"/>
    <xf numFmtId="14" fontId="0" fillId="0" borderId="0" xfId="0" applyNumberFormat="1"/>
    <xf numFmtId="0" fontId="0" fillId="24" borderId="33" xfId="0" applyFill="1" applyBorder="1"/>
    <xf numFmtId="0" fontId="1" fillId="68" borderId="35" xfId="0" applyFont="1" applyFill="1" applyBorder="1" applyAlignment="1">
      <alignment horizontal="center"/>
    </xf>
    <xf numFmtId="0" fontId="1" fillId="68" borderId="36" xfId="0" applyFont="1" applyFill="1" applyBorder="1" applyAlignment="1">
      <alignment horizontal="center"/>
    </xf>
    <xf numFmtId="0" fontId="1" fillId="27" borderId="37" xfId="0" applyFont="1" applyFill="1"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36" fillId="0" borderId="0" xfId="0" applyFont="1"/>
    <xf numFmtId="0" fontId="0" fillId="37" borderId="44" xfId="0" applyFill="1" applyBorder="1" applyAlignment="1">
      <alignment horizontal="center"/>
    </xf>
    <xf numFmtId="0" fontId="0" fillId="30" borderId="45" xfId="0" applyFill="1" applyBorder="1" applyAlignment="1">
      <alignment horizontal="center"/>
    </xf>
    <xf numFmtId="0" fontId="0" fillId="31" borderId="45" xfId="0" applyFill="1" applyBorder="1" applyAlignment="1">
      <alignment horizontal="center"/>
    </xf>
    <xf numFmtId="0" fontId="0" fillId="19" borderId="46" xfId="0" applyFill="1" applyBorder="1" applyAlignment="1">
      <alignment horizontal="center"/>
    </xf>
    <xf numFmtId="0" fontId="2" fillId="19" borderId="0" xfId="0" applyFont="1" applyFill="1"/>
    <xf numFmtId="0" fontId="8" fillId="0" borderId="0" xfId="0" applyFont="1"/>
    <xf numFmtId="165" fontId="0" fillId="0" borderId="0" xfId="0" applyNumberFormat="1"/>
    <xf numFmtId="0" fontId="4" fillId="0" borderId="0" xfId="0" applyFont="1"/>
    <xf numFmtId="0" fontId="1" fillId="27" borderId="34" xfId="0" applyFont="1" applyFill="1" applyBorder="1"/>
    <xf numFmtId="0" fontId="1" fillId="27" borderId="35" xfId="0" applyFont="1" applyFill="1" applyBorder="1"/>
    <xf numFmtId="0" fontId="1" fillId="27" borderId="36" xfId="0" applyFont="1" applyFill="1" applyBorder="1"/>
    <xf numFmtId="165" fontId="0" fillId="0" borderId="39" xfId="0" applyNumberFormat="1" applyBorder="1"/>
    <xf numFmtId="165" fontId="0" fillId="0" borderId="42" xfId="0" applyNumberFormat="1" applyBorder="1"/>
    <xf numFmtId="0" fontId="37" fillId="25" borderId="0" xfId="0" applyFont="1" applyFill="1"/>
    <xf numFmtId="0" fontId="3" fillId="69" borderId="0" xfId="0" applyFont="1" applyFill="1"/>
    <xf numFmtId="0" fontId="4" fillId="70" borderId="44" xfId="0" applyFont="1" applyFill="1" applyBorder="1"/>
    <xf numFmtId="0" fontId="4" fillId="0" borderId="45" xfId="0" applyFont="1" applyBorder="1"/>
    <xf numFmtId="0" fontId="4" fillId="70" borderId="45" xfId="0" applyFont="1" applyFill="1" applyBorder="1"/>
    <xf numFmtId="0" fontId="4" fillId="0" borderId="45" xfId="0" applyFont="1" applyBorder="1" applyAlignment="1">
      <alignment vertical="top" wrapText="1"/>
    </xf>
    <xf numFmtId="0" fontId="4" fillId="70" borderId="46" xfId="0" applyFont="1" applyFill="1" applyBorder="1"/>
    <xf numFmtId="0" fontId="4" fillId="70" borderId="0" xfId="0" applyFont="1" applyFill="1"/>
    <xf numFmtId="0" fontId="29" fillId="0" borderId="47" xfId="0" applyFont="1" applyBorder="1"/>
    <xf numFmtId="0" fontId="38" fillId="0" borderId="47" xfId="0" applyFont="1" applyBorder="1"/>
    <xf numFmtId="0" fontId="0" fillId="0" borderId="47" xfId="0" applyBorder="1"/>
    <xf numFmtId="0" fontId="0" fillId="0" borderId="47" xfId="0" applyBorder="1" applyAlignment="1">
      <alignment vertical="top" wrapText="1"/>
    </xf>
    <xf numFmtId="0" fontId="39" fillId="0" borderId="0" xfId="0" applyFont="1"/>
    <xf numFmtId="0" fontId="1" fillId="2" borderId="32" xfId="0" applyFont="1" applyFill="1" applyBorder="1"/>
    <xf numFmtId="0" fontId="1" fillId="3" borderId="32" xfId="0" applyFont="1" applyFill="1" applyBorder="1" applyAlignment="1">
      <alignment vertical="top" wrapText="1"/>
    </xf>
    <xf numFmtId="0" fontId="1" fillId="2" borderId="30" xfId="0" applyFont="1" applyFill="1" applyBorder="1"/>
    <xf numFmtId="0" fontId="16" fillId="0" borderId="5" xfId="0" applyFont="1" applyBorder="1"/>
    <xf numFmtId="0" fontId="0" fillId="50" borderId="0" xfId="0" applyFill="1"/>
    <xf numFmtId="0" fontId="6" fillId="71" borderId="0" xfId="0" applyFont="1" applyFill="1"/>
    <xf numFmtId="0" fontId="40" fillId="0" borderId="0" xfId="0" applyFont="1"/>
    <xf numFmtId="0" fontId="41" fillId="72" borderId="0" xfId="0" applyFont="1" applyFill="1"/>
    <xf numFmtId="0" fontId="0" fillId="72" borderId="0" xfId="0" applyFill="1"/>
    <xf numFmtId="0" fontId="16" fillId="73" borderId="0" xfId="0" applyFont="1" applyFill="1"/>
    <xf numFmtId="0" fontId="0" fillId="73" borderId="0" xfId="0" applyFill="1"/>
    <xf numFmtId="0" fontId="42" fillId="37" borderId="0" xfId="0" applyFont="1" applyFill="1"/>
    <xf numFmtId="0" fontId="43" fillId="50" borderId="0" xfId="0" applyFont="1" applyFill="1"/>
    <xf numFmtId="0" fontId="44" fillId="74" borderId="0" xfId="0" applyFont="1" applyFill="1"/>
    <xf numFmtId="0" fontId="0" fillId="74" borderId="0" xfId="0" applyFill="1"/>
    <xf numFmtId="0" fontId="45" fillId="75" borderId="0" xfId="0" applyFont="1" applyFill="1"/>
    <xf numFmtId="0" fontId="0" fillId="75" borderId="0" xfId="0" applyFill="1"/>
    <xf numFmtId="17" fontId="46" fillId="0" borderId="0" xfId="0" applyNumberFormat="1" applyFont="1"/>
    <xf numFmtId="0" fontId="46" fillId="0" borderId="0" xfId="0" applyFont="1"/>
    <xf numFmtId="165" fontId="46" fillId="0" borderId="0" xfId="0" applyNumberFormat="1" applyFont="1"/>
    <xf numFmtId="0" fontId="47" fillId="0" borderId="0" xfId="0" applyFont="1"/>
    <xf numFmtId="0" fontId="17" fillId="27" borderId="0" xfId="0" applyFont="1" applyFill="1" applyAlignment="1">
      <alignment horizontal="center"/>
    </xf>
    <xf numFmtId="0" fontId="0" fillId="25" borderId="1" xfId="0" applyFill="1" applyBorder="1" applyAlignment="1">
      <alignment wrapText="1"/>
    </xf>
    <xf numFmtId="0" fontId="0" fillId="18" borderId="0" xfId="0" applyFill="1"/>
    <xf numFmtId="0" fontId="0" fillId="76" borderId="30" xfId="0" applyFill="1" applyBorder="1"/>
    <xf numFmtId="0" fontId="1" fillId="27" borderId="31" xfId="0" applyFont="1" applyFill="1" applyBorder="1" applyAlignment="1">
      <alignment horizontal="center"/>
    </xf>
    <xf numFmtId="0" fontId="6" fillId="27" borderId="0" xfId="0" applyFont="1" applyFill="1"/>
    <xf numFmtId="0" fontId="40" fillId="0" borderId="0" xfId="0" applyFont="1"/>
    <xf numFmtId="0" fontId="0" fillId="24" borderId="0" xfId="0" applyFill="1"/>
    <xf numFmtId="16" fontId="12" fillId="77" borderId="0" xfId="0" applyNumberFormat="1" applyFont="1" applyFill="1"/>
    <xf numFmtId="16" fontId="12" fillId="78" borderId="0" xfId="0" applyNumberFormat="1" applyFont="1" applyFill="1"/>
    <xf numFmtId="17" fontId="12" fillId="79" borderId="0" xfId="0" applyNumberFormat="1" applyFont="1" applyFill="1"/>
    <xf numFmtId="0" fontId="12" fillId="27" borderId="0" xfId="0" applyFont="1" applyFill="1"/>
    <xf numFmtId="0" fontId="4" fillId="0" borderId="0" xfId="0" applyFont="1" applyAlignment="1">
      <alignment horizontal="center"/>
    </xf>
    <xf numFmtId="0" fontId="4" fillId="80" borderId="0" xfId="0" applyFont="1" applyFill="1"/>
    <xf numFmtId="0" fontId="48" fillId="67" borderId="0" xfId="0" applyFont="1" applyFill="1"/>
    <xf numFmtId="0" fontId="6" fillId="2" borderId="0" xfId="0" applyFont="1" applyFill="1"/>
    <xf numFmtId="0" fontId="3" fillId="81" borderId="0" xfId="0" applyFont="1" applyFill="1"/>
    <xf numFmtId="0" fontId="4" fillId="82" borderId="5" xfId="0" applyFont="1" applyFill="1" applyBorder="1"/>
    <xf numFmtId="0" fontId="3" fillId="83" borderId="0" xfId="0" applyFont="1" applyFill="1"/>
    <xf numFmtId="0" fontId="4" fillId="84" borderId="5" xfId="0" applyFont="1" applyFill="1" applyBorder="1"/>
    <xf numFmtId="0" fontId="3" fillId="85" borderId="0" xfId="0" applyFont="1" applyFill="1"/>
    <xf numFmtId="0" fontId="49" fillId="0" borderId="0" xfId="0" applyFont="1"/>
    <xf numFmtId="0" fontId="0" fillId="0" borderId="8" xfId="0" applyBorder="1"/>
    <xf numFmtId="0" fontId="49" fillId="0" borderId="8" xfId="0" applyFont="1" applyBorder="1"/>
    <xf numFmtId="0" fontId="3" fillId="86" borderId="0" xfId="0" applyFont="1" applyFill="1"/>
    <xf numFmtId="0" fontId="4" fillId="87" borderId="5" xfId="0" applyFont="1" applyFill="1" applyBorder="1"/>
    <xf numFmtId="0" fontId="3" fillId="27" borderId="0" xfId="0" applyFont="1" applyFill="1"/>
    <xf numFmtId="0" fontId="4" fillId="88" borderId="5" xfId="0" applyFont="1" applyFill="1" applyBorder="1"/>
    <xf numFmtId="0" fontId="8" fillId="0" borderId="0" xfId="0" applyFont="1"/>
    <xf numFmtId="0" fontId="1" fillId="54" borderId="34" xfId="0" applyFont="1" applyFill="1" applyBorder="1"/>
    <xf numFmtId="0" fontId="1" fillId="54" borderId="35" xfId="0" applyFont="1" applyFill="1" applyBorder="1"/>
    <xf numFmtId="0" fontId="1" fillId="54" borderId="36" xfId="0" applyFont="1" applyFill="1" applyBorder="1"/>
    <xf numFmtId="166" fontId="0" fillId="0" borderId="0" xfId="0" applyNumberFormat="1"/>
    <xf numFmtId="10" fontId="0" fillId="0" borderId="0" xfId="0" applyNumberFormat="1"/>
    <xf numFmtId="0" fontId="1" fillId="54" borderId="0" xfId="0" applyFont="1" applyFill="1"/>
    <xf numFmtId="0" fontId="50" fillId="0" borderId="0" xfId="0" applyFont="1"/>
    <xf numFmtId="0" fontId="4" fillId="15" borderId="0" xfId="0" applyFont="1" applyFill="1"/>
    <xf numFmtId="0" fontId="37" fillId="0" borderId="0" xfId="0" applyFont="1"/>
    <xf numFmtId="0" fontId="51" fillId="0" borderId="0" xfId="0" applyFont="1"/>
    <xf numFmtId="0" fontId="2" fillId="26" borderId="0" xfId="0" applyFont="1" applyFill="1"/>
    <xf numFmtId="0" fontId="4" fillId="82" borderId="0" xfId="0" applyFont="1" applyFill="1"/>
    <xf numFmtId="0" fontId="1" fillId="26" borderId="0" xfId="0" applyFont="1" applyFill="1"/>
    <xf numFmtId="0" fontId="1" fillId="89" borderId="0" xfId="0" applyFont="1" applyFill="1"/>
    <xf numFmtId="0" fontId="29" fillId="25" borderId="0" xfId="0" applyFont="1" applyFill="1"/>
    <xf numFmtId="0" fontId="52" fillId="0" borderId="0" xfId="0" applyFont="1"/>
    <xf numFmtId="0" fontId="37" fillId="5" borderId="0" xfId="0" applyFont="1" applyFill="1"/>
    <xf numFmtId="0" fontId="4" fillId="90" borderId="0" xfId="0" applyFont="1" applyFill="1"/>
    <xf numFmtId="0" fontId="46" fillId="37" borderId="0" xfId="0" applyFont="1" applyFill="1" applyAlignment="1">
      <alignment vertical="top" wrapText="1"/>
    </xf>
    <xf numFmtId="0" fontId="0" fillId="0" borderId="0" xfId="0" applyFont="1" applyAlignment="1">
      <alignment vertical="top" wrapText="1"/>
    </xf>
    <xf numFmtId="0" fontId="0" fillId="37" borderId="0" xfId="0" applyFont="1" applyFill="1" applyAlignment="1">
      <alignment vertical="top" wrapText="1"/>
    </xf>
    <xf numFmtId="0" fontId="2" fillId="16" borderId="0" xfId="0" applyFont="1" applyFill="1" applyAlignment="1">
      <alignment vertical="top" wrapText="1"/>
    </xf>
    <xf numFmtId="0" fontId="1" fillId="27" borderId="30" xfId="0" applyFont="1" applyFill="1" applyBorder="1" applyAlignment="1">
      <alignment horizontal="center"/>
    </xf>
    <xf numFmtId="0" fontId="1" fillId="68" borderId="0" xfId="0" applyFont="1" applyFill="1" applyBorder="1" applyAlignment="1">
      <alignment horizontal="center"/>
    </xf>
    <xf numFmtId="0" fontId="1" fillId="3" borderId="0" xfId="0" applyFont="1" applyFill="1" applyBorder="1" applyAlignment="1">
      <alignment vertical="top" wrapText="1"/>
    </xf>
    <xf numFmtId="0" fontId="1" fillId="27" borderId="0" xfId="0" applyFont="1" applyFill="1" applyBorder="1" applyAlignment="1">
      <alignment horizontal="center"/>
    </xf>
    <xf numFmtId="0" fontId="1" fillId="32" borderId="34" xfId="0" applyFont="1" applyFill="1" applyBorder="1" applyAlignment="1">
      <alignment horizontal="center"/>
    </xf>
    <xf numFmtId="0" fontId="1" fillId="32" borderId="35" xfId="0" applyFont="1" applyFill="1" applyBorder="1" applyAlignment="1">
      <alignment horizontal="center"/>
    </xf>
    <xf numFmtId="0" fontId="1" fillId="32" borderId="5" xfId="0" applyFont="1" applyFill="1" applyBorder="1" applyAlignment="1">
      <alignment vertical="top" wrapText="1"/>
    </xf>
  </cellXfs>
  <cellStyles count="1">
    <cellStyle name="Normal" xfId="0" builtinId="0"/>
  </cellStyles>
  <dxfs count="108">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ill>
        <patternFill patternType="solid">
          <fgColor indexed="64"/>
          <bgColor rgb="FFC6EFCE"/>
        </patternFill>
      </fill>
    </dxf>
    <dxf>
      <fill>
        <patternFill patternType="solid">
          <fgColor indexed="64"/>
          <bgColor rgb="FFDDEBF7"/>
        </patternFill>
      </fill>
    </dxf>
    <dxf>
      <fill>
        <patternFill patternType="solid">
          <fgColor indexed="64"/>
          <bgColor rgb="FFB4C6E7"/>
        </patternFill>
      </fill>
    </dxf>
    <dxf>
      <fill>
        <patternFill patternType="solid">
          <fgColor indexed="64"/>
          <bgColor rgb="FFFFE4C4"/>
        </patternFill>
      </fill>
    </dxf>
    <dxf>
      <fill>
        <patternFill patternType="solid">
          <fgColor indexed="64"/>
          <bgColor rgb="FFE6D5E8"/>
        </patternFill>
      </fill>
    </dxf>
    <dxf>
      <fill>
        <patternFill patternType="solid">
          <fgColor indexed="64"/>
          <bgColor rgb="FFFFCCCB"/>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000000"/>
      </font>
      <fill>
        <patternFill patternType="solid">
          <fgColor indexed="64"/>
          <bgColor rgb="FFFFFF00"/>
        </patternFill>
      </fill>
    </dxf>
    <dxf>
      <font>
        <color rgb="FF000000"/>
      </font>
      <fill>
        <patternFill patternType="solid">
          <fgColor indexed="64"/>
          <bgColor rgb="FFFFC000"/>
        </patternFill>
      </fill>
    </dxf>
    <dxf>
      <font>
        <b/>
        <i val="0"/>
        <color rgb="FFFFFFFF"/>
      </font>
      <fill>
        <patternFill patternType="solid">
          <fgColor indexed="64"/>
          <bgColor rgb="FFFF6666"/>
        </patternFill>
      </fill>
    </dxf>
    <dxf>
      <font>
        <color rgb="FF006600"/>
      </font>
      <fill>
        <patternFill patternType="solid">
          <fgColor indexed="64"/>
          <bgColor rgb="FFC6EFCE"/>
        </patternFill>
      </fill>
    </dxf>
    <dxf>
      <font>
        <b/>
        <i val="0"/>
        <color rgb="FFFFFFFF"/>
      </font>
      <fill>
        <patternFill patternType="solid">
          <fgColor indexed="64"/>
          <bgColor rgb="FFFF6666"/>
        </patternFill>
      </fill>
    </dxf>
    <dxf>
      <font>
        <color rgb="FFCC5500"/>
      </font>
      <fill>
        <patternFill patternType="solid">
          <fgColor indexed="64"/>
          <bgColor rgb="FFFFE5CC"/>
        </patternFill>
      </fill>
    </dxf>
    <dxf>
      <font>
        <color rgb="FF806000"/>
      </font>
      <fill>
        <patternFill patternType="solid">
          <fgColor indexed="64"/>
          <bgColor rgb="FFFFFFCC"/>
        </patternFill>
      </fill>
    </dxf>
    <dxf>
      <font>
        <color rgb="FFC00000"/>
      </font>
      <fill>
        <patternFill patternType="solid">
          <fgColor indexed="64"/>
          <bgColor rgb="FFFFCCCC"/>
        </patternFill>
      </fill>
    </dxf>
    <dxf>
      <font>
        <color rgb="FFC0C0C0"/>
      </font>
      <fill>
        <patternFill patternType="solid">
          <fgColor indexed="64"/>
          <bgColor rgb="FFF5F5F5"/>
        </patternFill>
      </fill>
    </dxf>
    <dxf>
      <font>
        <color rgb="FFC0C0C0"/>
      </font>
      <fill>
        <patternFill patternType="solid">
          <fgColor indexed="64"/>
          <bgColor rgb="FFF5F5F5"/>
        </patternFill>
      </fill>
    </dxf>
    <dxf>
      <fill>
        <patternFill patternType="solid">
          <fgColor indexed="64"/>
          <bgColor rgb="FFFFC000"/>
        </patternFill>
      </fill>
    </dxf>
    <dxf>
      <font>
        <color rgb="FFFFFFFF"/>
      </font>
      <fill>
        <patternFill patternType="solid">
          <fgColor indexed="64"/>
          <bgColor rgb="FFFF6B6B"/>
        </patternFill>
      </fill>
    </dxf>
    <dxf>
      <fill>
        <patternFill patternType="solid">
          <fgColor indexed="64"/>
          <bgColor rgb="FFFFF2CC"/>
        </patternFill>
      </fill>
    </dxf>
    <dxf>
      <fill>
        <patternFill patternType="solid">
          <fgColor indexed="64"/>
          <bgColor rgb="FFC6EFCE"/>
        </patternFill>
      </fill>
    </dxf>
    <dxf>
      <font>
        <color rgb="FFFFFFFF"/>
      </font>
      <fill>
        <patternFill patternType="solid">
          <fgColor indexed="64"/>
          <bgColor rgb="FFFF6B6B"/>
        </patternFill>
      </fill>
    </dxf>
    <dxf>
      <fill>
        <patternFill patternType="solid">
          <fgColor indexed="64"/>
          <bgColor rgb="FFE0E0E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92D050"/>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4A7D6"/>
        </patternFill>
      </fill>
    </dxf>
    <dxf>
      <font>
        <b/>
        <i val="0"/>
      </font>
      <fill>
        <patternFill patternType="solid">
          <fgColor indexed="64"/>
          <bgColor rgb="FFFF6B6B"/>
        </patternFill>
      </fill>
    </dxf>
    <dxf>
      <fill>
        <patternFill patternType="solid">
          <fgColor indexed="64"/>
          <bgColor rgb="FFFFC00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FFEB9C"/>
        </patternFill>
      </fill>
    </dxf>
    <dxf>
      <fill>
        <patternFill patternType="solid">
          <fgColor indexed="64"/>
          <bgColor rgb="FFFFC000"/>
        </patternFill>
      </fill>
    </dxf>
    <dxf>
      <font>
        <b/>
        <i val="0"/>
      </font>
      <fill>
        <patternFill patternType="solid">
          <fgColor indexed="64"/>
          <bgColor rgb="FFFF6B6B"/>
        </patternFill>
      </fill>
    </dxf>
    <dxf>
      <font>
        <b/>
        <i val="0"/>
        <color rgb="FF9C0006"/>
      </font>
      <fill>
        <patternFill patternType="solid">
          <fgColor indexed="64"/>
          <bgColor rgb="FFFFC7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FBE5D6"/>
        </patternFill>
      </fill>
    </dxf>
    <dxf>
      <font>
        <b/>
        <i val="0"/>
      </font>
      <fill>
        <patternFill patternType="solid">
          <fgColor indexed="64"/>
          <bgColor rgb="FFFFC7CE"/>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D9E1F2"/>
        </patternFill>
      </fill>
    </dxf>
    <dxf>
      <fill>
        <patternFill patternType="solid">
          <fgColor indexed="64"/>
          <bgColor rgb="FFE8F6F3"/>
        </patternFill>
      </fill>
    </dxf>
    <dxf>
      <font>
        <color rgb="FFC0C0C0"/>
      </font>
      <fill>
        <patternFill patternType="solid">
          <fgColor indexed="64"/>
          <bgColor rgb="FFF0F0F0"/>
        </patternFill>
      </fill>
    </dxf>
    <dxf>
      <font>
        <b/>
        <i val="0"/>
        <color rgb="FFFFFFFF"/>
      </font>
      <fill>
        <patternFill patternType="solid">
          <fgColor indexed="64"/>
          <bgColor rgb="FFC00000"/>
        </patternFill>
      </fill>
    </dxf>
    <dxf>
      <font>
        <b/>
        <i val="0"/>
        <color rgb="FF833C0C"/>
      </font>
      <fill>
        <patternFill patternType="solid">
          <fgColor indexed="64"/>
          <bgColor rgb="FFF4B084"/>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i val="0"/>
        <color rgb="FF833C0C"/>
      </font>
      <fill>
        <patternFill patternType="solid">
          <fgColor indexed="64"/>
          <bgColor rgb="FFF4B084"/>
        </patternFill>
      </fill>
    </dxf>
    <dxf>
      <font>
        <b/>
        <i val="0"/>
        <color rgb="FFFFFFFF"/>
      </font>
      <fill>
        <patternFill patternType="solid">
          <fgColor indexed="64"/>
          <bgColor rgb="FFC00000"/>
        </patternFill>
      </fill>
    </dxf>
    <dxf>
      <font>
        <b/>
        <i val="0"/>
        <color rgb="FFFFFFFF"/>
      </font>
      <fill>
        <patternFill patternType="solid">
          <fgColor indexed="64"/>
          <bgColor rgb="FFFF0000"/>
        </patternFill>
      </fill>
    </dxf>
    <dxf>
      <font>
        <b/>
        <i val="0"/>
      </font>
      <fill>
        <patternFill patternType="solid">
          <fgColor indexed="64"/>
          <bgColor rgb="FFFFC7CE"/>
        </patternFill>
      </fill>
    </dxf>
    <dxf>
      <font>
        <b/>
        <i val="0"/>
        <color rgb="FF70AD47"/>
      </font>
    </dxf>
    <dxf>
      <font>
        <b/>
        <i val="0"/>
        <color rgb="FF2E75B6"/>
      </font>
    </dxf>
    <dxf>
      <font>
        <b/>
        <i val="0"/>
        <color rgb="FFED7D31"/>
      </font>
    </dxf>
    <dxf>
      <font>
        <b/>
        <i val="0"/>
        <color rgb="FFC00000"/>
      </font>
    </dxf>
    <dxf>
      <font>
        <color rgb="FF006100"/>
      </font>
      <fill>
        <patternFill patternType="solid">
          <fgColor indexed="64"/>
          <bgColor rgb="FFE2F0D9"/>
        </patternFill>
      </fill>
    </dxf>
    <dxf>
      <font>
        <color rgb="FF7F6000"/>
      </font>
      <fill>
        <patternFill patternType="solid">
          <fgColor indexed="64"/>
          <bgColor rgb="FFFFF2CC"/>
        </patternFill>
      </fill>
    </dxf>
    <dxf>
      <font>
        <color rgb="FF9C0006"/>
      </font>
      <fill>
        <patternFill patternType="solid">
          <fgColor indexed="64"/>
          <bgColor rgb="FFFCE4D6"/>
        </patternFill>
      </fill>
    </dxf>
    <dxf>
      <alignment vertical="top" wrapText="1"/>
    </dxf>
    <dxf>
      <alignment vertical="top"/>
    </dxf>
    <dxf>
      <alignment horizontal="center" vertical="top"/>
    </dxf>
    <dxf>
      <alignment vertical="top"/>
    </dxf>
    <dxf>
      <alignment horizontal="center" vertical="top"/>
    </dxf>
    <dxf>
      <alignment vertical="top" wrapText="1"/>
    </dxf>
    <dxf>
      <alignment vertical="top" wrapText="1"/>
    </dxf>
    <dxf>
      <alignment vertical="top" wrapText="1"/>
    </dxf>
    <dxf>
      <alignment vertical="top"/>
    </dxf>
    <dxf>
      <font>
        <color rgb="FF0563C1"/>
      </font>
      <alignment vertical="top"/>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41426210af9d495/Desktop/Release%20Desk/Documents/ReleaseDesk_19072026_V0.1.xlsx" TargetMode="External"/><Relationship Id="rId1" Type="http://schemas.openxmlformats.org/officeDocument/2006/relationships/externalLinkPath" Target="ReleaseDesk_19072026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nding Page"/>
      <sheetName val="Changes made In this document"/>
      <sheetName val="Entity Classification"/>
      <sheetName val="Signal Classification"/>
      <sheetName val="Dashboard"/>
      <sheetName val="README"/>
      <sheetName val="Technical Specifications"/>
      <sheetName val="Risk Factors"/>
      <sheetName val="Applications"/>
      <sheetName val="Users"/>
      <sheetName val="Env booking"/>
      <sheetName val="Admin (Release Managers)"/>
      <sheetName val="Super Admins"/>
      <sheetName val="Releases"/>
      <sheetName val="Calendar"/>
      <sheetName val="Environment Conflicts"/>
      <sheetName val="Risk"/>
      <sheetName val="Drift"/>
      <sheetName val="Dependencies"/>
      <sheetName val="Approvals"/>
      <sheetName val="Leave Calendar"/>
      <sheetName val="System Mapping"/>
      <sheetName val="Versions"/>
      <sheetName val="Monitoring Alerts"/>
      <sheetName val="Incidents"/>
      <sheetName val="Application Status"/>
      <sheetName val="Blockers"/>
      <sheetName val="Planned Maintenance"/>
      <sheetName val="Releases_FS"/>
      <sheetName val="Global_Components_FS"/>
      <sheetName val="Calendar_FS"/>
      <sheetName val="EnvBooking_FS"/>
      <sheetName val="RiskFactors_FS"/>
      <sheetName val="Drift_FS"/>
      <sheetName val="Dependencies_FS"/>
      <sheetName val="Approvals_FS"/>
      <sheetName val="LeaveCalendar_FS"/>
      <sheetName val="Versions_FS"/>
      <sheetName val="SystemMapping_FS"/>
      <sheetName val="Monitoring_FS"/>
      <sheetName val="Incidents_FS"/>
      <sheetName val="Sign-Offs"/>
      <sheetName val="Conflict Page"/>
      <sheetName val="Release Page"/>
      <sheetName val="Env Booking Page"/>
      <sheetName val="Risk Page"/>
      <sheetName val="Drift Page"/>
      <sheetName val="Dependency Page"/>
      <sheetName val="Approvals Page"/>
      <sheetName val="Leave Page"/>
      <sheetName val="Version Page"/>
      <sheetName val="Integration Page"/>
      <sheetName val="Alert Page"/>
      <sheetName val="Incident Page"/>
      <sheetName val="Blocker Page"/>
      <sheetName val="Maintenance Page"/>
      <sheetName val="Sign-Offs Page"/>
      <sheetName val="LC_Releases"/>
      <sheetName val="LC_Approvals"/>
      <sheetName val="LC_Risk"/>
      <sheetName val="LC_Drift"/>
      <sheetName val="LC_Dependency"/>
      <sheetName val="LC_Conflict"/>
      <sheetName val="LC_Alerts"/>
      <sheetName val="LC_Incidents"/>
      <sheetName val="LC_Blockers"/>
      <sheetName val="LC_Sign-Offs"/>
      <sheetName val="Release_Developer Tab"/>
      <sheetName val="Approvals_Developer Tab"/>
      <sheetName val="SignOffs_Developer Tab"/>
      <sheetName val="Incidents_Developer Tab"/>
      <sheetName val="Alerts_Developer Tab"/>
      <sheetName val="Blockers_Developer Tab"/>
      <sheetName val="Conflicts_Developer Tab"/>
      <sheetName val="Risks_Developer Tab"/>
      <sheetName val="Drift_Developer Tab"/>
      <sheetName val="Dependencies_Developer Tab"/>
      <sheetName val="EnvBooking_Developer Tab"/>
      <sheetName val="Leave_Developer Tab"/>
      <sheetName val="Maintenance_Developer Tab"/>
      <sheetName val="Calendar_Developer T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A7" t="str">
            <v>REL-0001</v>
          </cell>
          <cell r="B7" t="str">
            <v>Kyriba UI Tweak v4.5</v>
          </cell>
          <cell r="C7" t="str">
            <v>Finance</v>
          </cell>
          <cell r="D7" t="str">
            <v>Kyriba</v>
          </cell>
          <cell r="I7">
            <v>46243</v>
          </cell>
          <cell r="J7">
            <v>46245</v>
          </cell>
          <cell r="K7">
            <v>46245</v>
          </cell>
        </row>
        <row r="8">
          <cell r="A8" t="str">
            <v>REL-0002</v>
          </cell>
          <cell r="B8" t="str">
            <v>Blue Workflow Automation v2.1</v>
          </cell>
          <cell r="C8" t="str">
            <v>Logistics</v>
          </cell>
          <cell r="D8" t="str">
            <v>Blue Yonder WMS</v>
          </cell>
          <cell r="I8">
            <v>46246</v>
          </cell>
          <cell r="J8">
            <v>46248</v>
          </cell>
          <cell r="K8">
            <v>46249</v>
          </cell>
        </row>
        <row r="9">
          <cell r="A9" t="str">
            <v>REL-0003</v>
          </cell>
          <cell r="B9" t="str">
            <v>Zendesk Minor Update v4.3</v>
          </cell>
          <cell r="C9" t="str">
            <v>CRM</v>
          </cell>
          <cell r="D9" t="str">
            <v>Zendesk</v>
          </cell>
          <cell r="I9">
            <v>46244</v>
          </cell>
          <cell r="J9">
            <v>46246</v>
          </cell>
          <cell r="K9">
            <v>46246</v>
          </cell>
        </row>
        <row r="10">
          <cell r="A10" t="str">
            <v>REL-0004</v>
          </cell>
          <cell r="B10" t="str">
            <v>AVEVA Dashboard Upgrade v5.5</v>
          </cell>
          <cell r="C10" t="str">
            <v>Manufacturing</v>
          </cell>
          <cell r="D10" t="str">
            <v>AVEVA MES</v>
          </cell>
        </row>
        <row r="11">
          <cell r="A11" t="str">
            <v>REL-0005</v>
          </cell>
          <cell r="B11" t="str">
            <v>Datadog Security Patch Bundle v3.5</v>
          </cell>
          <cell r="C11" t="str">
            <v>IT</v>
          </cell>
          <cell r="D11" t="str">
            <v>Datadog</v>
          </cell>
        </row>
        <row r="12">
          <cell r="A12" t="str">
            <v>REL-0006</v>
          </cell>
          <cell r="B12" t="str">
            <v>SAP Configuration Change v5.2</v>
          </cell>
          <cell r="C12" t="str">
            <v>HR</v>
          </cell>
          <cell r="D12" t="str">
            <v>SAP SuccessFactors</v>
          </cell>
        </row>
        <row r="13">
          <cell r="A13" t="str">
            <v>REL-0007</v>
          </cell>
          <cell r="B13" t="str">
            <v>Mitratech Integration Enhancement v5.2</v>
          </cell>
          <cell r="C13" t="str">
            <v>Legal</v>
          </cell>
          <cell r="D13" t="str">
            <v>Mitratech TeamConnect</v>
          </cell>
          <cell r="I13">
            <v>46247</v>
          </cell>
          <cell r="J13">
            <v>46249</v>
          </cell>
          <cell r="K13">
            <v>46250</v>
          </cell>
        </row>
        <row r="14">
          <cell r="A14" t="str">
            <v>REL-0008</v>
          </cell>
          <cell r="B14" t="str">
            <v>CrowdStrike Minor Update v3.6</v>
          </cell>
          <cell r="C14" t="str">
            <v>Security</v>
          </cell>
          <cell r="D14" t="str">
            <v>CrowdStrike Falcon</v>
          </cell>
        </row>
        <row r="15">
          <cell r="A15" t="str">
            <v>REL-0009</v>
          </cell>
          <cell r="B15" t="str">
            <v>Oracle Report Fix v3.4</v>
          </cell>
          <cell r="C15" t="str">
            <v>Finance</v>
          </cell>
          <cell r="D15" t="str">
            <v>Oracle Hyperion HFM</v>
          </cell>
        </row>
        <row r="16">
          <cell r="A16" t="str">
            <v>REL-0010</v>
          </cell>
          <cell r="B16" t="str">
            <v>Manhattan Major Enhancement v5.2</v>
          </cell>
          <cell r="C16" t="str">
            <v>Logistics</v>
          </cell>
          <cell r="D16" t="str">
            <v>Manhattan Associates WMS</v>
          </cell>
        </row>
        <row r="17">
          <cell r="A17" t="str">
            <v>REL-0011</v>
          </cell>
          <cell r="B17" t="str">
            <v>HubSpot Minor Update v3.7</v>
          </cell>
          <cell r="C17" t="str">
            <v>CRM</v>
          </cell>
          <cell r="D17" t="str">
            <v>HubSpot CRM</v>
          </cell>
        </row>
        <row r="18">
          <cell r="A18" t="str">
            <v>REL-0012</v>
          </cell>
          <cell r="B18" t="str">
            <v>Plex Report Fix v2.5</v>
          </cell>
          <cell r="C18" t="str">
            <v>Manufacturing</v>
          </cell>
          <cell r="D18" t="str">
            <v>Plex Smart Manufacturing</v>
          </cell>
          <cell r="I18">
            <v>46245</v>
          </cell>
          <cell r="J18">
            <v>46247</v>
          </cell>
          <cell r="K18">
            <v>46247</v>
          </cell>
        </row>
        <row r="19">
          <cell r="A19" t="str">
            <v>REL-0013</v>
          </cell>
          <cell r="B19" t="str">
            <v>Dynatrace UI Tweak v3.1</v>
          </cell>
          <cell r="C19" t="str">
            <v>IT</v>
          </cell>
          <cell r="D19" t="str">
            <v>Dynatrace</v>
          </cell>
        </row>
        <row r="20">
          <cell r="A20" t="str">
            <v>REL-0014</v>
          </cell>
          <cell r="B20" t="str">
            <v>Oracle Global Rollout v2.2</v>
          </cell>
          <cell r="C20" t="str">
            <v>HR</v>
          </cell>
          <cell r="D20" t="str">
            <v>Oracle HCM Cloud</v>
          </cell>
        </row>
        <row r="21">
          <cell r="A21" t="str">
            <v>REL-0015</v>
          </cell>
          <cell r="B21" t="str">
            <v>DocuSign Core Transformation v1.0</v>
          </cell>
          <cell r="C21" t="str">
            <v>Legal</v>
          </cell>
          <cell r="D21" t="str">
            <v>DocuSign CLM</v>
          </cell>
        </row>
        <row r="22">
          <cell r="A22" t="str">
            <v>REL-0016</v>
          </cell>
          <cell r="B22" t="str">
            <v>CyberArk Enterprise Integration v2.0</v>
          </cell>
          <cell r="C22" t="str">
            <v>Security</v>
          </cell>
          <cell r="D22" t="str">
            <v>CyberArk PAM</v>
          </cell>
        </row>
        <row r="23">
          <cell r="A23" t="str">
            <v>REL-0017</v>
          </cell>
          <cell r="B23" t="str">
            <v>HighRadius Report Fix v2.4</v>
          </cell>
          <cell r="C23" t="str">
            <v>Finance</v>
          </cell>
          <cell r="D23" t="str">
            <v>HighRadius</v>
          </cell>
        </row>
        <row r="24">
          <cell r="A24" t="str">
            <v>REL-0018</v>
          </cell>
          <cell r="B24" t="str">
            <v>Oracle UI Tweak v2.0</v>
          </cell>
          <cell r="C24" t="str">
            <v>Logistics</v>
          </cell>
          <cell r="D24" t="str">
            <v>Oracle Transportation Management</v>
          </cell>
        </row>
        <row r="25">
          <cell r="A25" t="str">
            <v>REL-0019</v>
          </cell>
          <cell r="B25" t="str">
            <v>Salesforce Minor Update v2.5</v>
          </cell>
          <cell r="C25" t="str">
            <v>CRM</v>
          </cell>
          <cell r="D25" t="str">
            <v>Salesforce Service Cloud</v>
          </cell>
        </row>
        <row r="26">
          <cell r="A26" t="str">
            <v>REL-0020</v>
          </cell>
          <cell r="B26" t="str">
            <v>Rockwell Quick Enhancement v1.5</v>
          </cell>
          <cell r="C26" t="str">
            <v>Manufacturing</v>
          </cell>
          <cell r="D26" t="str">
            <v>Rockwell FactoryTalk</v>
          </cell>
        </row>
        <row r="27">
          <cell r="A27" t="str">
            <v>REL-0021</v>
          </cell>
          <cell r="B27" t="str">
            <v>Splunk Bug Fix Release v3.7</v>
          </cell>
          <cell r="C27" t="str">
            <v>IT</v>
          </cell>
          <cell r="D27" t="str">
            <v>Splunk Enterprise</v>
          </cell>
        </row>
        <row r="28">
          <cell r="A28" t="str">
            <v>REL-0022</v>
          </cell>
          <cell r="B28" t="str">
            <v>Oracle Dashboard Upgrade v2.5</v>
          </cell>
          <cell r="C28" t="str">
            <v>HR</v>
          </cell>
          <cell r="D28" t="str">
            <v>Oracle HCM Cloud</v>
          </cell>
        </row>
        <row r="29">
          <cell r="A29" t="str">
            <v>REL-0023</v>
          </cell>
          <cell r="B29" t="str">
            <v>DocuSign Feature Release v3.0</v>
          </cell>
          <cell r="C29" t="str">
            <v>Legal</v>
          </cell>
          <cell r="D29" t="str">
            <v>DocuSign CLM</v>
          </cell>
        </row>
        <row r="30">
          <cell r="A30" t="str">
            <v>REL-0024</v>
          </cell>
          <cell r="B30" t="str">
            <v>Okta Minor Update v4.1</v>
          </cell>
          <cell r="C30" t="str">
            <v>Security</v>
          </cell>
          <cell r="D30" t="str">
            <v>Okta Identity Cloud</v>
          </cell>
        </row>
        <row r="31">
          <cell r="A31" t="str">
            <v>REL-0025</v>
          </cell>
          <cell r="B31" t="str">
            <v>Coupa Dashboard Upgrade v5.8</v>
          </cell>
          <cell r="C31" t="str">
            <v>Finance</v>
          </cell>
          <cell r="D31" t="str">
            <v>Coupa</v>
          </cell>
        </row>
        <row r="32">
          <cell r="A32" t="str">
            <v>REL-0026</v>
          </cell>
          <cell r="B32" t="str">
            <v>Kinaxis Dashboard Upgrade v3.2</v>
          </cell>
          <cell r="C32" t="str">
            <v>Logistics</v>
          </cell>
          <cell r="D32" t="str">
            <v>Kinaxis RapidResponse</v>
          </cell>
        </row>
        <row r="33">
          <cell r="A33" t="str">
            <v>REL-0027</v>
          </cell>
          <cell r="B33" t="str">
            <v>Salesforce Hotfix v4.3</v>
          </cell>
          <cell r="C33" t="str">
            <v>CRM</v>
          </cell>
          <cell r="D33" t="str">
            <v>Salesforce Sales Cloud</v>
          </cell>
        </row>
        <row r="34">
          <cell r="A34" t="str">
            <v>REL-0028</v>
          </cell>
          <cell r="B34" t="str">
            <v>SAP Architecture Overhaul v5.5</v>
          </cell>
          <cell r="C34" t="str">
            <v>Manufacturing</v>
          </cell>
          <cell r="D34" t="str">
            <v>SAP S/4HANA Manufacturing</v>
          </cell>
        </row>
        <row r="35">
          <cell r="A35" t="str">
            <v>REL-0029</v>
          </cell>
          <cell r="B35" t="str">
            <v>Datadog Feature Release v2.2</v>
          </cell>
          <cell r="C35" t="str">
            <v>IT</v>
          </cell>
          <cell r="D35" t="str">
            <v>Datadog</v>
          </cell>
        </row>
        <row r="36">
          <cell r="A36" t="str">
            <v>REL-0030</v>
          </cell>
          <cell r="B36" t="str">
            <v>Cornerstone Feature Release v1.7</v>
          </cell>
          <cell r="C36" t="str">
            <v>HR</v>
          </cell>
          <cell r="D36" t="str">
            <v>Cornerstone OnDemand</v>
          </cell>
        </row>
        <row r="37">
          <cell r="A37" t="str">
            <v>REL-0031</v>
          </cell>
          <cell r="B37" t="str">
            <v>Mitratech Data Patch v2.9</v>
          </cell>
          <cell r="C37" t="str">
            <v>Legal</v>
          </cell>
          <cell r="D37" t="str">
            <v>Mitratech TeamConnect</v>
          </cell>
        </row>
        <row r="38">
          <cell r="A38" t="str">
            <v>REL-0032</v>
          </cell>
          <cell r="B38" t="str">
            <v>CrowdStrike UI Tweak v1.5</v>
          </cell>
          <cell r="C38" t="str">
            <v>Security</v>
          </cell>
          <cell r="D38" t="str">
            <v>CrowdStrike Falcon</v>
          </cell>
        </row>
        <row r="39">
          <cell r="A39" t="str">
            <v>REL-0033</v>
          </cell>
          <cell r="B39" t="str">
            <v>Oracle Major Enhancement v5.3</v>
          </cell>
          <cell r="C39" t="str">
            <v>Finance</v>
          </cell>
          <cell r="D39" t="str">
            <v>Oracle Hyperion HFM</v>
          </cell>
        </row>
        <row r="40">
          <cell r="A40" t="str">
            <v>REL-0034</v>
          </cell>
          <cell r="B40" t="str">
            <v>Manhattan Module Update v2.8</v>
          </cell>
          <cell r="C40" t="str">
            <v>Logistics</v>
          </cell>
          <cell r="D40" t="str">
            <v>Manhattan Associates WMS</v>
          </cell>
        </row>
        <row r="41">
          <cell r="A41" t="str">
            <v>REL-0035</v>
          </cell>
          <cell r="B41" t="str">
            <v>Salesforce Report Fix v5.8</v>
          </cell>
          <cell r="C41" t="str">
            <v>CRM</v>
          </cell>
          <cell r="D41" t="str">
            <v>Salesforce Service Cloud</v>
          </cell>
        </row>
        <row r="42">
          <cell r="A42" t="str">
            <v>REL-0036</v>
          </cell>
          <cell r="B42" t="str">
            <v>Plex UI Tweak v3.6</v>
          </cell>
          <cell r="C42" t="str">
            <v>Manufacturing</v>
          </cell>
          <cell r="D42" t="str">
            <v>Plex Smart Manufacturing</v>
          </cell>
        </row>
        <row r="43">
          <cell r="A43" t="str">
            <v>REL-0037</v>
          </cell>
          <cell r="B43" t="str">
            <v>Dynatrace Platform Upgrade v4.0</v>
          </cell>
          <cell r="C43" t="str">
            <v>IT</v>
          </cell>
          <cell r="D43" t="str">
            <v>Dynatrace</v>
          </cell>
        </row>
        <row r="44">
          <cell r="A44" t="str">
            <v>REL-0038</v>
          </cell>
          <cell r="B44" t="str">
            <v>SAP Bug Fix Release v5.5</v>
          </cell>
          <cell r="C44" t="str">
            <v>HR</v>
          </cell>
          <cell r="D44" t="str">
            <v>SAP SuccessFactors</v>
          </cell>
        </row>
        <row r="45">
          <cell r="A45" t="str">
            <v>REL-0039</v>
          </cell>
          <cell r="B45" t="str">
            <v>Agiloft Core Transformation v4.6</v>
          </cell>
          <cell r="C45" t="str">
            <v>Legal</v>
          </cell>
          <cell r="D45" t="str">
            <v>Agiloft CLM</v>
          </cell>
        </row>
        <row r="46">
          <cell r="A46" t="str">
            <v>REL-0040</v>
          </cell>
          <cell r="B46" t="str">
            <v>Palo Quick Enhancement v3.7</v>
          </cell>
          <cell r="C46" t="str">
            <v>Security</v>
          </cell>
          <cell r="D46" t="str">
            <v>Palo Alto Cortex XDR</v>
          </cell>
        </row>
        <row r="47">
          <cell r="A47" t="str">
            <v>REL-0041</v>
          </cell>
          <cell r="B47" t="str">
            <v>Anaplan Bug Fix Release v3.3</v>
          </cell>
          <cell r="C47" t="str">
            <v>Finance</v>
          </cell>
          <cell r="D47" t="str">
            <v>Anaplan</v>
          </cell>
        </row>
        <row r="48">
          <cell r="A48" t="str">
            <v>REL-0042</v>
          </cell>
          <cell r="B48" t="str">
            <v>Oracle Security Patch Bundle v5.6</v>
          </cell>
          <cell r="C48" t="str">
            <v>Logistics</v>
          </cell>
          <cell r="D48" t="str">
            <v>Oracle Transportation Management</v>
          </cell>
        </row>
        <row r="49">
          <cell r="A49" t="str">
            <v>REL-0043</v>
          </cell>
          <cell r="B49" t="str">
            <v>Microsoft Integration Enhancement v1.9</v>
          </cell>
          <cell r="C49" t="str">
            <v>CRM</v>
          </cell>
          <cell r="D49" t="str">
            <v>Microsoft Dynamics 365 CRM</v>
          </cell>
        </row>
        <row r="50">
          <cell r="A50" t="str">
            <v>REL-0044</v>
          </cell>
          <cell r="B50" t="str">
            <v>Siemens Integration Enhancement v2.2</v>
          </cell>
          <cell r="C50" t="str">
            <v>Manufacturing</v>
          </cell>
          <cell r="D50" t="str">
            <v>Siemens Opcenter</v>
          </cell>
        </row>
        <row r="51">
          <cell r="A51" t="str">
            <v>REL-0045</v>
          </cell>
          <cell r="B51" t="str">
            <v>Splunk Global Rollout v3.0</v>
          </cell>
          <cell r="C51" t="str">
            <v>IT</v>
          </cell>
          <cell r="D51" t="str">
            <v>Splunk Enterprise</v>
          </cell>
        </row>
        <row r="52">
          <cell r="A52" t="str">
            <v>REL-0046</v>
          </cell>
          <cell r="B52" t="str">
            <v>SAP UI Tweak v5.2</v>
          </cell>
          <cell r="C52" t="str">
            <v>HR</v>
          </cell>
          <cell r="D52" t="str">
            <v>SAP SuccessFactors</v>
          </cell>
        </row>
        <row r="53">
          <cell r="A53" t="str">
            <v>REL-0047</v>
          </cell>
          <cell r="B53" t="str">
            <v>DocuSign Integration Enhancement v1.4</v>
          </cell>
          <cell r="C53" t="str">
            <v>Legal</v>
          </cell>
          <cell r="D53" t="str">
            <v>DocuSign CLM</v>
          </cell>
        </row>
        <row r="54">
          <cell r="A54" t="str">
            <v>REL-0048</v>
          </cell>
          <cell r="B54" t="str">
            <v>Okta Report Fix v4.1</v>
          </cell>
          <cell r="C54" t="str">
            <v>Security</v>
          </cell>
          <cell r="D54" t="str">
            <v>Okta Identity Cloud</v>
          </cell>
        </row>
        <row r="55">
          <cell r="A55" t="str">
            <v>REL-0049</v>
          </cell>
          <cell r="B55" t="str">
            <v>Anaplan Minor Update v3.3</v>
          </cell>
          <cell r="C55" t="str">
            <v>Finance</v>
          </cell>
          <cell r="D55" t="str">
            <v>Anaplan</v>
          </cell>
        </row>
        <row r="56">
          <cell r="A56" t="str">
            <v>REL-0050</v>
          </cell>
          <cell r="B56" t="str">
            <v>Blue Configuration Change v5.9</v>
          </cell>
          <cell r="C56" t="str">
            <v>Logistics</v>
          </cell>
          <cell r="D56" t="str">
            <v>Blue Yonder WMS</v>
          </cell>
        </row>
        <row r="57">
          <cell r="A57" t="str">
            <v>REL-0051</v>
          </cell>
          <cell r="B57" t="str">
            <v>HubSpot Module Update v4.7</v>
          </cell>
          <cell r="C57" t="str">
            <v>CRM</v>
          </cell>
          <cell r="D57" t="str">
            <v>HubSpot CRM</v>
          </cell>
        </row>
        <row r="58">
          <cell r="A58" t="str">
            <v>REL-0052</v>
          </cell>
          <cell r="B58" t="str">
            <v>SAP Configuration Change v1.3</v>
          </cell>
          <cell r="C58" t="str">
            <v>Manufacturing</v>
          </cell>
          <cell r="D58" t="str">
            <v>SAP S/4HANA Manufacturing</v>
          </cell>
        </row>
        <row r="59">
          <cell r="A59" t="str">
            <v>REL-0053</v>
          </cell>
          <cell r="B59" t="str">
            <v>Splunk Global Rollout v5.8</v>
          </cell>
          <cell r="C59" t="str">
            <v>IT</v>
          </cell>
          <cell r="D59" t="str">
            <v>Splunk Enterprise</v>
          </cell>
        </row>
        <row r="60">
          <cell r="A60" t="str">
            <v>REL-0054</v>
          </cell>
          <cell r="B60" t="str">
            <v>Workday Core Transformation v2.7</v>
          </cell>
          <cell r="C60" t="str">
            <v>HR</v>
          </cell>
          <cell r="D60" t="str">
            <v>Workday HCM</v>
          </cell>
        </row>
        <row r="61">
          <cell r="A61" t="str">
            <v>REL-0055</v>
          </cell>
          <cell r="B61" t="str">
            <v>DocuSign Major Enhancement v5.2</v>
          </cell>
          <cell r="C61" t="str">
            <v>Legal</v>
          </cell>
          <cell r="D61" t="str">
            <v>DocuSign CLM</v>
          </cell>
        </row>
        <row r="62">
          <cell r="A62" t="str">
            <v>REL-0056</v>
          </cell>
          <cell r="B62" t="str">
            <v>Okta Performance Optimization v5.0</v>
          </cell>
          <cell r="C62" t="str">
            <v>Security</v>
          </cell>
          <cell r="D62" t="str">
            <v>Okta Identity Cloud</v>
          </cell>
        </row>
        <row r="63">
          <cell r="A63" t="str">
            <v>REL-0057</v>
          </cell>
          <cell r="B63" t="str">
            <v>Coupa Security Patch Bundle v3.3</v>
          </cell>
          <cell r="C63" t="str">
            <v>Finance</v>
          </cell>
          <cell r="D63" t="str">
            <v>Coupa</v>
          </cell>
        </row>
        <row r="64">
          <cell r="A64" t="str">
            <v>REL-0058</v>
          </cell>
          <cell r="B64" t="str">
            <v>Manhattan API Enhancement v2.0</v>
          </cell>
          <cell r="C64" t="str">
            <v>Logistics</v>
          </cell>
          <cell r="D64" t="str">
            <v>Manhattan Associates WMS</v>
          </cell>
        </row>
        <row r="65">
          <cell r="A65" t="str">
            <v>REL-0059</v>
          </cell>
          <cell r="B65" t="str">
            <v>Salesforce Workflow Automation v5.8</v>
          </cell>
          <cell r="C65" t="str">
            <v>CRM</v>
          </cell>
          <cell r="D65" t="str">
            <v>Salesforce Service Cloud</v>
          </cell>
        </row>
        <row r="66">
          <cell r="A66" t="str">
            <v>REL-0060</v>
          </cell>
          <cell r="B66" t="str">
            <v>Plex UI Tweak v4.0</v>
          </cell>
          <cell r="C66" t="str">
            <v>Manufacturing</v>
          </cell>
          <cell r="D66" t="str">
            <v>Plex Smart Manufacturing</v>
          </cell>
        </row>
        <row r="67">
          <cell r="A67" t="str">
            <v>REL-0061</v>
          </cell>
          <cell r="B67" t="str">
            <v>Datadog API Enhancement v5.6</v>
          </cell>
          <cell r="C67" t="str">
            <v>IT</v>
          </cell>
          <cell r="D67" t="str">
            <v>Datadog</v>
          </cell>
        </row>
        <row r="68">
          <cell r="A68" t="str">
            <v>REL-0062</v>
          </cell>
          <cell r="B68" t="str">
            <v>SAP Report Fix v2.8</v>
          </cell>
          <cell r="C68" t="str">
            <v>HR</v>
          </cell>
          <cell r="D68" t="str">
            <v>SAP SuccessFactors</v>
          </cell>
        </row>
        <row r="69">
          <cell r="A69" t="str">
            <v>REL-0063</v>
          </cell>
          <cell r="B69" t="str">
            <v>Mitratech Workflow Automation v2.3</v>
          </cell>
          <cell r="C69" t="str">
            <v>Legal</v>
          </cell>
          <cell r="D69" t="str">
            <v>Mitratech TeamConnect</v>
          </cell>
        </row>
        <row r="70">
          <cell r="A70" t="str">
            <v>REL-0064</v>
          </cell>
          <cell r="B70" t="str">
            <v>Microsoft Integration Enhancement v4.1</v>
          </cell>
          <cell r="C70" t="str">
            <v>Security</v>
          </cell>
          <cell r="D70" t="str">
            <v>Microsoft Sentinel</v>
          </cell>
        </row>
        <row r="71">
          <cell r="A71" t="str">
            <v>REL-0065</v>
          </cell>
          <cell r="B71" t="str">
            <v>Oracle System Migration v1.9</v>
          </cell>
          <cell r="C71" t="str">
            <v>Finance</v>
          </cell>
          <cell r="D71" t="str">
            <v>Oracle Hyperion HFM</v>
          </cell>
        </row>
        <row r="72">
          <cell r="A72" t="str">
            <v>REL-0066</v>
          </cell>
          <cell r="B72" t="str">
            <v>Oracle Module Update v5.6</v>
          </cell>
          <cell r="C72" t="str">
            <v>Logistics</v>
          </cell>
          <cell r="D72" t="str">
            <v>Oracle Transportation Management</v>
          </cell>
        </row>
        <row r="73">
          <cell r="A73" t="str">
            <v>REL-0067</v>
          </cell>
          <cell r="B73" t="str">
            <v>Salesforce Complete Redesign v1.9</v>
          </cell>
          <cell r="C73" t="str">
            <v>CRM</v>
          </cell>
          <cell r="D73" t="str">
            <v>Salesforce Sales Cloud</v>
          </cell>
        </row>
        <row r="74">
          <cell r="A74" t="str">
            <v>REL-0068</v>
          </cell>
          <cell r="B74" t="str">
            <v>Rockwell Minor Update v1.1</v>
          </cell>
          <cell r="C74" t="str">
            <v>Manufacturing</v>
          </cell>
          <cell r="D74" t="str">
            <v>Rockwell FactoryTalk</v>
          </cell>
        </row>
        <row r="75">
          <cell r="A75" t="str">
            <v>REL-0069</v>
          </cell>
          <cell r="B75" t="str">
            <v>BMC UI Tweak v5.1</v>
          </cell>
          <cell r="C75" t="str">
            <v>IT</v>
          </cell>
          <cell r="D75" t="str">
            <v>BMC Remedy</v>
          </cell>
        </row>
        <row r="76">
          <cell r="A76" t="str">
            <v>REL-0070</v>
          </cell>
          <cell r="B76" t="str">
            <v>Oracle Workflow Automation v3.6</v>
          </cell>
          <cell r="C76" t="str">
            <v>HR</v>
          </cell>
          <cell r="D76" t="str">
            <v>Oracle HCM Cloud</v>
          </cell>
        </row>
        <row r="77">
          <cell r="A77" t="str">
            <v>REL-0071</v>
          </cell>
          <cell r="B77" t="str">
            <v>Agiloft Minor Update v4.1</v>
          </cell>
          <cell r="C77" t="str">
            <v>Legal</v>
          </cell>
          <cell r="D77" t="str">
            <v>Agiloft CLM</v>
          </cell>
        </row>
        <row r="78">
          <cell r="A78" t="str">
            <v>REL-0072</v>
          </cell>
          <cell r="B78" t="str">
            <v>Palo Hotfix v5.8</v>
          </cell>
          <cell r="C78" t="str">
            <v>Security</v>
          </cell>
          <cell r="D78" t="str">
            <v>Palo Alto Cortex XDR</v>
          </cell>
        </row>
        <row r="79">
          <cell r="A79" t="str">
            <v>REL-0073</v>
          </cell>
          <cell r="B79" t="str">
            <v>Kyriba Security Patch Bundle v3.6</v>
          </cell>
          <cell r="C79" t="str">
            <v>Finance</v>
          </cell>
          <cell r="D79" t="str">
            <v>Kyriba</v>
          </cell>
        </row>
        <row r="80">
          <cell r="A80" t="str">
            <v>REL-0074</v>
          </cell>
          <cell r="B80" t="str">
            <v>Oracle Hotfix v4.3</v>
          </cell>
          <cell r="C80" t="str">
            <v>Logistics</v>
          </cell>
          <cell r="D80" t="str">
            <v>Oracle Transportation Management</v>
          </cell>
        </row>
        <row r="81">
          <cell r="A81" t="str">
            <v>REL-0075</v>
          </cell>
          <cell r="B81" t="str">
            <v>HubSpot Performance Optimization v3.0</v>
          </cell>
          <cell r="C81" t="str">
            <v>CRM</v>
          </cell>
          <cell r="D81" t="str">
            <v>HubSpot CRM</v>
          </cell>
        </row>
        <row r="82">
          <cell r="A82" t="str">
            <v>REL-0076</v>
          </cell>
          <cell r="B82" t="str">
            <v>SAP Hotfix v4.1</v>
          </cell>
          <cell r="C82" t="str">
            <v>Manufacturing</v>
          </cell>
          <cell r="D82" t="str">
            <v>SAP S/4HANA Manufacturing</v>
          </cell>
        </row>
        <row r="83">
          <cell r="A83" t="str">
            <v>REL-0077</v>
          </cell>
          <cell r="B83" t="str">
            <v>Jira Core Transformation v1.8</v>
          </cell>
          <cell r="C83" t="str">
            <v>IT</v>
          </cell>
          <cell r="D83" t="str">
            <v>Jira Service Management</v>
          </cell>
        </row>
        <row r="84">
          <cell r="A84" t="str">
            <v>REL-0078</v>
          </cell>
          <cell r="B84" t="str">
            <v>ADP Workflow Automation v2.7</v>
          </cell>
          <cell r="C84" t="str">
            <v>HR</v>
          </cell>
          <cell r="D84" t="str">
            <v>ADP Workforce Now</v>
          </cell>
        </row>
        <row r="85">
          <cell r="A85" t="str">
            <v>REL-0079</v>
          </cell>
          <cell r="B85" t="str">
            <v>Ironclad Module Update v4.7</v>
          </cell>
          <cell r="C85" t="str">
            <v>Legal</v>
          </cell>
          <cell r="D85" t="str">
            <v>Ironclad</v>
          </cell>
        </row>
        <row r="86">
          <cell r="A86" t="str">
            <v>REL-0080</v>
          </cell>
          <cell r="B86" t="str">
            <v>CrowdStrike Performance Optimization v5.9</v>
          </cell>
          <cell r="C86" t="str">
            <v>Security</v>
          </cell>
          <cell r="D86" t="str">
            <v>CrowdStrike Falcon</v>
          </cell>
        </row>
        <row r="88">
          <cell r="A88" t="str">
            <v>📖 QUICK REFERENCE: Release Management (Collapsible Section for Web)</v>
          </cell>
        </row>
        <row r="90">
          <cell r="A90" t="str">
            <v>STATUS QUICK GUIDE:</v>
          </cell>
        </row>
        <row r="91">
          <cell r="A91" t="str">
            <v xml:space="preserve">  • Draft → Initial planning phase</v>
          </cell>
        </row>
        <row r="92">
          <cell r="A92" t="str">
            <v xml:space="preserve">  • Planning → Requirements being finalized</v>
          </cell>
        </row>
        <row r="93">
          <cell r="A93" t="str">
            <v xml:space="preserve">  • Testing → QA in progress</v>
          </cell>
        </row>
        <row r="94">
          <cell r="A94" t="str">
            <v xml:space="preserve">  • Pending CAB → Awaiting Change Advisory Board approval</v>
          </cell>
        </row>
        <row r="95">
          <cell r="A95" t="str">
            <v xml:space="preserve">  • Approved → Ready for deployment</v>
          </cell>
        </row>
        <row r="96">
          <cell r="A96" t="str">
            <v xml:space="preserve">  • Blocked → Impediment preventing progress</v>
          </cell>
        </row>
        <row r="98">
          <cell r="A98" t="str">
            <v>PRIORITY LEVELS:</v>
          </cell>
        </row>
        <row r="99">
          <cell r="A99" t="str">
            <v xml:space="preserve">  • P1 - Critical: Business-stopping, immediate attention</v>
          </cell>
        </row>
        <row r="100">
          <cell r="A100" t="str">
            <v xml:space="preserve">  • P2 - High: Significant impact, prioritize</v>
          </cell>
        </row>
        <row r="101">
          <cell r="A101" t="str">
            <v xml:space="preserve">  • P3 - Medium: Important but manageable</v>
          </cell>
        </row>
        <row r="102">
          <cell r="A102" t="str">
            <v xml:space="preserve">  • P4 - Low: Minor, schedule as convenient</v>
          </cell>
        </row>
      </sheetData>
      <sheetData sheetId="14"/>
      <sheetData sheetId="15">
        <row r="9">
          <cell r="A9" t="str">
            <v>CNF-0001</v>
          </cell>
          <cell r="E9" t="str">
            <v>REL-0001</v>
          </cell>
          <cell r="F9" t="str">
            <v>REL-0003</v>
          </cell>
          <cell r="J9" t="str">
            <v>Same Test/UAT env required</v>
          </cell>
        </row>
        <row r="10">
          <cell r="A10" t="str">
            <v>CNF-0002</v>
          </cell>
          <cell r="E10" t="str">
            <v>REL-0003</v>
          </cell>
          <cell r="F10" t="str">
            <v>REL-0007</v>
          </cell>
          <cell r="J10" t="str">
            <v>Same Test/UAT env required</v>
          </cell>
        </row>
        <row r="11">
          <cell r="A11" t="str">
            <v>CNF-0003</v>
          </cell>
          <cell r="E11" t="str">
            <v>REL-0005</v>
          </cell>
          <cell r="F11" t="str">
            <v>REL-0010</v>
          </cell>
          <cell r="J11" t="str">
            <v>Same Test/UAT env required</v>
          </cell>
        </row>
        <row r="12">
          <cell r="A12" t="str">
            <v>CNF-0004</v>
          </cell>
          <cell r="E12" t="str">
            <v>REL-0007</v>
          </cell>
          <cell r="F12" t="str">
            <v>REL-0012</v>
          </cell>
          <cell r="J12" t="str">
            <v>Same Test/UAT env required</v>
          </cell>
        </row>
        <row r="13">
          <cell r="A13" t="str">
            <v>CNF-0005</v>
          </cell>
          <cell r="E13" t="str">
            <v>REL-0009</v>
          </cell>
          <cell r="F13" t="str">
            <v>REL-0014</v>
          </cell>
          <cell r="J13" t="str">
            <v>Same UAT env required</v>
          </cell>
        </row>
        <row r="14">
          <cell r="A14" t="str">
            <v>CNF-0006</v>
          </cell>
          <cell r="E14" t="str">
            <v>REL-0011</v>
          </cell>
          <cell r="F14" t="str">
            <v>REL-0014</v>
          </cell>
          <cell r="J14" t="str">
            <v>Same Test/UAT env required</v>
          </cell>
        </row>
        <row r="15">
          <cell r="A15" t="str">
            <v>CNF-0007</v>
          </cell>
          <cell r="E15" t="str">
            <v>REL-0013</v>
          </cell>
          <cell r="F15" t="str">
            <v>REL-0015</v>
          </cell>
          <cell r="J15" t="str">
            <v>Same Test/UAT env required</v>
          </cell>
        </row>
        <row r="16">
          <cell r="A16" t="str">
            <v>CNF-0008</v>
          </cell>
          <cell r="E16" t="str">
            <v>REL-0015</v>
          </cell>
          <cell r="F16" t="str">
            <v>REL-0017</v>
          </cell>
          <cell r="J16" t="str">
            <v>Same Test/UAT env required</v>
          </cell>
        </row>
        <row r="17">
          <cell r="A17" t="str">
            <v>CNF-0009</v>
          </cell>
          <cell r="E17" t="str">
            <v>REL-0019</v>
          </cell>
          <cell r="F17" t="str">
            <v>REL-0021</v>
          </cell>
          <cell r="J17" t="str">
            <v>Same Test/UAT env required</v>
          </cell>
        </row>
        <row r="18">
          <cell r="A18" t="str">
            <v>CNF-0010</v>
          </cell>
          <cell r="E18" t="str">
            <v>REL-0017</v>
          </cell>
          <cell r="F18" t="str">
            <v>REL-0022</v>
          </cell>
          <cell r="J18" t="str">
            <v>Same Test/UAT env required</v>
          </cell>
        </row>
        <row r="19">
          <cell r="A19" t="str">
            <v>CNF-0011</v>
          </cell>
          <cell r="E19" t="str">
            <v>REL-0021</v>
          </cell>
          <cell r="F19" t="str">
            <v>REL-0026</v>
          </cell>
          <cell r="J19" t="str">
            <v>Same Test/UAT env required</v>
          </cell>
        </row>
        <row r="20">
          <cell r="A20" t="str">
            <v>CNF-0012</v>
          </cell>
          <cell r="E20" t="str">
            <v>REL-0023</v>
          </cell>
          <cell r="F20" t="str">
            <v>REL-0027</v>
          </cell>
          <cell r="J20" t="str">
            <v>Same Test/UAT env required</v>
          </cell>
        </row>
        <row r="21">
          <cell r="A21" t="str">
            <v>CNF-0013</v>
          </cell>
          <cell r="E21" t="str">
            <v>REL-0041</v>
          </cell>
          <cell r="F21" t="str">
            <v>REL-0043</v>
          </cell>
          <cell r="J21" t="str">
            <v>Overlapping Test/UAT window</v>
          </cell>
        </row>
        <row r="22">
          <cell r="A22" t="str">
            <v>CNF-0014</v>
          </cell>
          <cell r="E22" t="str">
            <v>REL-0056</v>
          </cell>
          <cell r="F22" t="str">
            <v>REL-0058</v>
          </cell>
          <cell r="J22" t="str">
            <v>Overlapping Test/UAT window</v>
          </cell>
        </row>
        <row r="23">
          <cell r="A23" t="str">
            <v>CNF-0015</v>
          </cell>
          <cell r="E23" t="str">
            <v>REL-0066</v>
          </cell>
          <cell r="F23" t="str">
            <v>REL-0068</v>
          </cell>
          <cell r="J23" t="str">
            <v>Overlapping Test/UAT window</v>
          </cell>
        </row>
        <row r="24">
          <cell r="A24" t="str">
            <v>CNF-0016</v>
          </cell>
          <cell r="E24" t="str">
            <v>REL-0071</v>
          </cell>
          <cell r="F24" t="str">
            <v>REL-0073</v>
          </cell>
          <cell r="J24" t="str">
            <v>Overlapping Test/UAT window</v>
          </cell>
        </row>
        <row r="25">
          <cell r="A25" t="str">
            <v>CNF-0017</v>
          </cell>
          <cell r="E25" t="str">
            <v>REL-0005</v>
          </cell>
          <cell r="F25" t="str">
            <v>REL-0010</v>
          </cell>
          <cell r="J25" t="str">
            <v>Same Test/UAT env required</v>
          </cell>
        </row>
        <row r="26">
          <cell r="A26" t="str">
            <v>CNF-0018</v>
          </cell>
          <cell r="E26" t="str">
            <v>REL-0009</v>
          </cell>
          <cell r="F26" t="str">
            <v>REL-0011</v>
          </cell>
          <cell r="J26" t="str">
            <v>UAT environment overlap</v>
          </cell>
        </row>
        <row r="27">
          <cell r="A27" t="str">
            <v>CNF-0019</v>
          </cell>
          <cell r="E27" t="str">
            <v>REL-0014</v>
          </cell>
          <cell r="F27" t="str">
            <v>REL-0011</v>
          </cell>
          <cell r="J27" t="str">
            <v>Same Test/UAT env required</v>
          </cell>
        </row>
        <row r="28">
          <cell r="A28" t="str">
            <v>CNF-0020</v>
          </cell>
          <cell r="E28" t="str">
            <v>REL-0012</v>
          </cell>
          <cell r="F28" t="str">
            <v>REL-0007</v>
          </cell>
          <cell r="J28" t="str">
            <v>Same Test/UAT env required</v>
          </cell>
        </row>
        <row r="29">
          <cell r="A29" t="str">
            <v>CNF-0021</v>
          </cell>
          <cell r="E29" t="str">
            <v>REL-0026</v>
          </cell>
          <cell r="F29" t="str">
            <v>REL-0019</v>
          </cell>
          <cell r="J29" t="str">
            <v>Same Test/UAT env required</v>
          </cell>
        </row>
        <row r="30">
          <cell r="A30" t="str">
            <v>CNF-0022</v>
          </cell>
          <cell r="E30" t="str">
            <v>REL-0027</v>
          </cell>
          <cell r="F30" t="str">
            <v>REL-0023</v>
          </cell>
          <cell r="J30" t="str">
            <v>Same Test/UAT env required</v>
          </cell>
        </row>
        <row r="31">
          <cell r="A31" t="str">
            <v>CNF-0023</v>
          </cell>
          <cell r="E31" t="str">
            <v>REL-0043</v>
          </cell>
          <cell r="F31" t="str">
            <v>REL-0041</v>
          </cell>
          <cell r="J31" t="str">
            <v>Overlapping Test/UAT window</v>
          </cell>
        </row>
        <row r="32">
          <cell r="A32" t="str">
            <v>CNF-0024</v>
          </cell>
          <cell r="E32" t="str">
            <v>REL-0058</v>
          </cell>
          <cell r="F32" t="str">
            <v>REL-0056</v>
          </cell>
          <cell r="J32" t="str">
            <v>Overlapping Test/UAT window</v>
          </cell>
        </row>
        <row r="33">
          <cell r="A33" t="str">
            <v>CNF-0025</v>
          </cell>
          <cell r="E33" t="str">
            <v>REL-0068</v>
          </cell>
          <cell r="F33" t="str">
            <v>REL-0066</v>
          </cell>
          <cell r="J33" t="str">
            <v>Overlapping Test/UAT window</v>
          </cell>
        </row>
        <row r="34">
          <cell r="A34" t="str">
            <v>CNF-0026</v>
          </cell>
          <cell r="E34" t="str">
            <v>REL-0073</v>
          </cell>
          <cell r="F34" t="str">
            <v>REL-0071</v>
          </cell>
          <cell r="J34" t="str">
            <v>Overlapping Test/UAT window</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
          <cell r="B3" t="str">
            <v>Release ID</v>
          </cell>
          <cell r="L3" t="str">
            <v>Decision</v>
          </cell>
        </row>
        <row r="4">
          <cell r="B4" t="str">
            <v>REL-0001</v>
          </cell>
          <cell r="L4" t="str">
            <v>Rejected</v>
          </cell>
        </row>
        <row r="5">
          <cell r="B5" t="str">
            <v>REL-0001</v>
          </cell>
          <cell r="L5" t="str">
            <v>Pending</v>
          </cell>
        </row>
        <row r="6">
          <cell r="B6" t="str">
            <v>REL-0001</v>
          </cell>
          <cell r="L6" t="str">
            <v>Approved with Conditions</v>
          </cell>
        </row>
        <row r="7">
          <cell r="B7" t="str">
            <v>REL-0002</v>
          </cell>
          <cell r="L7" t="str">
            <v>Approved</v>
          </cell>
        </row>
        <row r="8">
          <cell r="B8" t="str">
            <v>REL-0002</v>
          </cell>
          <cell r="L8" t="str">
            <v>Approved</v>
          </cell>
        </row>
        <row r="9">
          <cell r="B9" t="str">
            <v>REL-0002</v>
          </cell>
          <cell r="L9" t="str">
            <v>Approved</v>
          </cell>
        </row>
        <row r="10">
          <cell r="B10" t="str">
            <v>REL-0003</v>
          </cell>
          <cell r="L10" t="str">
            <v>Approved</v>
          </cell>
        </row>
        <row r="11">
          <cell r="B11" t="str">
            <v>REL-0003</v>
          </cell>
          <cell r="L11" t="str">
            <v>Approved</v>
          </cell>
        </row>
        <row r="12">
          <cell r="B12" t="str">
            <v>REL-0003</v>
          </cell>
          <cell r="L12" t="str">
            <v>Approved</v>
          </cell>
        </row>
        <row r="13">
          <cell r="B13" t="str">
            <v>REL-0004</v>
          </cell>
          <cell r="L13" t="str">
            <v>Approved</v>
          </cell>
        </row>
        <row r="14">
          <cell r="B14" t="str">
            <v>REL-0004</v>
          </cell>
          <cell r="L14" t="str">
            <v>Approved</v>
          </cell>
        </row>
        <row r="15">
          <cell r="B15" t="str">
            <v>REL-0004</v>
          </cell>
          <cell r="L15" t="str">
            <v>Approved</v>
          </cell>
        </row>
        <row r="16">
          <cell r="B16" t="str">
            <v>REL-0007</v>
          </cell>
          <cell r="L16" t="str">
            <v>Approved</v>
          </cell>
        </row>
        <row r="17">
          <cell r="B17" t="str">
            <v>REL-0007</v>
          </cell>
          <cell r="L17" t="str">
            <v>Approved</v>
          </cell>
        </row>
        <row r="18">
          <cell r="B18" t="str">
            <v>REL-0007</v>
          </cell>
          <cell r="L18" t="str">
            <v>Approved</v>
          </cell>
        </row>
        <row r="19">
          <cell r="B19" t="str">
            <v>REL-0012</v>
          </cell>
          <cell r="L19" t="str">
            <v>Approved</v>
          </cell>
        </row>
        <row r="20">
          <cell r="B20" t="str">
            <v>REL-0012</v>
          </cell>
          <cell r="L20" t="str">
            <v>Approved</v>
          </cell>
        </row>
        <row r="21">
          <cell r="B21" t="str">
            <v>REL-0012</v>
          </cell>
          <cell r="L21" t="str">
            <v>Approved</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A96E6-1EEA-4EB7-B872-877566D93563}" name="RuleGapRegisterTable" displayName="RuleGapRegisterTable" ref="A11:K81" totalsRowShown="0" headerRowDxfId="107" dataDxfId="106">
  <autoFilter ref="A11:K81" xr:uid="{56EA96E6-1EEA-4EB7-B872-877566D93563}"/>
  <tableColumns count="11">
    <tableColumn id="1" xr3:uid="{7A9E6287-89DB-4D38-A2D0-805BF7BB9B15}" name="Category" dataDxfId="105"/>
    <tableColumn id="2" xr3:uid="{973E0319-8E94-48EB-A0AD-4B70837DFB42}" name="Source Location" dataDxfId="104"/>
    <tableColumn id="3" xr3:uid="{3D88DEB9-365E-4AE8-9833-1570C4E2DCF2}" name="Record / Test ID" dataDxfId="103"/>
    <tableColumn id="4" xr3:uid="{A59296A4-3231-4CFB-AFBF-94C52263E70C}" name="Title / Condition" dataDxfId="102"/>
    <tableColumn id="5" xr3:uid="{3634515E-947E-4136-889D-35CD2E0AB5F2}" name="Current Rule Ref" dataDxfId="101"/>
    <tableColumn id="6" xr3:uid="{DC4BACF2-66AA-47B2-AB59-E7CE6678B487}" name="Finding / Decision Needed" dataDxfId="100"/>
    <tableColumn id="7" xr3:uid="{E8496B55-5622-4711-B7F6-EBED0716E6F9}" name="Priority" dataDxfId="99"/>
    <tableColumn id="8" xr3:uid="{314F9BA1-7C52-4D91-BB4F-DD2AD8AB9555}" name="Owner" dataDxfId="98"/>
    <tableColumn id="9" xr3:uid="{F350E4AD-5038-4367-8727-8A06B5094D71}" name="Status" dataDxfId="97"/>
    <tableColumn id="10" xr3:uid="{42593ED1-1B8E-475B-8EF6-CFD436EF614A}" name="My Comments" dataDxfId="96"/>
    <tableColumn id="11" xr3:uid="{741EA669-015B-4ECE-AD2A-2FC0CA9CF98C}" name="Column1" dataDxfId="9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401860-60A2-4EE1-9476-2CBFF2ADC043}">
  <we:reference id="wa200009404" version="1.0.0.8" store="en-US" storeType="OMEX"/>
  <we:alternateReferences>
    <we:reference id="WA200009404" version="1.0.0.8" store="" storeType="OMEX"/>
  </we:alternateReferences>
  <we:properties>
    <we:property name="claude.fileId" value="&quot;f5a22881-c331-4e29-9422-34a24bb59b08&quot;"/>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2257-3C5E-4F9C-BF58-126D25AA701D}">
  <sheetPr>
    <tabColor rgb="FFFFFF00"/>
  </sheetPr>
  <dimension ref="A1:B30"/>
  <sheetViews>
    <sheetView topLeftCell="A18" workbookViewId="0">
      <selection activeCell="B4" sqref="B4"/>
    </sheetView>
  </sheetViews>
  <sheetFormatPr defaultRowHeight="14.4" x14ac:dyDescent="0.3"/>
  <cols>
    <col min="1" max="1" width="46.33203125" customWidth="1"/>
    <col min="2" max="2" width="140.77734375" customWidth="1"/>
  </cols>
  <sheetData>
    <row r="1" spans="1:2" ht="21" x14ac:dyDescent="0.3">
      <c r="A1" s="203" t="s">
        <v>13891</v>
      </c>
      <c r="B1" s="203"/>
    </row>
    <row r="2" spans="1:2" x14ac:dyDescent="0.3">
      <c r="A2" s="202" t="s">
        <v>13892</v>
      </c>
      <c r="B2" s="202"/>
    </row>
    <row r="3" spans="1:2" x14ac:dyDescent="0.3">
      <c r="A3" s="153"/>
      <c r="B3" s="153"/>
    </row>
    <row r="4" spans="1:2" ht="28.8" x14ac:dyDescent="0.3">
      <c r="A4" s="187" t="s">
        <v>13893</v>
      </c>
      <c r="B4" s="153" t="s">
        <v>13894</v>
      </c>
    </row>
    <row r="5" spans="1:2" x14ac:dyDescent="0.3">
      <c r="A5" s="153"/>
      <c r="B5" s="153"/>
    </row>
    <row r="6" spans="1:2" ht="100.8" x14ac:dyDescent="0.3">
      <c r="A6" s="187" t="s">
        <v>13895</v>
      </c>
      <c r="B6" s="153" t="s">
        <v>13896</v>
      </c>
    </row>
    <row r="7" spans="1:2" x14ac:dyDescent="0.3">
      <c r="A7" s="153"/>
      <c r="B7" s="153"/>
    </row>
    <row r="8" spans="1:2" ht="100.8" x14ac:dyDescent="0.3">
      <c r="A8" s="187" t="s">
        <v>13897</v>
      </c>
      <c r="B8" s="153" t="s">
        <v>13898</v>
      </c>
    </row>
    <row r="9" spans="1:2" x14ac:dyDescent="0.3">
      <c r="A9" s="153"/>
      <c r="B9" s="153"/>
    </row>
    <row r="10" spans="1:2" ht="100.8" x14ac:dyDescent="0.3">
      <c r="A10" s="186" t="s">
        <v>13899</v>
      </c>
      <c r="B10" s="153" t="s">
        <v>13900</v>
      </c>
    </row>
    <row r="11" spans="1:2" x14ac:dyDescent="0.3">
      <c r="A11" s="153"/>
      <c r="B11" s="153"/>
    </row>
    <row r="12" spans="1:2" x14ac:dyDescent="0.3">
      <c r="A12" s="187" t="s">
        <v>13901</v>
      </c>
      <c r="B12" s="153"/>
    </row>
    <row r="13" spans="1:2" ht="28.8" x14ac:dyDescent="0.3">
      <c r="A13" s="153" t="s">
        <v>13902</v>
      </c>
      <c r="B13" s="153" t="s">
        <v>13903</v>
      </c>
    </row>
    <row r="14" spans="1:2" ht="28.8" x14ac:dyDescent="0.3">
      <c r="A14" s="153" t="s">
        <v>13904</v>
      </c>
      <c r="B14" s="153" t="s">
        <v>13905</v>
      </c>
    </row>
    <row r="15" spans="1:2" x14ac:dyDescent="0.3">
      <c r="A15" s="153"/>
      <c r="B15" s="153"/>
    </row>
    <row r="16" spans="1:2" ht="72" x14ac:dyDescent="0.3">
      <c r="A16" s="187" t="s">
        <v>13906</v>
      </c>
      <c r="B16" s="153" t="s">
        <v>13907</v>
      </c>
    </row>
    <row r="17" spans="1:2" x14ac:dyDescent="0.3">
      <c r="A17" s="153"/>
      <c r="B17" s="153"/>
    </row>
    <row r="18" spans="1:2" ht="100.8" x14ac:dyDescent="0.3">
      <c r="A18" s="187" t="s">
        <v>13908</v>
      </c>
      <c r="B18" s="153" t="s">
        <v>13909</v>
      </c>
    </row>
    <row r="19" spans="1:2" x14ac:dyDescent="0.3">
      <c r="A19" s="153"/>
      <c r="B19" s="153"/>
    </row>
    <row r="20" spans="1:2" ht="57.6" x14ac:dyDescent="0.3">
      <c r="A20" s="187" t="s">
        <v>13910</v>
      </c>
      <c r="B20" s="153" t="s">
        <v>13911</v>
      </c>
    </row>
    <row r="21" spans="1:2" x14ac:dyDescent="0.3">
      <c r="A21" s="153"/>
      <c r="B21" s="153"/>
    </row>
    <row r="22" spans="1:2" ht="158.4" x14ac:dyDescent="0.3">
      <c r="A22" s="187" t="s">
        <v>13912</v>
      </c>
      <c r="B22" s="153" t="s">
        <v>19528</v>
      </c>
    </row>
    <row r="24" spans="1:2" ht="57.6" x14ac:dyDescent="0.3">
      <c r="A24" s="491" t="s">
        <v>19362</v>
      </c>
      <c r="B24" s="492" t="s">
        <v>19363</v>
      </c>
    </row>
    <row r="26" spans="1:2" ht="115.2" x14ac:dyDescent="0.3">
      <c r="A26" s="491" t="s">
        <v>19364</v>
      </c>
      <c r="B26" s="492" t="s">
        <v>19365</v>
      </c>
    </row>
    <row r="28" spans="1:2" ht="43.2" x14ac:dyDescent="0.3">
      <c r="A28" s="491" t="s">
        <v>19366</v>
      </c>
      <c r="B28" s="492" t="s">
        <v>19367</v>
      </c>
    </row>
    <row r="30" spans="1:2" ht="28.8" x14ac:dyDescent="0.3">
      <c r="A30" s="491" t="s">
        <v>19368</v>
      </c>
      <c r="B30" s="492" t="s">
        <v>19369</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793E6-9C29-4399-8D9B-C470B12E3E92}">
  <dimension ref="A1:B31"/>
  <sheetViews>
    <sheetView topLeftCell="A6" workbookViewId="0">
      <selection sqref="A1:B1"/>
    </sheetView>
  </sheetViews>
  <sheetFormatPr defaultRowHeight="14.4" x14ac:dyDescent="0.3"/>
  <cols>
    <col min="1" max="1" width="46.33203125" customWidth="1"/>
    <col min="2" max="2" width="140.77734375" customWidth="1"/>
  </cols>
  <sheetData>
    <row r="1" spans="1:2" ht="21" x14ac:dyDescent="0.3">
      <c r="A1" s="236" t="s">
        <v>19370</v>
      </c>
      <c r="B1" s="236"/>
    </row>
    <row r="2" spans="1:2" x14ac:dyDescent="0.3">
      <c r="A2" s="202" t="s">
        <v>19371</v>
      </c>
      <c r="B2" s="202"/>
    </row>
    <row r="3" spans="1:2" x14ac:dyDescent="0.3">
      <c r="A3" s="153"/>
      <c r="B3" s="153"/>
    </row>
    <row r="4" spans="1:2" ht="57.6" x14ac:dyDescent="0.3">
      <c r="A4" s="493" t="s">
        <v>19372</v>
      </c>
      <c r="B4" s="492" t="s">
        <v>19373</v>
      </c>
    </row>
    <row r="5" spans="1:2" x14ac:dyDescent="0.3">
      <c r="A5" s="153"/>
      <c r="B5" s="153"/>
    </row>
    <row r="6" spans="1:2" ht="57.6" x14ac:dyDescent="0.3">
      <c r="A6" s="493" t="s">
        <v>19374</v>
      </c>
      <c r="B6" s="492" t="s">
        <v>19375</v>
      </c>
    </row>
    <row r="7" spans="1:2" x14ac:dyDescent="0.3">
      <c r="A7" s="153"/>
      <c r="B7" s="153"/>
    </row>
    <row r="8" spans="1:2" ht="15.6" x14ac:dyDescent="0.3">
      <c r="A8" s="494" t="s">
        <v>19376</v>
      </c>
      <c r="B8" s="494"/>
    </row>
    <row r="9" spans="1:2" x14ac:dyDescent="0.3">
      <c r="A9" s="280" t="s">
        <v>19377</v>
      </c>
      <c r="B9" s="280" t="s">
        <v>19378</v>
      </c>
    </row>
    <row r="10" spans="1:2" x14ac:dyDescent="0.3">
      <c r="A10" s="153" t="s">
        <v>19379</v>
      </c>
      <c r="B10" s="153" t="s">
        <v>19380</v>
      </c>
    </row>
    <row r="11" spans="1:2" ht="28.8" x14ac:dyDescent="0.3">
      <c r="A11" s="153" t="s">
        <v>19381</v>
      </c>
      <c r="B11" s="153" t="s">
        <v>19382</v>
      </c>
    </row>
    <row r="12" spans="1:2" ht="28.8" x14ac:dyDescent="0.3">
      <c r="A12" s="153" t="s">
        <v>19383</v>
      </c>
      <c r="B12" s="153" t="s">
        <v>19384</v>
      </c>
    </row>
    <row r="13" spans="1:2" ht="28.8" x14ac:dyDescent="0.3">
      <c r="A13" s="153" t="s">
        <v>19385</v>
      </c>
      <c r="B13" s="153" t="s">
        <v>19386</v>
      </c>
    </row>
    <row r="14" spans="1:2" ht="28.8" x14ac:dyDescent="0.3">
      <c r="A14" s="153" t="s">
        <v>19387</v>
      </c>
      <c r="B14" s="153" t="s">
        <v>19388</v>
      </c>
    </row>
    <row r="15" spans="1:2" ht="28.8" x14ac:dyDescent="0.3">
      <c r="A15" s="153" t="s">
        <v>19389</v>
      </c>
      <c r="B15" s="153" t="s">
        <v>19390</v>
      </c>
    </row>
    <row r="16" spans="1:2" ht="28.8" x14ac:dyDescent="0.3">
      <c r="A16" s="153" t="s">
        <v>19391</v>
      </c>
      <c r="B16" s="153" t="s">
        <v>19392</v>
      </c>
    </row>
    <row r="17" spans="1:2" ht="28.8" x14ac:dyDescent="0.3">
      <c r="A17" s="153" t="s">
        <v>19393</v>
      </c>
      <c r="B17" s="153" t="s">
        <v>19394</v>
      </c>
    </row>
    <row r="18" spans="1:2" ht="28.8" x14ac:dyDescent="0.3">
      <c r="A18" s="153" t="s">
        <v>19395</v>
      </c>
      <c r="B18" s="153" t="s">
        <v>19396</v>
      </c>
    </row>
    <row r="19" spans="1:2" ht="28.8" x14ac:dyDescent="0.3">
      <c r="A19" s="153" t="s">
        <v>19397</v>
      </c>
      <c r="B19" s="153" t="s">
        <v>19398</v>
      </c>
    </row>
    <row r="20" spans="1:2" x14ac:dyDescent="0.3">
      <c r="A20" s="153"/>
      <c r="B20" s="153"/>
    </row>
    <row r="21" spans="1:2" ht="86.4" x14ac:dyDescent="0.3">
      <c r="A21" s="493" t="s">
        <v>19399</v>
      </c>
      <c r="B21" s="492" t="s">
        <v>19400</v>
      </c>
    </row>
    <row r="22" spans="1:2" x14ac:dyDescent="0.3">
      <c r="A22" s="153"/>
      <c r="B22" s="153"/>
    </row>
    <row r="23" spans="1:2" ht="57.6" x14ac:dyDescent="0.3">
      <c r="A23" s="493" t="s">
        <v>19401</v>
      </c>
      <c r="B23" s="492" t="s">
        <v>19402</v>
      </c>
    </row>
    <row r="24" spans="1:2" x14ac:dyDescent="0.3">
      <c r="A24" s="153"/>
      <c r="B24" s="153"/>
    </row>
    <row r="25" spans="1:2" ht="57.6" x14ac:dyDescent="0.3">
      <c r="A25" s="493" t="s">
        <v>19403</v>
      </c>
      <c r="B25" s="492" t="s">
        <v>19404</v>
      </c>
    </row>
    <row r="26" spans="1:2" x14ac:dyDescent="0.3">
      <c r="A26" s="153"/>
      <c r="B26" s="153"/>
    </row>
    <row r="27" spans="1:2" ht="172.8" x14ac:dyDescent="0.3">
      <c r="A27" s="493" t="s">
        <v>19405</v>
      </c>
      <c r="B27" s="492" t="s">
        <v>19409</v>
      </c>
    </row>
    <row r="28" spans="1:2" x14ac:dyDescent="0.3">
      <c r="A28" s="153"/>
      <c r="B28" s="153"/>
    </row>
    <row r="29" spans="1:2" ht="72" x14ac:dyDescent="0.3">
      <c r="A29" s="493" t="s">
        <v>19406</v>
      </c>
      <c r="B29" s="492" t="s">
        <v>19407</v>
      </c>
    </row>
    <row r="30" spans="1:2" x14ac:dyDescent="0.3">
      <c r="A30" s="153"/>
      <c r="B30" s="153"/>
    </row>
    <row r="31" spans="1:2" ht="24" x14ac:dyDescent="0.3">
      <c r="A31" s="285" t="s">
        <v>19408</v>
      </c>
      <c r="B31" s="153"/>
    </row>
  </sheetData>
  <mergeCells count="3">
    <mergeCell ref="A1:B1"/>
    <mergeCell ref="A2:B2"/>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A9FA-414C-4AC9-9FFE-F82C127B9A2F}">
  <sheetPr>
    <tabColor theme="0" tint="-4.9989318521683403E-2"/>
  </sheetPr>
  <dimension ref="A1:D62"/>
  <sheetViews>
    <sheetView topLeftCell="A26" workbookViewId="0">
      <selection activeCell="A22" sqref="A22"/>
    </sheetView>
  </sheetViews>
  <sheetFormatPr defaultRowHeight="14.4" x14ac:dyDescent="0.3"/>
  <cols>
    <col min="1" max="1" width="41.21875" customWidth="1"/>
    <col min="2" max="2" width="27.77734375" customWidth="1"/>
    <col min="3" max="3" width="79.6640625" customWidth="1"/>
    <col min="4" max="4" width="27.77734375" customWidth="1"/>
  </cols>
  <sheetData>
    <row r="1" spans="1:4" ht="63" customHeight="1" x14ac:dyDescent="0.3">
      <c r="A1" s="236" t="s">
        <v>14375</v>
      </c>
      <c r="B1" s="236"/>
      <c r="C1" s="236"/>
      <c r="D1" s="236"/>
    </row>
    <row r="2" spans="1:4" ht="57.6" customHeight="1" x14ac:dyDescent="0.3">
      <c r="A2" s="237" t="s">
        <v>14376</v>
      </c>
      <c r="B2" s="237"/>
      <c r="C2" s="237"/>
      <c r="D2" s="237"/>
    </row>
    <row r="3" spans="1:4" x14ac:dyDescent="0.3">
      <c r="A3" s="153"/>
      <c r="B3" s="153"/>
      <c r="C3" s="153"/>
      <c r="D3" s="153"/>
    </row>
    <row r="4" spans="1:4" ht="15.6" x14ac:dyDescent="0.3">
      <c r="A4" s="238" t="s">
        <v>14377</v>
      </c>
      <c r="B4" s="153"/>
      <c r="C4" s="153"/>
      <c r="D4" s="153"/>
    </row>
    <row r="5" spans="1:4" ht="86.4" customHeight="1" x14ac:dyDescent="0.3">
      <c r="A5" s="239" t="s">
        <v>14378</v>
      </c>
      <c r="B5" s="239"/>
      <c r="C5" s="239"/>
      <c r="D5" s="239"/>
    </row>
    <row r="6" spans="1:4" ht="28.8" x14ac:dyDescent="0.3">
      <c r="A6" s="240" t="s">
        <v>14379</v>
      </c>
      <c r="B6" s="241" t="s">
        <v>14380</v>
      </c>
      <c r="C6" s="15" t="s">
        <v>14381</v>
      </c>
      <c r="D6" s="153"/>
    </row>
    <row r="7" spans="1:4" ht="28.8" x14ac:dyDescent="0.3">
      <c r="A7" s="242" t="s">
        <v>14382</v>
      </c>
      <c r="B7" s="243" t="s">
        <v>14383</v>
      </c>
      <c r="C7" s="244" t="s">
        <v>14384</v>
      </c>
      <c r="D7" s="153"/>
    </row>
    <row r="8" spans="1:4" x14ac:dyDescent="0.3">
      <c r="A8" s="153"/>
      <c r="B8" s="153"/>
      <c r="C8" s="153"/>
      <c r="D8" s="153"/>
    </row>
    <row r="9" spans="1:4" ht="100.8" customHeight="1" x14ac:dyDescent="0.3">
      <c r="A9" s="245" t="s">
        <v>14385</v>
      </c>
      <c r="B9" s="245"/>
      <c r="C9" s="245"/>
      <c r="D9" s="245"/>
    </row>
    <row r="10" spans="1:4" x14ac:dyDescent="0.3">
      <c r="A10" s="153"/>
      <c r="B10" s="153"/>
      <c r="C10" s="153"/>
      <c r="D10" s="153"/>
    </row>
    <row r="11" spans="1:4" ht="15.6" x14ac:dyDescent="0.3">
      <c r="A11" s="238" t="s">
        <v>14386</v>
      </c>
      <c r="B11" s="153"/>
      <c r="C11" s="153"/>
      <c r="D11" s="153"/>
    </row>
    <row r="12" spans="1:4" x14ac:dyDescent="0.3">
      <c r="A12" s="246" t="s">
        <v>1506</v>
      </c>
      <c r="B12" s="246" t="s">
        <v>14387</v>
      </c>
      <c r="C12" s="246" t="s">
        <v>14388</v>
      </c>
      <c r="D12" s="153"/>
    </row>
    <row r="13" spans="1:4" x14ac:dyDescent="0.3">
      <c r="A13" s="153" t="s">
        <v>68</v>
      </c>
      <c r="B13" s="153" t="s">
        <v>14389</v>
      </c>
      <c r="C13" s="153" t="s">
        <v>1087</v>
      </c>
      <c r="D13" s="153"/>
    </row>
    <row r="14" spans="1:4" x14ac:dyDescent="0.3">
      <c r="A14" s="153" t="s">
        <v>73</v>
      </c>
      <c r="B14" s="153" t="s">
        <v>14389</v>
      </c>
      <c r="C14" s="153" t="s">
        <v>14390</v>
      </c>
      <c r="D14" s="153"/>
    </row>
    <row r="15" spans="1:4" x14ac:dyDescent="0.3">
      <c r="A15" s="153" t="s">
        <v>1474</v>
      </c>
      <c r="B15" s="153" t="s">
        <v>14389</v>
      </c>
      <c r="C15" s="153" t="s">
        <v>1090</v>
      </c>
      <c r="D15" s="153"/>
    </row>
    <row r="16" spans="1:4" x14ac:dyDescent="0.3">
      <c r="A16" s="153" t="s">
        <v>14391</v>
      </c>
      <c r="B16" s="153" t="s">
        <v>14389</v>
      </c>
      <c r="C16" s="153" t="s">
        <v>14392</v>
      </c>
      <c r="D16" s="153"/>
    </row>
    <row r="17" spans="1:4" x14ac:dyDescent="0.3">
      <c r="A17" s="153" t="s">
        <v>75</v>
      </c>
      <c r="B17" s="153" t="s">
        <v>14393</v>
      </c>
      <c r="C17" s="153" t="s">
        <v>14394</v>
      </c>
      <c r="D17" s="153"/>
    </row>
    <row r="18" spans="1:4" x14ac:dyDescent="0.3">
      <c r="A18" s="153" t="s">
        <v>14395</v>
      </c>
      <c r="B18" s="153" t="s">
        <v>14393</v>
      </c>
      <c r="C18" s="153" t="s">
        <v>14396</v>
      </c>
      <c r="D18" s="153"/>
    </row>
    <row r="19" spans="1:4" x14ac:dyDescent="0.3">
      <c r="A19" s="153" t="s">
        <v>61</v>
      </c>
      <c r="B19" s="153" t="s">
        <v>14393</v>
      </c>
      <c r="C19" s="153" t="s">
        <v>1232</v>
      </c>
      <c r="D19" s="153"/>
    </row>
    <row r="20" spans="1:4" x14ac:dyDescent="0.3">
      <c r="A20" s="153" t="s">
        <v>976</v>
      </c>
      <c r="B20" s="153" t="s">
        <v>14393</v>
      </c>
      <c r="C20" s="153" t="s">
        <v>1232</v>
      </c>
      <c r="D20" s="153"/>
    </row>
    <row r="21" spans="1:4" x14ac:dyDescent="0.3">
      <c r="A21" s="153" t="s">
        <v>77</v>
      </c>
      <c r="B21" s="153" t="s">
        <v>14393</v>
      </c>
      <c r="C21" s="153" t="s">
        <v>14394</v>
      </c>
      <c r="D21" s="153"/>
    </row>
    <row r="22" spans="1:4" x14ac:dyDescent="0.3">
      <c r="A22" s="153" t="s">
        <v>80</v>
      </c>
      <c r="B22" s="153" t="s">
        <v>14393</v>
      </c>
      <c r="C22" s="153" t="s">
        <v>1232</v>
      </c>
      <c r="D22" s="153"/>
    </row>
    <row r="23" spans="1:4" x14ac:dyDescent="0.3">
      <c r="A23" s="153" t="s">
        <v>14397</v>
      </c>
      <c r="B23" s="153" t="s">
        <v>14393</v>
      </c>
      <c r="C23" s="153" t="s">
        <v>14398</v>
      </c>
      <c r="D23" s="153"/>
    </row>
    <row r="24" spans="1:4" x14ac:dyDescent="0.3">
      <c r="A24" s="153" t="s">
        <v>14399</v>
      </c>
      <c r="B24" s="153" t="s">
        <v>14393</v>
      </c>
      <c r="C24" s="153" t="s">
        <v>14400</v>
      </c>
      <c r="D24" s="153"/>
    </row>
    <row r="25" spans="1:4" ht="28.8" x14ac:dyDescent="0.3">
      <c r="A25" s="153" t="s">
        <v>66</v>
      </c>
      <c r="B25" s="153" t="s">
        <v>14401</v>
      </c>
      <c r="C25" s="153" t="s">
        <v>14402</v>
      </c>
      <c r="D25" s="153"/>
    </row>
    <row r="26" spans="1:4" ht="72" customHeight="1" x14ac:dyDescent="0.3">
      <c r="A26" s="237" t="s">
        <v>14403</v>
      </c>
      <c r="B26" s="237"/>
      <c r="C26" s="237"/>
      <c r="D26" s="237"/>
    </row>
    <row r="27" spans="1:4" x14ac:dyDescent="0.3">
      <c r="A27" s="153"/>
      <c r="B27" s="153"/>
      <c r="C27" s="153"/>
      <c r="D27" s="153"/>
    </row>
    <row r="28" spans="1:4" ht="31.2" x14ac:dyDescent="0.3">
      <c r="A28" s="238" t="s">
        <v>14404</v>
      </c>
      <c r="B28" s="153"/>
      <c r="C28" s="153"/>
      <c r="D28" s="153"/>
    </row>
    <row r="29" spans="1:4" ht="72" customHeight="1" x14ac:dyDescent="0.3">
      <c r="A29" s="239" t="s">
        <v>14405</v>
      </c>
      <c r="B29" s="239"/>
      <c r="C29" s="239"/>
      <c r="D29" s="239"/>
    </row>
    <row r="30" spans="1:4" x14ac:dyDescent="0.3">
      <c r="A30" s="246" t="s">
        <v>14406</v>
      </c>
      <c r="B30" s="246" t="s">
        <v>14387</v>
      </c>
      <c r="C30" s="246" t="s">
        <v>14407</v>
      </c>
      <c r="D30" s="153"/>
    </row>
    <row r="31" spans="1:4" x14ac:dyDescent="0.3">
      <c r="A31" s="153" t="s">
        <v>14408</v>
      </c>
      <c r="B31" s="153" t="s">
        <v>1632</v>
      </c>
      <c r="C31" s="153" t="s">
        <v>14409</v>
      </c>
      <c r="D31" s="153"/>
    </row>
    <row r="32" spans="1:4" x14ac:dyDescent="0.3">
      <c r="A32" s="153" t="s">
        <v>14410</v>
      </c>
      <c r="B32" s="153" t="s">
        <v>1632</v>
      </c>
      <c r="C32" s="153" t="s">
        <v>14411</v>
      </c>
      <c r="D32" s="153"/>
    </row>
    <row r="33" spans="1:4" x14ac:dyDescent="0.3">
      <c r="A33" s="153" t="s">
        <v>14412</v>
      </c>
      <c r="B33" s="153" t="s">
        <v>1628</v>
      </c>
      <c r="C33" s="153" t="s">
        <v>14413</v>
      </c>
      <c r="D33" s="153"/>
    </row>
    <row r="34" spans="1:4" x14ac:dyDescent="0.3">
      <c r="A34" s="153"/>
      <c r="B34" s="153"/>
      <c r="C34" s="153"/>
      <c r="D34" s="153"/>
    </row>
    <row r="35" spans="1:4" ht="31.2" x14ac:dyDescent="0.3">
      <c r="A35" s="238" t="s">
        <v>14414</v>
      </c>
      <c r="B35" s="153"/>
      <c r="C35" s="153"/>
      <c r="D35" s="153"/>
    </row>
    <row r="36" spans="1:4" ht="86.4" customHeight="1" x14ac:dyDescent="0.3">
      <c r="A36" s="239" t="s">
        <v>14415</v>
      </c>
      <c r="B36" s="239"/>
      <c r="C36" s="239"/>
      <c r="D36" s="239"/>
    </row>
    <row r="37" spans="1:4" ht="57.6" customHeight="1" x14ac:dyDescent="0.3">
      <c r="A37" s="245" t="s">
        <v>14416</v>
      </c>
      <c r="B37" s="245"/>
      <c r="C37" s="245"/>
      <c r="D37" s="245"/>
    </row>
    <row r="38" spans="1:4" x14ac:dyDescent="0.3">
      <c r="A38" s="153"/>
      <c r="B38" s="153"/>
      <c r="C38" s="153"/>
      <c r="D38" s="153"/>
    </row>
    <row r="39" spans="1:4" x14ac:dyDescent="0.3">
      <c r="A39" s="246" t="s">
        <v>14417</v>
      </c>
      <c r="B39" s="246" t="s">
        <v>14418</v>
      </c>
      <c r="C39" s="246" t="s">
        <v>14419</v>
      </c>
      <c r="D39" s="246" t="s">
        <v>14420</v>
      </c>
    </row>
    <row r="40" spans="1:4" x14ac:dyDescent="0.3">
      <c r="A40" s="247" t="s">
        <v>14421</v>
      </c>
      <c r="B40" s="232"/>
      <c r="C40" s="232"/>
      <c r="D40" s="232"/>
    </row>
    <row r="41" spans="1:4" x14ac:dyDescent="0.3">
      <c r="A41" s="153" t="s">
        <v>1220</v>
      </c>
      <c r="B41" s="153" t="s">
        <v>14422</v>
      </c>
      <c r="C41" s="153" t="s">
        <v>988</v>
      </c>
      <c r="D41" s="153" t="s">
        <v>988</v>
      </c>
    </row>
    <row r="42" spans="1:4" x14ac:dyDescent="0.3">
      <c r="A42" s="153" t="s">
        <v>1287</v>
      </c>
      <c r="B42" s="153" t="s">
        <v>14423</v>
      </c>
      <c r="C42" s="153" t="s">
        <v>988</v>
      </c>
      <c r="D42" s="153" t="s">
        <v>988</v>
      </c>
    </row>
    <row r="43" spans="1:4" x14ac:dyDescent="0.3">
      <c r="A43" s="153" t="s">
        <v>1295</v>
      </c>
      <c r="B43" s="153" t="s">
        <v>14424</v>
      </c>
      <c r="C43" s="153" t="s">
        <v>962</v>
      </c>
      <c r="D43" s="153" t="s">
        <v>962</v>
      </c>
    </row>
    <row r="44" spans="1:4" x14ac:dyDescent="0.3">
      <c r="A44" s="153" t="s">
        <v>1100</v>
      </c>
      <c r="B44" s="153" t="s">
        <v>14424</v>
      </c>
      <c r="C44" s="153" t="s">
        <v>962</v>
      </c>
      <c r="D44" s="153" t="s">
        <v>962</v>
      </c>
    </row>
    <row r="45" spans="1:4" x14ac:dyDescent="0.3">
      <c r="A45" s="247" t="s">
        <v>14425</v>
      </c>
      <c r="B45" s="232"/>
      <c r="C45" s="232"/>
      <c r="D45" s="232"/>
    </row>
    <row r="46" spans="1:4" x14ac:dyDescent="0.3">
      <c r="A46" s="153" t="s">
        <v>1220</v>
      </c>
      <c r="B46" s="153" t="s">
        <v>14422</v>
      </c>
      <c r="C46" s="153" t="s">
        <v>988</v>
      </c>
      <c r="D46" s="153" t="s">
        <v>988</v>
      </c>
    </row>
    <row r="47" spans="1:4" x14ac:dyDescent="0.3">
      <c r="A47" s="153" t="s">
        <v>1100</v>
      </c>
      <c r="B47" s="153" t="s">
        <v>14424</v>
      </c>
      <c r="C47" s="153" t="s">
        <v>962</v>
      </c>
      <c r="D47" s="153" t="s">
        <v>962</v>
      </c>
    </row>
    <row r="48" spans="1:4" ht="57.6" customHeight="1" x14ac:dyDescent="0.3">
      <c r="A48" s="237" t="s">
        <v>14426</v>
      </c>
      <c r="B48" s="237"/>
      <c r="C48" s="237"/>
      <c r="D48" s="237"/>
    </row>
    <row r="49" spans="1:4" x14ac:dyDescent="0.3">
      <c r="A49" s="153"/>
      <c r="B49" s="153"/>
      <c r="C49" s="153"/>
      <c r="D49" s="153"/>
    </row>
    <row r="50" spans="1:4" ht="15.6" x14ac:dyDescent="0.3">
      <c r="A50" s="238" t="s">
        <v>14427</v>
      </c>
      <c r="B50" s="153"/>
      <c r="C50" s="153"/>
      <c r="D50" s="153"/>
    </row>
    <row r="51" spans="1:4" ht="57.6" customHeight="1" x14ac:dyDescent="0.3">
      <c r="A51" s="248" t="s">
        <v>14428</v>
      </c>
      <c r="B51" s="248"/>
      <c r="C51" s="248"/>
      <c r="D51" s="248"/>
    </row>
    <row r="52" spans="1:4" x14ac:dyDescent="0.3">
      <c r="A52" s="246" t="s">
        <v>14429</v>
      </c>
      <c r="B52" s="246" t="s">
        <v>14430</v>
      </c>
      <c r="C52" s="246" t="s">
        <v>14431</v>
      </c>
      <c r="D52" s="153"/>
    </row>
    <row r="53" spans="1:4" ht="43.2" x14ac:dyDescent="0.3">
      <c r="A53" s="249" t="s">
        <v>14432</v>
      </c>
      <c r="B53" s="153" t="s">
        <v>14433</v>
      </c>
      <c r="C53" s="153" t="s">
        <v>14434</v>
      </c>
      <c r="D53" s="153"/>
    </row>
    <row r="54" spans="1:4" ht="28.8" x14ac:dyDescent="0.3">
      <c r="A54" s="249" t="s">
        <v>14435</v>
      </c>
      <c r="B54" s="153" t="s">
        <v>14436</v>
      </c>
      <c r="C54" s="153" t="s">
        <v>14437</v>
      </c>
      <c r="D54" s="153"/>
    </row>
    <row r="55" spans="1:4" ht="43.2" x14ac:dyDescent="0.3">
      <c r="A55" s="249" t="s">
        <v>14438</v>
      </c>
      <c r="B55" s="153" t="s">
        <v>14439</v>
      </c>
      <c r="C55" s="153" t="s">
        <v>14437</v>
      </c>
      <c r="D55" s="153"/>
    </row>
    <row r="56" spans="1:4" x14ac:dyDescent="0.3">
      <c r="A56" s="153"/>
      <c r="B56" s="153"/>
      <c r="C56" s="153"/>
      <c r="D56" s="153"/>
    </row>
    <row r="57" spans="1:4" x14ac:dyDescent="0.3">
      <c r="A57" s="248" t="s">
        <v>14440</v>
      </c>
      <c r="B57" s="248"/>
      <c r="C57" s="248"/>
      <c r="D57" s="248"/>
    </row>
    <row r="58" spans="1:4" ht="28.8" x14ac:dyDescent="0.3">
      <c r="A58" s="240" t="s">
        <v>14441</v>
      </c>
      <c r="B58" s="153"/>
      <c r="C58" s="153"/>
      <c r="D58" s="153"/>
    </row>
    <row r="59" spans="1:4" x14ac:dyDescent="0.3">
      <c r="A59" s="153"/>
      <c r="B59" s="153"/>
      <c r="C59" s="153"/>
      <c r="D59" s="153"/>
    </row>
    <row r="60" spans="1:4" ht="100.8" customHeight="1" x14ac:dyDescent="0.3">
      <c r="A60" s="250" t="s">
        <v>14442</v>
      </c>
      <c r="B60" s="250"/>
      <c r="C60" s="250"/>
      <c r="D60" s="250"/>
    </row>
    <row r="61" spans="1:4" x14ac:dyDescent="0.3">
      <c r="A61" s="153"/>
      <c r="B61" s="153"/>
      <c r="C61" s="153"/>
      <c r="D61" s="153"/>
    </row>
    <row r="62" spans="1:4" ht="28.8" customHeight="1" x14ac:dyDescent="0.3">
      <c r="A62" s="251" t="s">
        <v>14443</v>
      </c>
      <c r="B62" s="251"/>
      <c r="C62" s="251"/>
      <c r="D62" s="251"/>
    </row>
  </sheetData>
  <mergeCells count="13">
    <mergeCell ref="A62:D62"/>
    <mergeCell ref="A36:D36"/>
    <mergeCell ref="A37:D37"/>
    <mergeCell ref="A48:D48"/>
    <mergeCell ref="A51:D51"/>
    <mergeCell ref="A57:D57"/>
    <mergeCell ref="A60:D60"/>
    <mergeCell ref="A1:D1"/>
    <mergeCell ref="A2:D2"/>
    <mergeCell ref="A5:D5"/>
    <mergeCell ref="A9:D9"/>
    <mergeCell ref="A26:D26"/>
    <mergeCell ref="A29:D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574F-BD79-4280-AD97-9522DDBB563D}">
  <sheetPr>
    <tabColor rgb="FF548235"/>
  </sheetPr>
  <dimension ref="A1:E23"/>
  <sheetViews>
    <sheetView topLeftCell="B1" workbookViewId="0">
      <pane ySplit="1" topLeftCell="A2" activePane="bottomLeft" state="frozen"/>
      <selection pane="bottomLeft" activeCell="C7" sqref="C7"/>
    </sheetView>
  </sheetViews>
  <sheetFormatPr defaultRowHeight="14.4" x14ac:dyDescent="0.3"/>
  <cols>
    <col min="1" max="1" width="7.44140625" customWidth="1"/>
    <col min="2" max="2" width="59.21875" customWidth="1"/>
    <col min="3" max="3" width="63" customWidth="1"/>
    <col min="4" max="5" width="40.77734375" customWidth="1"/>
  </cols>
  <sheetData>
    <row r="1" spans="1:5" ht="18" x14ac:dyDescent="0.3">
      <c r="A1" s="201" t="s">
        <v>14240</v>
      </c>
      <c r="B1" s="201"/>
      <c r="C1" s="201"/>
      <c r="D1" s="201"/>
      <c r="E1" s="201"/>
    </row>
    <row r="2" spans="1:5" x14ac:dyDescent="0.3">
      <c r="A2" s="202" t="s">
        <v>14241</v>
      </c>
      <c r="B2" s="202"/>
      <c r="C2" s="202"/>
      <c r="D2" s="202"/>
      <c r="E2" s="202"/>
    </row>
    <row r="3" spans="1:5" x14ac:dyDescent="0.3">
      <c r="A3" s="153"/>
      <c r="B3" s="153"/>
      <c r="C3" s="153"/>
      <c r="D3" s="153"/>
      <c r="E3" s="153"/>
    </row>
    <row r="4" spans="1:5" x14ac:dyDescent="0.3">
      <c r="A4" s="195" t="s">
        <v>14211</v>
      </c>
      <c r="B4" s="195" t="s">
        <v>14242</v>
      </c>
      <c r="C4" s="195" t="s">
        <v>14243</v>
      </c>
      <c r="D4" s="195" t="s">
        <v>14244</v>
      </c>
      <c r="E4" s="195" t="s">
        <v>14245</v>
      </c>
    </row>
    <row r="5" spans="1:5" ht="43.2" x14ac:dyDescent="0.3">
      <c r="A5" s="153">
        <v>1</v>
      </c>
      <c r="B5" s="153" t="s">
        <v>14246</v>
      </c>
      <c r="C5" s="153" t="s">
        <v>14247</v>
      </c>
      <c r="D5" s="153" t="s">
        <v>14248</v>
      </c>
      <c r="E5" s="153" t="s">
        <v>14249</v>
      </c>
    </row>
    <row r="6" spans="1:5" ht="28.8" x14ac:dyDescent="0.3">
      <c r="A6" s="153">
        <v>2</v>
      </c>
      <c r="B6" s="153" t="s">
        <v>14250</v>
      </c>
      <c r="C6" s="153" t="s">
        <v>14251</v>
      </c>
      <c r="D6" s="153" t="s">
        <v>14252</v>
      </c>
      <c r="E6" s="153" t="s">
        <v>14253</v>
      </c>
    </row>
    <row r="7" spans="1:5" ht="57.6" x14ac:dyDescent="0.3">
      <c r="A7" s="153">
        <v>3</v>
      </c>
      <c r="B7" s="153" t="s">
        <v>14254</v>
      </c>
      <c r="C7" s="153" t="s">
        <v>14255</v>
      </c>
      <c r="D7" s="153" t="s">
        <v>14256</v>
      </c>
      <c r="E7" s="153" t="s">
        <v>14257</v>
      </c>
    </row>
    <row r="8" spans="1:5" ht="57.6" x14ac:dyDescent="0.3">
      <c r="A8" s="153">
        <v>4</v>
      </c>
      <c r="B8" s="153" t="s">
        <v>14258</v>
      </c>
      <c r="C8" s="153" t="s">
        <v>14259</v>
      </c>
      <c r="D8" s="153" t="s">
        <v>14260</v>
      </c>
      <c r="E8" s="153" t="s">
        <v>14261</v>
      </c>
    </row>
    <row r="9" spans="1:5" ht="28.8" x14ac:dyDescent="0.3">
      <c r="A9" s="153">
        <v>5</v>
      </c>
      <c r="B9" s="153" t="s">
        <v>14262</v>
      </c>
      <c r="C9" s="153" t="s">
        <v>14263</v>
      </c>
      <c r="D9" s="153" t="s">
        <v>14252</v>
      </c>
      <c r="E9" s="153" t="s">
        <v>14264</v>
      </c>
    </row>
    <row r="10" spans="1:5" ht="28.8" x14ac:dyDescent="0.3">
      <c r="A10" s="153">
        <v>6</v>
      </c>
      <c r="B10" s="153" t="s">
        <v>14265</v>
      </c>
      <c r="C10" s="153" t="s">
        <v>14266</v>
      </c>
      <c r="D10" s="153" t="s">
        <v>14267</v>
      </c>
      <c r="E10" s="153" t="s">
        <v>14268</v>
      </c>
    </row>
    <row r="11" spans="1:5" ht="43.2" x14ac:dyDescent="0.3">
      <c r="A11" s="153">
        <v>7</v>
      </c>
      <c r="B11" s="153" t="s">
        <v>14269</v>
      </c>
      <c r="C11" s="196" t="s">
        <v>14270</v>
      </c>
      <c r="D11" s="153" t="s">
        <v>14252</v>
      </c>
      <c r="E11" s="153" t="s">
        <v>14271</v>
      </c>
    </row>
    <row r="12" spans="1:5" ht="43.2" x14ac:dyDescent="0.3">
      <c r="A12" s="153">
        <v>8</v>
      </c>
      <c r="B12" s="153" t="s">
        <v>14272</v>
      </c>
      <c r="C12" s="153" t="s">
        <v>14273</v>
      </c>
      <c r="D12" s="153" t="s">
        <v>14252</v>
      </c>
      <c r="E12" s="153" t="s">
        <v>14274</v>
      </c>
    </row>
    <row r="13" spans="1:5" ht="43.2" x14ac:dyDescent="0.3">
      <c r="A13" s="153">
        <v>9</v>
      </c>
      <c r="B13" s="153" t="s">
        <v>14275</v>
      </c>
      <c r="C13" s="153" t="s">
        <v>14276</v>
      </c>
      <c r="D13" s="153" t="s">
        <v>14277</v>
      </c>
      <c r="E13" s="153" t="s">
        <v>14278</v>
      </c>
    </row>
    <row r="14" spans="1:5" ht="43.2" x14ac:dyDescent="0.3">
      <c r="A14" s="153">
        <v>10</v>
      </c>
      <c r="B14" s="153" t="s">
        <v>14279</v>
      </c>
      <c r="C14" s="153" t="s">
        <v>14280</v>
      </c>
      <c r="D14" s="153" t="s">
        <v>14252</v>
      </c>
      <c r="E14" s="153" t="s">
        <v>1387</v>
      </c>
    </row>
    <row r="15" spans="1:5" ht="57.6" x14ac:dyDescent="0.3">
      <c r="A15" s="153">
        <v>11</v>
      </c>
      <c r="B15" s="153" t="s">
        <v>14281</v>
      </c>
      <c r="C15" s="153" t="s">
        <v>14282</v>
      </c>
      <c r="D15" s="153" t="s">
        <v>14277</v>
      </c>
      <c r="E15" s="153" t="s">
        <v>14283</v>
      </c>
    </row>
    <row r="16" spans="1:5" ht="57.6" x14ac:dyDescent="0.3">
      <c r="A16" s="153">
        <v>12</v>
      </c>
      <c r="B16" s="153" t="s">
        <v>14284</v>
      </c>
      <c r="C16" s="153" t="s">
        <v>14285</v>
      </c>
      <c r="D16" s="153" t="s">
        <v>14286</v>
      </c>
      <c r="E16" s="153" t="s">
        <v>14287</v>
      </c>
    </row>
    <row r="17" spans="1:5" ht="72" x14ac:dyDescent="0.3">
      <c r="A17" s="153">
        <v>13</v>
      </c>
      <c r="B17" s="153" t="s">
        <v>14288</v>
      </c>
      <c r="C17" s="153" t="s">
        <v>14289</v>
      </c>
      <c r="D17" s="153" t="s">
        <v>14290</v>
      </c>
      <c r="E17" s="153" t="s">
        <v>14291</v>
      </c>
    </row>
    <row r="18" spans="1:5" ht="57.6" x14ac:dyDescent="0.3">
      <c r="A18" s="153">
        <v>14</v>
      </c>
      <c r="B18" s="153" t="s">
        <v>19410</v>
      </c>
      <c r="C18" s="153" t="s">
        <v>19411</v>
      </c>
      <c r="D18" s="153" t="s">
        <v>19412</v>
      </c>
      <c r="E18" s="153" t="s">
        <v>1387</v>
      </c>
    </row>
    <row r="19" spans="1:5" ht="57.6" x14ac:dyDescent="0.3">
      <c r="A19" s="153">
        <v>15</v>
      </c>
      <c r="B19" s="153" t="s">
        <v>19413</v>
      </c>
      <c r="C19" s="153" t="s">
        <v>19414</v>
      </c>
      <c r="D19" s="153" t="s">
        <v>19415</v>
      </c>
      <c r="E19" s="153" t="s">
        <v>1389</v>
      </c>
    </row>
    <row r="20" spans="1:5" ht="129.6" x14ac:dyDescent="0.3">
      <c r="A20" s="153">
        <v>16</v>
      </c>
      <c r="B20" s="153" t="s">
        <v>19416</v>
      </c>
      <c r="C20" s="153" t="s">
        <v>19417</v>
      </c>
      <c r="D20" s="153" t="s">
        <v>19418</v>
      </c>
      <c r="E20" s="153" t="s">
        <v>19419</v>
      </c>
    </row>
    <row r="21" spans="1:5" ht="43.2" x14ac:dyDescent="0.3">
      <c r="A21" s="153">
        <v>17</v>
      </c>
      <c r="B21" s="153" t="s">
        <v>19420</v>
      </c>
      <c r="C21" s="153" t="s">
        <v>19421</v>
      </c>
      <c r="D21" s="153" t="s">
        <v>19422</v>
      </c>
      <c r="E21" s="153" t="s">
        <v>19423</v>
      </c>
    </row>
    <row r="22" spans="1:5" ht="72" x14ac:dyDescent="0.3">
      <c r="A22" s="153">
        <v>18</v>
      </c>
      <c r="B22" s="153" t="s">
        <v>19424</v>
      </c>
      <c r="C22" s="153" t="s">
        <v>19425</v>
      </c>
      <c r="D22" s="153" t="s">
        <v>19422</v>
      </c>
      <c r="E22" s="153" t="s">
        <v>19426</v>
      </c>
    </row>
    <row r="23" spans="1:5" ht="100.8" x14ac:dyDescent="0.3">
      <c r="A23" s="153">
        <v>19</v>
      </c>
      <c r="B23" s="153" t="s">
        <v>19541</v>
      </c>
      <c r="C23" s="153" t="s">
        <v>19542</v>
      </c>
      <c r="D23" s="153" t="s">
        <v>14252</v>
      </c>
      <c r="E23" s="153" t="s">
        <v>19543</v>
      </c>
    </row>
  </sheetData>
  <mergeCells count="2">
    <mergeCell ref="A1:E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0095-29C5-43B4-83FA-04EE7B132615}">
  <sheetPr>
    <tabColor rgb="FFFFFF00"/>
  </sheetPr>
  <dimension ref="A1:H29"/>
  <sheetViews>
    <sheetView workbookViewId="0">
      <selection activeCell="C15" sqref="C15"/>
    </sheetView>
  </sheetViews>
  <sheetFormatPr defaultRowHeight="14.4" x14ac:dyDescent="0.3"/>
  <cols>
    <col min="1" max="1" width="75.21875" bestFit="1" customWidth="1"/>
    <col min="2" max="2" width="37" customWidth="1"/>
    <col min="3" max="3" width="63" customWidth="1"/>
    <col min="4" max="4" width="27.77734375" customWidth="1"/>
    <col min="5" max="5" width="42.5546875" customWidth="1"/>
    <col min="6" max="6" width="38.88671875" customWidth="1"/>
    <col min="7" max="7" width="6.6640625" customWidth="1"/>
    <col min="8" max="8" width="22.21875" customWidth="1"/>
  </cols>
  <sheetData>
    <row r="1" spans="1:8" ht="21" x14ac:dyDescent="0.4">
      <c r="A1" s="167" t="s">
        <v>13054</v>
      </c>
    </row>
    <row r="2" spans="1:8" ht="41.4" x14ac:dyDescent="0.3">
      <c r="A2" s="169" t="s">
        <v>19529</v>
      </c>
      <c r="B2" s="13"/>
      <c r="C2" s="13"/>
      <c r="D2" s="13"/>
      <c r="E2" s="13"/>
      <c r="F2" s="13"/>
      <c r="G2" s="13"/>
      <c r="H2" s="13"/>
    </row>
    <row r="3" spans="1:8" x14ac:dyDescent="0.3">
      <c r="A3" s="13"/>
      <c r="B3" s="13"/>
      <c r="C3" s="13"/>
      <c r="D3" s="13"/>
      <c r="E3" s="13"/>
      <c r="F3" s="13"/>
      <c r="G3" s="13"/>
      <c r="H3" s="13"/>
    </row>
    <row r="4" spans="1:8" ht="55.2" x14ac:dyDescent="0.3">
      <c r="A4" s="170" t="s">
        <v>19530</v>
      </c>
      <c r="B4" s="13"/>
      <c r="C4" s="13"/>
      <c r="D4" s="13"/>
      <c r="E4" s="13"/>
      <c r="F4" s="13"/>
      <c r="G4" s="13"/>
      <c r="H4" s="13"/>
    </row>
    <row r="6" spans="1:8" x14ac:dyDescent="0.3">
      <c r="A6" s="171" t="s">
        <v>13055</v>
      </c>
      <c r="B6" s="171" t="s">
        <v>13056</v>
      </c>
      <c r="C6" s="171" t="s">
        <v>13057</v>
      </c>
      <c r="D6" s="171" t="s">
        <v>13058</v>
      </c>
      <c r="E6" s="171" t="s">
        <v>13059</v>
      </c>
      <c r="F6" s="171" t="s">
        <v>13060</v>
      </c>
      <c r="G6" s="171" t="s">
        <v>13061</v>
      </c>
      <c r="H6" s="171" t="s">
        <v>1068</v>
      </c>
    </row>
    <row r="7" spans="1:8" ht="43.2" x14ac:dyDescent="0.3">
      <c r="A7" s="20" t="s">
        <v>13062</v>
      </c>
      <c r="B7" s="20" t="s">
        <v>13063</v>
      </c>
      <c r="C7" s="20" t="s">
        <v>19531</v>
      </c>
      <c r="D7" s="20" t="s">
        <v>13064</v>
      </c>
      <c r="E7" s="20" t="s">
        <v>13065</v>
      </c>
      <c r="F7" s="20" t="s">
        <v>13066</v>
      </c>
      <c r="G7" s="20">
        <v>1</v>
      </c>
      <c r="H7" s="172" t="s">
        <v>13321</v>
      </c>
    </row>
    <row r="8" spans="1:8" ht="28.8" x14ac:dyDescent="0.3">
      <c r="A8" s="20" t="s">
        <v>13067</v>
      </c>
      <c r="B8" s="20" t="s">
        <v>13068</v>
      </c>
      <c r="C8" s="20" t="s">
        <v>13069</v>
      </c>
      <c r="D8" s="20" t="s">
        <v>13070</v>
      </c>
      <c r="E8" s="20" t="s">
        <v>13071</v>
      </c>
      <c r="F8" s="20" t="s">
        <v>13072</v>
      </c>
      <c r="G8" s="20">
        <v>2</v>
      </c>
      <c r="H8" s="172" t="s">
        <v>13321</v>
      </c>
    </row>
    <row r="9" spans="1:8" ht="28.8" x14ac:dyDescent="0.3">
      <c r="A9" s="20" t="s">
        <v>13073</v>
      </c>
      <c r="B9" s="20" t="s">
        <v>13074</v>
      </c>
      <c r="C9" s="20" t="s">
        <v>13075</v>
      </c>
      <c r="D9" s="20" t="s">
        <v>13076</v>
      </c>
      <c r="E9" s="20" t="s">
        <v>13077</v>
      </c>
      <c r="F9" s="20" t="s">
        <v>13078</v>
      </c>
      <c r="G9" s="20">
        <v>3</v>
      </c>
      <c r="H9" s="172" t="s">
        <v>13321</v>
      </c>
    </row>
    <row r="10" spans="1:8" ht="43.2" x14ac:dyDescent="0.3">
      <c r="A10" s="20" t="s">
        <v>13079</v>
      </c>
      <c r="B10" s="20" t="s">
        <v>13080</v>
      </c>
      <c r="C10" s="20" t="s">
        <v>13081</v>
      </c>
      <c r="D10" s="20" t="s">
        <v>13082</v>
      </c>
      <c r="E10" s="20" t="s">
        <v>13083</v>
      </c>
      <c r="F10" s="20" t="s">
        <v>13084</v>
      </c>
      <c r="G10" s="20">
        <v>4</v>
      </c>
      <c r="H10" s="172" t="s">
        <v>19533</v>
      </c>
    </row>
    <row r="11" spans="1:8" ht="43.2" x14ac:dyDescent="0.3">
      <c r="A11" s="20" t="s">
        <v>13085</v>
      </c>
      <c r="B11" s="20" t="s">
        <v>13086</v>
      </c>
      <c r="C11" s="20" t="s">
        <v>13087</v>
      </c>
      <c r="D11" s="20" t="s">
        <v>13082</v>
      </c>
      <c r="E11" s="20" t="s">
        <v>13088</v>
      </c>
      <c r="F11" s="20" t="s">
        <v>13089</v>
      </c>
      <c r="G11" s="20">
        <v>5</v>
      </c>
      <c r="H11" s="172" t="s">
        <v>19533</v>
      </c>
    </row>
    <row r="12" spans="1:8" ht="43.2" x14ac:dyDescent="0.3">
      <c r="A12" s="20" t="s">
        <v>13090</v>
      </c>
      <c r="B12" s="20" t="s">
        <v>13091</v>
      </c>
      <c r="C12" s="20" t="s">
        <v>13092</v>
      </c>
      <c r="D12" s="20" t="s">
        <v>13093</v>
      </c>
      <c r="E12" s="20" t="s">
        <v>13094</v>
      </c>
      <c r="F12" s="20" t="s">
        <v>13095</v>
      </c>
      <c r="G12" s="20">
        <v>6</v>
      </c>
      <c r="H12" s="172" t="s">
        <v>19533</v>
      </c>
    </row>
    <row r="13" spans="1:8" ht="28.8" x14ac:dyDescent="0.3">
      <c r="A13" s="20" t="s">
        <v>13096</v>
      </c>
      <c r="B13" s="20" t="s">
        <v>13097</v>
      </c>
      <c r="C13" s="20" t="s">
        <v>13098</v>
      </c>
      <c r="D13" s="20" t="s">
        <v>13082</v>
      </c>
      <c r="E13" s="20" t="s">
        <v>13099</v>
      </c>
      <c r="F13" s="20" t="s">
        <v>13100</v>
      </c>
      <c r="G13" s="20">
        <v>7</v>
      </c>
      <c r="H13" s="172" t="s">
        <v>19533</v>
      </c>
    </row>
    <row r="14" spans="1:8" ht="57.6" x14ac:dyDescent="0.3">
      <c r="A14" s="20" t="s">
        <v>13101</v>
      </c>
      <c r="B14" s="20" t="s">
        <v>13102</v>
      </c>
      <c r="C14" s="20" t="s">
        <v>19532</v>
      </c>
      <c r="D14" s="20" t="s">
        <v>13103</v>
      </c>
      <c r="E14" s="20" t="s">
        <v>13104</v>
      </c>
      <c r="F14" s="20" t="s">
        <v>13105</v>
      </c>
      <c r="G14" s="20">
        <v>8</v>
      </c>
      <c r="H14" s="172" t="s">
        <v>13321</v>
      </c>
    </row>
    <row r="15" spans="1:8" ht="28.8" x14ac:dyDescent="0.3">
      <c r="A15" s="20" t="s">
        <v>13106</v>
      </c>
      <c r="B15" s="20" t="s">
        <v>13107</v>
      </c>
      <c r="C15" s="20" t="s">
        <v>14152</v>
      </c>
      <c r="D15" s="20" t="s">
        <v>13108</v>
      </c>
      <c r="E15" s="20" t="s">
        <v>13109</v>
      </c>
      <c r="F15" s="20" t="s">
        <v>13110</v>
      </c>
      <c r="G15" s="20" t="s">
        <v>14</v>
      </c>
      <c r="H15" s="172" t="s">
        <v>13111</v>
      </c>
    </row>
    <row r="16" spans="1:8" ht="72" x14ac:dyDescent="0.3">
      <c r="A16" s="177" t="s">
        <v>13534</v>
      </c>
      <c r="B16" s="177" t="s">
        <v>13535</v>
      </c>
      <c r="C16" s="177" t="s">
        <v>13536</v>
      </c>
      <c r="D16" s="177" t="s">
        <v>13537</v>
      </c>
      <c r="E16" s="177" t="s">
        <v>13538</v>
      </c>
      <c r="F16" s="177" t="s">
        <v>13539</v>
      </c>
      <c r="G16" s="177">
        <v>9</v>
      </c>
      <c r="H16" s="178" t="s">
        <v>13321</v>
      </c>
    </row>
    <row r="17" spans="1:8" ht="86.4" x14ac:dyDescent="0.3">
      <c r="A17" s="153" t="s">
        <v>13719</v>
      </c>
      <c r="B17" s="153" t="s">
        <v>13720</v>
      </c>
      <c r="C17" s="153" t="s">
        <v>13721</v>
      </c>
      <c r="D17" s="153" t="s">
        <v>13722</v>
      </c>
      <c r="E17" s="153" t="s">
        <v>13723</v>
      </c>
      <c r="F17" s="153" t="s">
        <v>13724</v>
      </c>
      <c r="G17" s="153">
        <v>10</v>
      </c>
      <c r="H17" s="185" t="s">
        <v>13321</v>
      </c>
    </row>
    <row r="18" spans="1:8" ht="244.8" x14ac:dyDescent="0.3">
      <c r="A18" s="153" t="s">
        <v>13913</v>
      </c>
      <c r="B18" s="153" t="s">
        <v>13914</v>
      </c>
      <c r="C18" s="153" t="s">
        <v>13915</v>
      </c>
      <c r="D18" s="153" t="s">
        <v>13916</v>
      </c>
      <c r="E18" s="153" t="s">
        <v>13917</v>
      </c>
      <c r="F18" s="153" t="s">
        <v>13918</v>
      </c>
      <c r="G18" s="153">
        <v>11</v>
      </c>
      <c r="H18" s="188" t="s">
        <v>14137</v>
      </c>
    </row>
    <row r="19" spans="1:8" ht="144" x14ac:dyDescent="0.3">
      <c r="A19" s="153" t="s">
        <v>13919</v>
      </c>
      <c r="B19" s="153" t="s">
        <v>13920</v>
      </c>
      <c r="C19" s="153" t="s">
        <v>13921</v>
      </c>
      <c r="D19" s="153" t="s">
        <v>13922</v>
      </c>
      <c r="E19" s="153" t="s">
        <v>13923</v>
      </c>
      <c r="F19" s="153" t="s">
        <v>13924</v>
      </c>
      <c r="G19" s="153">
        <v>12</v>
      </c>
      <c r="H19" s="188" t="s">
        <v>14138</v>
      </c>
    </row>
    <row r="20" spans="1:8" ht="57.6" x14ac:dyDescent="0.3">
      <c r="A20" s="153" t="s">
        <v>13925</v>
      </c>
      <c r="B20" s="153" t="s">
        <v>13926</v>
      </c>
      <c r="C20" s="153" t="s">
        <v>14230</v>
      </c>
      <c r="D20" s="153" t="s">
        <v>13927</v>
      </c>
      <c r="E20" s="153" t="s">
        <v>14231</v>
      </c>
      <c r="F20" s="153" t="s">
        <v>13928</v>
      </c>
      <c r="G20" s="153">
        <v>12</v>
      </c>
      <c r="H20" s="194" t="s">
        <v>14232</v>
      </c>
    </row>
    <row r="21" spans="1:8" ht="115.2" x14ac:dyDescent="0.3">
      <c r="A21" s="168" t="s">
        <v>13940</v>
      </c>
      <c r="B21" s="153" t="s">
        <v>13941</v>
      </c>
      <c r="C21" s="153" t="s">
        <v>13942</v>
      </c>
      <c r="D21" s="153" t="s">
        <v>13943</v>
      </c>
      <c r="E21" s="153" t="s">
        <v>13944</v>
      </c>
      <c r="F21" s="153" t="s">
        <v>13945</v>
      </c>
      <c r="G21" s="153">
        <v>13</v>
      </c>
      <c r="H21" s="188" t="s">
        <v>14139</v>
      </c>
    </row>
    <row r="22" spans="1:8" ht="86.4" x14ac:dyDescent="0.3">
      <c r="A22" s="168" t="s">
        <v>14140</v>
      </c>
      <c r="B22" s="153" t="s">
        <v>14141</v>
      </c>
      <c r="C22" s="153" t="s">
        <v>14142</v>
      </c>
      <c r="D22" s="153" t="s">
        <v>14143</v>
      </c>
      <c r="E22" s="153" t="s">
        <v>14144</v>
      </c>
      <c r="F22" s="153" t="s">
        <v>14145</v>
      </c>
      <c r="G22" s="153">
        <v>14</v>
      </c>
      <c r="H22" s="188" t="s">
        <v>14146</v>
      </c>
    </row>
    <row r="23" spans="1:8" ht="100.8" x14ac:dyDescent="0.3">
      <c r="A23" s="168" t="s">
        <v>14203</v>
      </c>
      <c r="B23" s="153" t="s">
        <v>14204</v>
      </c>
      <c r="C23" s="153" t="s">
        <v>14205</v>
      </c>
      <c r="D23" s="153" t="s">
        <v>14206</v>
      </c>
      <c r="E23" s="153" t="s">
        <v>14207</v>
      </c>
      <c r="F23" s="153" t="s">
        <v>14208</v>
      </c>
      <c r="G23" s="153">
        <v>15</v>
      </c>
      <c r="H23" s="185" t="s">
        <v>14209</v>
      </c>
    </row>
    <row r="24" spans="1:8" ht="115.2" x14ac:dyDescent="0.3">
      <c r="A24" s="168" t="s">
        <v>14233</v>
      </c>
      <c r="B24" s="153" t="s">
        <v>14234</v>
      </c>
      <c r="C24" s="153" t="s">
        <v>14235</v>
      </c>
      <c r="D24" s="153" t="s">
        <v>14236</v>
      </c>
      <c r="E24" s="153" t="s">
        <v>14237</v>
      </c>
      <c r="F24" s="153" t="s">
        <v>14238</v>
      </c>
      <c r="G24" s="153">
        <v>16</v>
      </c>
      <c r="H24" s="188" t="s">
        <v>14239</v>
      </c>
    </row>
    <row r="25" spans="1:8" ht="57.6" x14ac:dyDescent="0.3">
      <c r="A25" s="168" t="s">
        <v>19534</v>
      </c>
      <c r="B25" s="153" t="s">
        <v>19535</v>
      </c>
      <c r="C25" s="153" t="s">
        <v>19536</v>
      </c>
      <c r="D25" s="153" t="s">
        <v>19537</v>
      </c>
      <c r="E25" s="153" t="s">
        <v>19538</v>
      </c>
      <c r="F25" s="153" t="s">
        <v>19539</v>
      </c>
      <c r="G25" s="153" t="s">
        <v>14</v>
      </c>
      <c r="H25" s="188" t="s">
        <v>19540</v>
      </c>
    </row>
    <row r="26" spans="1:8" x14ac:dyDescent="0.3">
      <c r="A26" s="168" t="s">
        <v>13112</v>
      </c>
      <c r="B26" s="153"/>
      <c r="C26" s="153"/>
      <c r="D26" s="153"/>
      <c r="E26" s="153"/>
      <c r="F26" s="153"/>
      <c r="G26" s="153"/>
      <c r="H26" s="188"/>
    </row>
    <row r="27" spans="1:8" ht="57.6" x14ac:dyDescent="0.3">
      <c r="A27" s="13" t="s">
        <v>14210</v>
      </c>
      <c r="B27" s="13"/>
      <c r="C27" s="13"/>
      <c r="D27" s="13"/>
      <c r="E27" s="13"/>
      <c r="F27" s="13"/>
      <c r="G27" s="13"/>
      <c r="H27" s="13"/>
    </row>
    <row r="28" spans="1:8" ht="43.2" x14ac:dyDescent="0.3">
      <c r="A28" s="13" t="s">
        <v>13113</v>
      </c>
      <c r="B28" s="13"/>
      <c r="C28" s="13"/>
      <c r="D28" s="13"/>
      <c r="E28" s="13"/>
      <c r="F28" s="13"/>
      <c r="G28" s="13"/>
      <c r="H28" s="13"/>
    </row>
    <row r="29" spans="1:8" ht="43.2" x14ac:dyDescent="0.3">
      <c r="A29" s="13" t="s">
        <v>13114</v>
      </c>
      <c r="B29" s="13"/>
      <c r="C29" s="13"/>
      <c r="D29" s="13"/>
      <c r="E29" s="13"/>
      <c r="F29" s="13"/>
      <c r="G29" s="13"/>
      <c r="H2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953A-C298-491E-8FE6-13E0E46EDB01}">
  <dimension ref="A1:J31"/>
  <sheetViews>
    <sheetView workbookViewId="0">
      <pane ySplit="1" topLeftCell="A2" activePane="bottomLeft" state="frozen"/>
      <selection pane="bottomLeft"/>
    </sheetView>
  </sheetViews>
  <sheetFormatPr defaultRowHeight="14.4" x14ac:dyDescent="0.3"/>
  <cols>
    <col min="1" max="1" width="18.5546875" customWidth="1"/>
    <col min="2" max="2" width="46.33203125" customWidth="1"/>
    <col min="3" max="3" width="7.44140625" customWidth="1"/>
    <col min="4" max="4" width="14.77734375" customWidth="1"/>
    <col min="5" max="6" width="46.33203125" customWidth="1"/>
    <col min="7" max="7" width="55.5546875" customWidth="1"/>
    <col min="8" max="8" width="46.33203125" customWidth="1"/>
    <col min="9" max="9" width="18.5546875" customWidth="1"/>
    <col min="10" max="10" width="33.33203125"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14" t="s">
        <v>84</v>
      </c>
      <c r="B2" s="14" t="s">
        <v>85</v>
      </c>
      <c r="C2" s="14" t="s">
        <v>21</v>
      </c>
      <c r="D2" s="14" t="s">
        <v>86</v>
      </c>
      <c r="E2" s="14" t="s">
        <v>87</v>
      </c>
      <c r="F2" s="14" t="s">
        <v>88</v>
      </c>
      <c r="G2" s="14" t="s">
        <v>89</v>
      </c>
      <c r="H2" s="14" t="s">
        <v>90</v>
      </c>
      <c r="I2" s="14" t="s">
        <v>12</v>
      </c>
      <c r="J2" s="14" t="s">
        <v>91</v>
      </c>
    </row>
    <row r="3" spans="1:10" ht="28.8" x14ac:dyDescent="0.3">
      <c r="A3" s="14" t="s">
        <v>92</v>
      </c>
      <c r="B3" s="14" t="s">
        <v>93</v>
      </c>
      <c r="C3" s="14" t="s">
        <v>21</v>
      </c>
      <c r="D3" s="14" t="s">
        <v>86</v>
      </c>
      <c r="E3" s="14" t="s">
        <v>94</v>
      </c>
      <c r="F3" s="14" t="s">
        <v>95</v>
      </c>
      <c r="G3" s="14" t="s">
        <v>96</v>
      </c>
      <c r="H3" s="14" t="s">
        <v>97</v>
      </c>
      <c r="I3" s="14" t="s">
        <v>12</v>
      </c>
      <c r="J3" s="14" t="s">
        <v>91</v>
      </c>
    </row>
    <row r="4" spans="1:10" x14ac:dyDescent="0.3">
      <c r="A4" s="14" t="s">
        <v>98</v>
      </c>
      <c r="B4" s="14" t="s">
        <v>99</v>
      </c>
      <c r="C4" s="14" t="s">
        <v>21</v>
      </c>
      <c r="D4" s="14" t="s">
        <v>86</v>
      </c>
      <c r="E4" s="14" t="s">
        <v>100</v>
      </c>
      <c r="F4" s="14" t="s">
        <v>101</v>
      </c>
      <c r="G4" s="14" t="s">
        <v>102</v>
      </c>
      <c r="H4" s="14" t="s">
        <v>103</v>
      </c>
      <c r="I4" s="14" t="s">
        <v>18</v>
      </c>
      <c r="J4" s="14" t="s">
        <v>91</v>
      </c>
    </row>
    <row r="5" spans="1:10" x14ac:dyDescent="0.3">
      <c r="A5" s="15" t="s">
        <v>104</v>
      </c>
      <c r="B5" s="15" t="s">
        <v>105</v>
      </c>
      <c r="C5" s="15" t="s">
        <v>21</v>
      </c>
      <c r="D5" s="15" t="s">
        <v>106</v>
      </c>
      <c r="E5" s="15" t="s">
        <v>107</v>
      </c>
      <c r="F5" s="15" t="s">
        <v>108</v>
      </c>
      <c r="G5" s="15" t="s">
        <v>109</v>
      </c>
      <c r="H5" s="15" t="s">
        <v>14</v>
      </c>
      <c r="I5" s="15" t="s">
        <v>18</v>
      </c>
      <c r="J5" s="15" t="s">
        <v>110</v>
      </c>
    </row>
    <row r="6" spans="1:10" x14ac:dyDescent="0.3">
      <c r="A6" s="15" t="s">
        <v>111</v>
      </c>
      <c r="B6" s="15" t="s">
        <v>112</v>
      </c>
      <c r="C6" s="15" t="s">
        <v>10</v>
      </c>
      <c r="D6" s="15" t="s">
        <v>106</v>
      </c>
      <c r="E6" s="15" t="s">
        <v>107</v>
      </c>
      <c r="F6" s="15" t="s">
        <v>113</v>
      </c>
      <c r="G6" s="15" t="s">
        <v>114</v>
      </c>
      <c r="H6" s="15" t="s">
        <v>115</v>
      </c>
      <c r="I6" s="15" t="s">
        <v>18</v>
      </c>
      <c r="J6" s="15" t="s">
        <v>110</v>
      </c>
    </row>
    <row r="7" spans="1:10" x14ac:dyDescent="0.3">
      <c r="A7" s="15" t="s">
        <v>116</v>
      </c>
      <c r="B7" s="15" t="s">
        <v>117</v>
      </c>
      <c r="C7" s="15" t="s">
        <v>21</v>
      </c>
      <c r="D7" s="15" t="s">
        <v>106</v>
      </c>
      <c r="E7" s="15" t="s">
        <v>118</v>
      </c>
      <c r="F7" s="15" t="s">
        <v>119</v>
      </c>
      <c r="G7" s="15" t="s">
        <v>109</v>
      </c>
      <c r="H7" s="15" t="s">
        <v>14</v>
      </c>
      <c r="I7" s="15" t="s">
        <v>18</v>
      </c>
      <c r="J7" s="15" t="s">
        <v>110</v>
      </c>
    </row>
    <row r="8" spans="1:10" x14ac:dyDescent="0.3">
      <c r="A8" s="11" t="s">
        <v>120</v>
      </c>
      <c r="B8" s="11" t="s">
        <v>121</v>
      </c>
      <c r="C8" s="11" t="s">
        <v>21</v>
      </c>
      <c r="D8" s="11" t="s">
        <v>122</v>
      </c>
      <c r="E8" s="11" t="s">
        <v>123</v>
      </c>
      <c r="F8" s="11" t="s">
        <v>124</v>
      </c>
      <c r="G8" s="11" t="s">
        <v>125</v>
      </c>
      <c r="H8" s="11" t="s">
        <v>14</v>
      </c>
      <c r="I8" s="11" t="s">
        <v>18</v>
      </c>
      <c r="J8" s="11" t="s">
        <v>126</v>
      </c>
    </row>
    <row r="9" spans="1:10" x14ac:dyDescent="0.3">
      <c r="A9" s="11" t="s">
        <v>127</v>
      </c>
      <c r="B9" s="11" t="s">
        <v>128</v>
      </c>
      <c r="C9" s="11" t="s">
        <v>21</v>
      </c>
      <c r="D9" s="11" t="s">
        <v>122</v>
      </c>
      <c r="E9" s="11" t="s">
        <v>129</v>
      </c>
      <c r="F9" s="11" t="s">
        <v>130</v>
      </c>
      <c r="G9" s="11" t="s">
        <v>131</v>
      </c>
      <c r="H9" s="11" t="s">
        <v>14</v>
      </c>
      <c r="I9" s="11" t="s">
        <v>18</v>
      </c>
      <c r="J9" s="11" t="s">
        <v>126</v>
      </c>
    </row>
    <row r="10" spans="1:10" ht="28.8" x14ac:dyDescent="0.3">
      <c r="A10" s="4" t="s">
        <v>132</v>
      </c>
      <c r="B10" s="4" t="s">
        <v>133</v>
      </c>
      <c r="C10" s="4" t="s">
        <v>21</v>
      </c>
      <c r="D10" s="4" t="s">
        <v>134</v>
      </c>
      <c r="E10" s="4" t="s">
        <v>135</v>
      </c>
      <c r="F10" s="4" t="s">
        <v>136</v>
      </c>
      <c r="G10" s="4" t="s">
        <v>137</v>
      </c>
      <c r="H10" s="4" t="s">
        <v>138</v>
      </c>
      <c r="I10" s="4" t="s">
        <v>12</v>
      </c>
      <c r="J10" s="4" t="s">
        <v>134</v>
      </c>
    </row>
    <row r="11" spans="1:10" x14ac:dyDescent="0.3">
      <c r="A11" s="4" t="s">
        <v>139</v>
      </c>
      <c r="B11" s="4" t="s">
        <v>140</v>
      </c>
      <c r="C11" s="4" t="s">
        <v>21</v>
      </c>
      <c r="D11" s="4" t="s">
        <v>134</v>
      </c>
      <c r="E11" s="4" t="s">
        <v>141</v>
      </c>
      <c r="F11" s="4" t="s">
        <v>142</v>
      </c>
      <c r="G11" s="4" t="s">
        <v>143</v>
      </c>
      <c r="H11" s="4" t="s">
        <v>144</v>
      </c>
      <c r="I11" s="4" t="s">
        <v>12</v>
      </c>
      <c r="J11" s="4" t="s">
        <v>134</v>
      </c>
    </row>
    <row r="12" spans="1:10" x14ac:dyDescent="0.3">
      <c r="A12" s="4" t="s">
        <v>145</v>
      </c>
      <c r="B12" s="4" t="s">
        <v>146</v>
      </c>
      <c r="C12" s="4" t="s">
        <v>21</v>
      </c>
      <c r="D12" s="4" t="s">
        <v>134</v>
      </c>
      <c r="E12" s="4" t="s">
        <v>147</v>
      </c>
      <c r="F12" s="4" t="s">
        <v>148</v>
      </c>
      <c r="G12" s="4" t="s">
        <v>149</v>
      </c>
      <c r="H12" s="4" t="s">
        <v>14</v>
      </c>
      <c r="I12" s="4" t="s">
        <v>18</v>
      </c>
      <c r="J12" s="4" t="s">
        <v>134</v>
      </c>
    </row>
    <row r="13" spans="1:10" x14ac:dyDescent="0.3">
      <c r="A13" s="9" t="s">
        <v>150</v>
      </c>
      <c r="B13" s="9" t="s">
        <v>151</v>
      </c>
      <c r="C13" s="9" t="s">
        <v>21</v>
      </c>
      <c r="D13" s="9" t="s">
        <v>152</v>
      </c>
      <c r="E13" s="9" t="s">
        <v>153</v>
      </c>
      <c r="F13" s="9" t="s">
        <v>154</v>
      </c>
      <c r="G13" s="9" t="s">
        <v>155</v>
      </c>
      <c r="H13" s="9" t="s">
        <v>156</v>
      </c>
      <c r="I13" s="9" t="s">
        <v>12</v>
      </c>
      <c r="J13" s="9" t="s">
        <v>157</v>
      </c>
    </row>
    <row r="14" spans="1:10" x14ac:dyDescent="0.3">
      <c r="A14" s="9" t="s">
        <v>158</v>
      </c>
      <c r="B14" s="9" t="s">
        <v>159</v>
      </c>
      <c r="C14" s="9" t="s">
        <v>21</v>
      </c>
      <c r="D14" s="9" t="s">
        <v>152</v>
      </c>
      <c r="E14" s="9" t="s">
        <v>160</v>
      </c>
      <c r="F14" s="9" t="s">
        <v>161</v>
      </c>
      <c r="G14" s="9" t="s">
        <v>162</v>
      </c>
      <c r="H14" s="9" t="s">
        <v>163</v>
      </c>
      <c r="I14" s="9" t="s">
        <v>12</v>
      </c>
      <c r="J14" s="9" t="s">
        <v>157</v>
      </c>
    </row>
    <row r="15" spans="1:10" x14ac:dyDescent="0.3">
      <c r="A15" s="9" t="s">
        <v>164</v>
      </c>
      <c r="B15" s="9" t="s">
        <v>165</v>
      </c>
      <c r="C15" s="9" t="s">
        <v>10</v>
      </c>
      <c r="D15" s="9" t="s">
        <v>152</v>
      </c>
      <c r="E15" s="9" t="s">
        <v>166</v>
      </c>
      <c r="F15" s="9" t="s">
        <v>167</v>
      </c>
      <c r="G15" s="9" t="s">
        <v>168</v>
      </c>
      <c r="H15" s="9" t="s">
        <v>14</v>
      </c>
      <c r="I15" s="9" t="s">
        <v>12</v>
      </c>
      <c r="J15" s="9" t="s">
        <v>157</v>
      </c>
    </row>
    <row r="16" spans="1:10" x14ac:dyDescent="0.3">
      <c r="A16" s="9" t="s">
        <v>169</v>
      </c>
      <c r="B16" s="9" t="s">
        <v>170</v>
      </c>
      <c r="C16" s="9" t="s">
        <v>10</v>
      </c>
      <c r="D16" s="9" t="s">
        <v>152</v>
      </c>
      <c r="E16" s="9" t="s">
        <v>171</v>
      </c>
      <c r="F16" s="9" t="s">
        <v>172</v>
      </c>
      <c r="G16" s="9" t="s">
        <v>173</v>
      </c>
      <c r="H16" s="9" t="s">
        <v>14</v>
      </c>
      <c r="I16" s="9" t="s">
        <v>12</v>
      </c>
      <c r="J16" s="9" t="s">
        <v>157</v>
      </c>
    </row>
    <row r="17" spans="1:10" x14ac:dyDescent="0.3">
      <c r="A17" s="5" t="s">
        <v>174</v>
      </c>
      <c r="B17" s="5" t="s">
        <v>175</v>
      </c>
      <c r="C17" s="5" t="s">
        <v>21</v>
      </c>
      <c r="D17" s="5" t="s">
        <v>176</v>
      </c>
      <c r="E17" s="5" t="s">
        <v>177</v>
      </c>
      <c r="F17" s="5" t="s">
        <v>178</v>
      </c>
      <c r="G17" s="5" t="s">
        <v>179</v>
      </c>
      <c r="H17" s="5" t="s">
        <v>180</v>
      </c>
      <c r="I17" s="5" t="s">
        <v>12</v>
      </c>
      <c r="J17" s="5" t="s">
        <v>176</v>
      </c>
    </row>
    <row r="18" spans="1:10" x14ac:dyDescent="0.3">
      <c r="A18" s="5" t="s">
        <v>181</v>
      </c>
      <c r="B18" s="5" t="s">
        <v>182</v>
      </c>
      <c r="C18" s="5" t="s">
        <v>10</v>
      </c>
      <c r="D18" s="5" t="s">
        <v>176</v>
      </c>
      <c r="E18" s="5" t="s">
        <v>183</v>
      </c>
      <c r="F18" s="5" t="s">
        <v>184</v>
      </c>
      <c r="G18" s="5" t="s">
        <v>185</v>
      </c>
      <c r="H18" s="5" t="s">
        <v>186</v>
      </c>
      <c r="I18" s="5" t="s">
        <v>12</v>
      </c>
      <c r="J18" s="5" t="s">
        <v>176</v>
      </c>
    </row>
    <row r="19" spans="1:10" x14ac:dyDescent="0.3">
      <c r="A19" s="5" t="s">
        <v>187</v>
      </c>
      <c r="B19" s="5" t="s">
        <v>188</v>
      </c>
      <c r="C19" s="5" t="s">
        <v>21</v>
      </c>
      <c r="D19" s="5" t="s">
        <v>176</v>
      </c>
      <c r="E19" s="5" t="s">
        <v>189</v>
      </c>
      <c r="F19" s="5" t="s">
        <v>190</v>
      </c>
      <c r="G19" s="5" t="s">
        <v>191</v>
      </c>
      <c r="H19" s="5" t="s">
        <v>192</v>
      </c>
      <c r="I19" s="5" t="s">
        <v>12</v>
      </c>
      <c r="J19" s="5" t="s">
        <v>176</v>
      </c>
    </row>
    <row r="20" spans="1:10" x14ac:dyDescent="0.3">
      <c r="A20" s="3" t="s">
        <v>193</v>
      </c>
      <c r="B20" s="3" t="s">
        <v>194</v>
      </c>
      <c r="C20" s="3" t="s">
        <v>21</v>
      </c>
      <c r="D20" s="3" t="s">
        <v>195</v>
      </c>
      <c r="E20" s="3" t="s">
        <v>196</v>
      </c>
      <c r="F20" s="3" t="s">
        <v>197</v>
      </c>
      <c r="G20" s="3" t="s">
        <v>198</v>
      </c>
      <c r="H20" s="3" t="s">
        <v>14</v>
      </c>
      <c r="I20" s="3" t="s">
        <v>18</v>
      </c>
      <c r="J20" s="3" t="s">
        <v>199</v>
      </c>
    </row>
    <row r="21" spans="1:10" x14ac:dyDescent="0.3">
      <c r="A21" s="3" t="s">
        <v>200</v>
      </c>
      <c r="B21" s="3" t="s">
        <v>201</v>
      </c>
      <c r="C21" s="3" t="s">
        <v>21</v>
      </c>
      <c r="D21" s="3" t="s">
        <v>195</v>
      </c>
      <c r="E21" s="3" t="s">
        <v>202</v>
      </c>
      <c r="F21" s="3" t="s">
        <v>203</v>
      </c>
      <c r="G21" s="3" t="s">
        <v>204</v>
      </c>
      <c r="H21" s="3" t="s">
        <v>205</v>
      </c>
      <c r="I21" s="3" t="s">
        <v>18</v>
      </c>
      <c r="J21" s="3" t="s">
        <v>199</v>
      </c>
    </row>
    <row r="22" spans="1:10" x14ac:dyDescent="0.3">
      <c r="A22" s="6" t="s">
        <v>206</v>
      </c>
      <c r="B22" s="6" t="s">
        <v>207</v>
      </c>
      <c r="C22" s="6" t="s">
        <v>21</v>
      </c>
      <c r="D22" s="6" t="s">
        <v>208</v>
      </c>
      <c r="E22" s="6" t="s">
        <v>209</v>
      </c>
      <c r="F22" s="6" t="s">
        <v>210</v>
      </c>
      <c r="G22" s="6" t="s">
        <v>211</v>
      </c>
      <c r="H22" s="6" t="s">
        <v>14</v>
      </c>
      <c r="I22" s="6" t="s">
        <v>18</v>
      </c>
      <c r="J22" s="6" t="s">
        <v>212</v>
      </c>
    </row>
    <row r="23" spans="1:10" x14ac:dyDescent="0.3">
      <c r="A23" s="6" t="s">
        <v>213</v>
      </c>
      <c r="B23" s="6" t="s">
        <v>214</v>
      </c>
      <c r="C23" s="6" t="s">
        <v>21</v>
      </c>
      <c r="D23" s="6" t="s">
        <v>208</v>
      </c>
      <c r="E23" s="6" t="s">
        <v>215</v>
      </c>
      <c r="F23" s="6" t="s">
        <v>216</v>
      </c>
      <c r="G23" s="6" t="s">
        <v>217</v>
      </c>
      <c r="H23" s="6" t="s">
        <v>218</v>
      </c>
      <c r="I23" s="6" t="s">
        <v>18</v>
      </c>
      <c r="J23" s="6" t="s">
        <v>212</v>
      </c>
    </row>
    <row r="24" spans="1:10" x14ac:dyDescent="0.3">
      <c r="A24" s="12" t="s">
        <v>219</v>
      </c>
      <c r="B24" s="12" t="s">
        <v>220</v>
      </c>
      <c r="C24" s="12" t="s">
        <v>21</v>
      </c>
      <c r="D24" s="12" t="s">
        <v>221</v>
      </c>
      <c r="E24" s="12" t="s">
        <v>222</v>
      </c>
      <c r="F24" s="12" t="s">
        <v>223</v>
      </c>
      <c r="G24" s="12" t="s">
        <v>224</v>
      </c>
      <c r="H24" s="12" t="s">
        <v>225</v>
      </c>
      <c r="I24" s="12" t="s">
        <v>18</v>
      </c>
      <c r="J24" s="12" t="s">
        <v>226</v>
      </c>
    </row>
    <row r="25" spans="1:10" x14ac:dyDescent="0.3">
      <c r="A25" s="12" t="s">
        <v>227</v>
      </c>
      <c r="B25" s="12" t="s">
        <v>228</v>
      </c>
      <c r="C25" s="12" t="s">
        <v>21</v>
      </c>
      <c r="D25" s="12" t="s">
        <v>221</v>
      </c>
      <c r="E25" s="12" t="s">
        <v>229</v>
      </c>
      <c r="F25" s="12" t="s">
        <v>230</v>
      </c>
      <c r="G25" s="12" t="s">
        <v>231</v>
      </c>
      <c r="H25" s="12" t="s">
        <v>232</v>
      </c>
      <c r="I25" s="12" t="s">
        <v>18</v>
      </c>
      <c r="J25" s="12" t="s">
        <v>226</v>
      </c>
    </row>
    <row r="26" spans="1:10" x14ac:dyDescent="0.3">
      <c r="A26" s="7" t="s">
        <v>233</v>
      </c>
      <c r="B26" s="7" t="s">
        <v>234</v>
      </c>
      <c r="C26" s="7" t="s">
        <v>21</v>
      </c>
      <c r="D26" s="7" t="s">
        <v>235</v>
      </c>
      <c r="E26" s="7" t="s">
        <v>236</v>
      </c>
      <c r="F26" s="7" t="s">
        <v>237</v>
      </c>
      <c r="G26" s="7" t="s">
        <v>238</v>
      </c>
      <c r="H26" s="7" t="s">
        <v>239</v>
      </c>
      <c r="I26" s="7" t="s">
        <v>18</v>
      </c>
      <c r="J26" s="7" t="s">
        <v>240</v>
      </c>
    </row>
    <row r="27" spans="1:10" x14ac:dyDescent="0.3">
      <c r="A27" s="7" t="s">
        <v>241</v>
      </c>
      <c r="B27" s="7" t="s">
        <v>242</v>
      </c>
      <c r="C27" s="7" t="s">
        <v>21</v>
      </c>
      <c r="D27" s="7" t="s">
        <v>235</v>
      </c>
      <c r="E27" s="7" t="s">
        <v>243</v>
      </c>
      <c r="F27" s="7" t="s">
        <v>244</v>
      </c>
      <c r="G27" s="7" t="s">
        <v>245</v>
      </c>
      <c r="H27" s="7" t="s">
        <v>14</v>
      </c>
      <c r="I27" s="7" t="s">
        <v>18</v>
      </c>
      <c r="J27" s="7" t="s">
        <v>240</v>
      </c>
    </row>
    <row r="28" spans="1:10" x14ac:dyDescent="0.3">
      <c r="A28" s="8" t="s">
        <v>246</v>
      </c>
      <c r="B28" s="8" t="s">
        <v>247</v>
      </c>
      <c r="C28" s="8" t="s">
        <v>21</v>
      </c>
      <c r="D28" s="8" t="s">
        <v>248</v>
      </c>
      <c r="E28" s="8" t="s">
        <v>249</v>
      </c>
      <c r="F28" s="8" t="s">
        <v>130</v>
      </c>
      <c r="G28" s="8" t="s">
        <v>250</v>
      </c>
      <c r="H28" s="8" t="s">
        <v>14</v>
      </c>
      <c r="I28" s="8" t="s">
        <v>18</v>
      </c>
      <c r="J28" s="8" t="s">
        <v>251</v>
      </c>
    </row>
    <row r="29" spans="1:10" x14ac:dyDescent="0.3">
      <c r="A29" s="8" t="s">
        <v>252</v>
      </c>
      <c r="B29" s="8" t="s">
        <v>253</v>
      </c>
      <c r="C29" s="8" t="s">
        <v>21</v>
      </c>
      <c r="D29" s="8" t="s">
        <v>248</v>
      </c>
      <c r="E29" s="8" t="s">
        <v>254</v>
      </c>
      <c r="F29" s="8" t="s">
        <v>130</v>
      </c>
      <c r="G29" s="8" t="s">
        <v>250</v>
      </c>
      <c r="H29" s="8" t="s">
        <v>14</v>
      </c>
      <c r="I29" s="8" t="s">
        <v>255</v>
      </c>
      <c r="J29" s="8" t="s">
        <v>251</v>
      </c>
    </row>
    <row r="30" spans="1:10" x14ac:dyDescent="0.3">
      <c r="A30" s="10" t="s">
        <v>256</v>
      </c>
      <c r="B30" s="10" t="s">
        <v>257</v>
      </c>
      <c r="C30" s="10" t="s">
        <v>21</v>
      </c>
      <c r="D30" s="10" t="s">
        <v>258</v>
      </c>
      <c r="E30" s="10" t="s">
        <v>259</v>
      </c>
      <c r="F30" s="10" t="s">
        <v>260</v>
      </c>
      <c r="G30" s="10" t="s">
        <v>261</v>
      </c>
      <c r="H30" s="10" t="s">
        <v>262</v>
      </c>
      <c r="I30" s="10" t="s">
        <v>12</v>
      </c>
      <c r="J30" s="10" t="s">
        <v>263</v>
      </c>
    </row>
    <row r="31" spans="1:10" x14ac:dyDescent="0.3">
      <c r="A31" s="10" t="s">
        <v>264</v>
      </c>
      <c r="B31" s="10" t="s">
        <v>265</v>
      </c>
      <c r="C31" s="10" t="s">
        <v>21</v>
      </c>
      <c r="D31" s="10" t="s">
        <v>258</v>
      </c>
      <c r="E31" s="10" t="s">
        <v>266</v>
      </c>
      <c r="F31" s="10" t="s">
        <v>267</v>
      </c>
      <c r="G31" s="10" t="s">
        <v>268</v>
      </c>
      <c r="H31" s="10" t="s">
        <v>269</v>
      </c>
      <c r="I31" s="10" t="s">
        <v>18</v>
      </c>
      <c r="J31" s="10" t="s">
        <v>263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57A58-BBC5-438A-8616-A4FFF8A21089}">
  <dimension ref="A1:K81"/>
  <sheetViews>
    <sheetView topLeftCell="A27" workbookViewId="0">
      <selection activeCell="B13" sqref="B13"/>
    </sheetView>
  </sheetViews>
  <sheetFormatPr defaultRowHeight="14.4" x14ac:dyDescent="0.3"/>
  <cols>
    <col min="1" max="1" width="15.21875" customWidth="1"/>
    <col min="2" max="2" width="25" customWidth="1"/>
    <col min="3" max="3" width="15.6640625" customWidth="1"/>
    <col min="4" max="4" width="26.88671875" customWidth="1"/>
    <col min="5" max="5" width="16.109375" customWidth="1"/>
    <col min="6" max="6" width="37" customWidth="1"/>
    <col min="7" max="7" width="9.6640625" customWidth="1"/>
    <col min="8" max="9" width="12.5546875" customWidth="1"/>
    <col min="10" max="10" width="15.88671875" customWidth="1"/>
    <col min="11" max="11" width="59.21875" customWidth="1"/>
  </cols>
  <sheetData>
    <row r="1" spans="1:11" ht="23.4" x14ac:dyDescent="0.45">
      <c r="A1" s="214" t="s">
        <v>13580</v>
      </c>
      <c r="B1" s="214"/>
      <c r="C1" s="214"/>
      <c r="D1" s="214"/>
      <c r="E1" s="214"/>
      <c r="F1" s="214"/>
      <c r="G1" s="214"/>
      <c r="H1" s="214"/>
      <c r="I1" s="214"/>
    </row>
    <row r="2" spans="1:11" x14ac:dyDescent="0.3">
      <c r="A2" s="215" t="s">
        <v>13581</v>
      </c>
      <c r="B2" s="215"/>
      <c r="C2" s="215"/>
      <c r="D2" s="215"/>
      <c r="E2" s="215"/>
      <c r="F2" s="215"/>
      <c r="G2" s="215"/>
      <c r="H2" s="215"/>
      <c r="I2" s="215"/>
    </row>
    <row r="4" spans="1:11" x14ac:dyDescent="0.3">
      <c r="A4" s="1" t="s">
        <v>13582</v>
      </c>
      <c r="B4" s="1" t="s">
        <v>1398</v>
      </c>
    </row>
    <row r="5" spans="1:11" x14ac:dyDescent="0.3">
      <c r="A5" t="s">
        <v>13583</v>
      </c>
      <c r="B5" s="183">
        <f>COUNTIF(RuleGapRegisterTable[Status],"Open")</f>
        <v>0</v>
      </c>
    </row>
    <row r="6" spans="1:11" x14ac:dyDescent="0.3">
      <c r="A6" t="s">
        <v>13584</v>
      </c>
      <c r="B6" s="183">
        <f>COUNTIF(RuleGapRegisterTable[Category],"Rule Gap")</f>
        <v>35</v>
      </c>
    </row>
    <row r="7" spans="1:11" x14ac:dyDescent="0.3">
      <c r="A7" t="s">
        <v>13585</v>
      </c>
      <c r="B7" s="183">
        <f>COUNTIF(RuleGapRegisterTable[Category],"Logic Decision")</f>
        <v>28</v>
      </c>
    </row>
    <row r="8" spans="1:11" x14ac:dyDescent="0.3">
      <c r="A8" t="s">
        <v>13586</v>
      </c>
      <c r="B8" s="183">
        <f>COUNTIF(RuleGapRegisterTable[Category],"Minor Spec Gap")</f>
        <v>6</v>
      </c>
    </row>
    <row r="9" spans="1:11" x14ac:dyDescent="0.3">
      <c r="A9" s="18" t="s">
        <v>13587</v>
      </c>
      <c r="B9" s="184">
        <f>COUNTIF(RuleGapRegisterTable[Category],"ID Gap")</f>
        <v>1</v>
      </c>
    </row>
    <row r="10" spans="1:11" x14ac:dyDescent="0.3">
      <c r="K10" t="s">
        <v>13862</v>
      </c>
    </row>
    <row r="11" spans="1:11" x14ac:dyDescent="0.3">
      <c r="A11" s="180" t="s">
        <v>1397</v>
      </c>
      <c r="B11" s="180" t="s">
        <v>13588</v>
      </c>
      <c r="C11" s="180" t="s">
        <v>13589</v>
      </c>
      <c r="D11" s="180" t="s">
        <v>13590</v>
      </c>
      <c r="E11" s="180" t="s">
        <v>13591</v>
      </c>
      <c r="F11" s="180" t="s">
        <v>13592</v>
      </c>
      <c r="G11" s="180" t="s">
        <v>1131</v>
      </c>
      <c r="H11" s="180" t="s">
        <v>13593</v>
      </c>
      <c r="I11" s="180" t="s">
        <v>1068</v>
      </c>
      <c r="J11" s="180" t="s">
        <v>13668</v>
      </c>
      <c r="K11" s="153" t="s">
        <v>13864</v>
      </c>
    </row>
    <row r="12" spans="1:11" ht="28.8" x14ac:dyDescent="0.3">
      <c r="A12" s="180" t="s">
        <v>13594</v>
      </c>
      <c r="B12" s="181" t="s">
        <v>13595</v>
      </c>
      <c r="C12" s="180" t="s">
        <v>5811</v>
      </c>
      <c r="D12" s="153" t="s">
        <v>5838</v>
      </c>
      <c r="E12" s="153" t="s">
        <v>3674</v>
      </c>
      <c r="F12" s="153" t="s">
        <v>13423</v>
      </c>
      <c r="G12" s="182" t="s">
        <v>1868</v>
      </c>
      <c r="H12" s="180"/>
      <c r="I12" s="182" t="s">
        <v>1100</v>
      </c>
      <c r="J12" s="180" t="s">
        <v>13669</v>
      </c>
      <c r="K12" s="153"/>
    </row>
    <row r="13" spans="1:11" ht="86.4" x14ac:dyDescent="0.3">
      <c r="A13" s="180" t="s">
        <v>13596</v>
      </c>
      <c r="B13" s="181" t="s">
        <v>13597</v>
      </c>
      <c r="C13" s="180" t="s">
        <v>6306</v>
      </c>
      <c r="D13" s="153" t="s">
        <v>6307</v>
      </c>
      <c r="E13" s="153" t="s">
        <v>43</v>
      </c>
      <c r="F13" s="153" t="s">
        <v>12859</v>
      </c>
      <c r="G13" s="182" t="s">
        <v>1852</v>
      </c>
      <c r="H13" s="180"/>
      <c r="I13" s="182" t="s">
        <v>1100</v>
      </c>
      <c r="J13" s="180"/>
      <c r="K13" s="153"/>
    </row>
    <row r="14" spans="1:11" ht="86.4" x14ac:dyDescent="0.3">
      <c r="A14" s="180" t="s">
        <v>13596</v>
      </c>
      <c r="B14" s="181" t="s">
        <v>13598</v>
      </c>
      <c r="C14" s="180" t="s">
        <v>7972</v>
      </c>
      <c r="D14" s="153" t="s">
        <v>7974</v>
      </c>
      <c r="E14" s="153" t="s">
        <v>7975</v>
      </c>
      <c r="F14" s="153" t="s">
        <v>12852</v>
      </c>
      <c r="G14" s="182" t="s">
        <v>1852</v>
      </c>
      <c r="H14" s="180"/>
      <c r="I14" s="182" t="s">
        <v>1100</v>
      </c>
      <c r="J14" s="180"/>
      <c r="K14" s="153" t="s">
        <v>13863</v>
      </c>
    </row>
    <row r="15" spans="1:11" ht="57.6" x14ac:dyDescent="0.3">
      <c r="A15" s="180" t="s">
        <v>13596</v>
      </c>
      <c r="B15" s="181" t="s">
        <v>13599</v>
      </c>
      <c r="C15" s="180" t="s">
        <v>8085</v>
      </c>
      <c r="D15" s="153" t="s">
        <v>8086</v>
      </c>
      <c r="E15" s="153" t="s">
        <v>1813</v>
      </c>
      <c r="F15" s="153" t="s">
        <v>12853</v>
      </c>
      <c r="G15" s="182" t="s">
        <v>1852</v>
      </c>
      <c r="H15" s="180"/>
      <c r="I15" s="182" t="s">
        <v>1100</v>
      </c>
      <c r="J15" s="180"/>
      <c r="K15" s="153" t="s">
        <v>13867</v>
      </c>
    </row>
    <row r="16" spans="1:11" ht="57.6" x14ac:dyDescent="0.3">
      <c r="A16" s="180" t="s">
        <v>13596</v>
      </c>
      <c r="B16" s="181" t="s">
        <v>13600</v>
      </c>
      <c r="C16" s="180" t="s">
        <v>4624</v>
      </c>
      <c r="D16" s="153" t="s">
        <v>4625</v>
      </c>
      <c r="E16" s="153" t="s">
        <v>19</v>
      </c>
      <c r="F16" s="153" t="s">
        <v>12842</v>
      </c>
      <c r="G16" s="182" t="s">
        <v>1852</v>
      </c>
      <c r="H16" s="180"/>
      <c r="I16" s="182" t="s">
        <v>1100</v>
      </c>
      <c r="J16" s="180"/>
      <c r="K16" s="153" t="s">
        <v>14085</v>
      </c>
    </row>
    <row r="17" spans="1:11" ht="100.8" x14ac:dyDescent="0.3">
      <c r="A17" s="180" t="s">
        <v>13596</v>
      </c>
      <c r="B17" s="181" t="s">
        <v>13601</v>
      </c>
      <c r="C17" s="180" t="s">
        <v>8981</v>
      </c>
      <c r="D17" s="153" t="s">
        <v>8982</v>
      </c>
      <c r="E17" s="153" t="s">
        <v>731</v>
      </c>
      <c r="F17" s="153" t="s">
        <v>12844</v>
      </c>
      <c r="G17" s="182" t="s">
        <v>1852</v>
      </c>
      <c r="H17" s="180"/>
      <c r="I17" s="182" t="s">
        <v>1100</v>
      </c>
      <c r="J17" s="180"/>
      <c r="K17" s="153" t="s">
        <v>14086</v>
      </c>
    </row>
    <row r="18" spans="1:11" ht="57.6" x14ac:dyDescent="0.3">
      <c r="A18" s="180" t="s">
        <v>13596</v>
      </c>
      <c r="B18" s="181" t="s">
        <v>13602</v>
      </c>
      <c r="C18" s="180" t="s">
        <v>10272</v>
      </c>
      <c r="D18" s="153" t="s">
        <v>10273</v>
      </c>
      <c r="E18" s="153" t="s">
        <v>1577</v>
      </c>
      <c r="F18" s="153" t="s">
        <v>12828</v>
      </c>
      <c r="G18" s="182" t="s">
        <v>1852</v>
      </c>
      <c r="H18" s="180"/>
      <c r="I18" s="182" t="s">
        <v>1100</v>
      </c>
      <c r="J18" s="180"/>
      <c r="K18" s="153" t="s">
        <v>14087</v>
      </c>
    </row>
    <row r="19" spans="1:11" ht="43.2" x14ac:dyDescent="0.3">
      <c r="A19" s="180" t="s">
        <v>13596</v>
      </c>
      <c r="B19" s="181" t="s">
        <v>13603</v>
      </c>
      <c r="C19" s="180" t="s">
        <v>10277</v>
      </c>
      <c r="D19" s="153" t="s">
        <v>10278</v>
      </c>
      <c r="E19" s="153" t="s">
        <v>1577</v>
      </c>
      <c r="F19" s="153" t="s">
        <v>12829</v>
      </c>
      <c r="G19" s="182" t="s">
        <v>1852</v>
      </c>
      <c r="H19" s="180"/>
      <c r="I19" s="182" t="s">
        <v>1100</v>
      </c>
      <c r="J19" s="180"/>
      <c r="K19" s="153" t="s">
        <v>14088</v>
      </c>
    </row>
    <row r="20" spans="1:11" ht="43.2" x14ac:dyDescent="0.3">
      <c r="A20" s="180" t="s">
        <v>13596</v>
      </c>
      <c r="B20" s="181" t="s">
        <v>13604</v>
      </c>
      <c r="C20" s="180" t="s">
        <v>10423</v>
      </c>
      <c r="D20" s="153" t="s">
        <v>10424</v>
      </c>
      <c r="E20" s="153" t="s">
        <v>1577</v>
      </c>
      <c r="F20" s="153" t="s">
        <v>12830</v>
      </c>
      <c r="G20" s="182" t="s">
        <v>1852</v>
      </c>
      <c r="H20" s="180"/>
      <c r="I20" s="182" t="s">
        <v>1100</v>
      </c>
      <c r="J20" s="180"/>
      <c r="K20" s="153" t="s">
        <v>14089</v>
      </c>
    </row>
    <row r="21" spans="1:11" ht="57.6" x14ac:dyDescent="0.3">
      <c r="A21" s="180" t="s">
        <v>13596</v>
      </c>
      <c r="B21" s="181" t="s">
        <v>13605</v>
      </c>
      <c r="C21" s="180" t="s">
        <v>10562</v>
      </c>
      <c r="D21" s="153" t="s">
        <v>10563</v>
      </c>
      <c r="E21" s="153" t="s">
        <v>1818</v>
      </c>
      <c r="F21" s="153" t="s">
        <v>12832</v>
      </c>
      <c r="G21" s="182" t="s">
        <v>1852</v>
      </c>
      <c r="H21" s="180"/>
      <c r="I21" s="182" t="s">
        <v>1100</v>
      </c>
      <c r="J21" s="180"/>
      <c r="K21" s="153" t="s">
        <v>13868</v>
      </c>
    </row>
    <row r="22" spans="1:11" ht="43.2" x14ac:dyDescent="0.3">
      <c r="A22" s="180" t="s">
        <v>13596</v>
      </c>
      <c r="B22" s="181" t="s">
        <v>13606</v>
      </c>
      <c r="C22" s="180" t="s">
        <v>10607</v>
      </c>
      <c r="D22" s="153" t="s">
        <v>10608</v>
      </c>
      <c r="E22" s="153" t="s">
        <v>1818</v>
      </c>
      <c r="F22" s="153" t="s">
        <v>12833</v>
      </c>
      <c r="G22" s="182" t="s">
        <v>1868</v>
      </c>
      <c r="H22" s="180"/>
      <c r="I22" s="182" t="s">
        <v>1100</v>
      </c>
      <c r="J22" s="180"/>
      <c r="K22" s="153" t="s">
        <v>13865</v>
      </c>
    </row>
    <row r="23" spans="1:11" ht="43.2" x14ac:dyDescent="0.3">
      <c r="A23" s="180" t="s">
        <v>13596</v>
      </c>
      <c r="B23" s="181" t="s">
        <v>13607</v>
      </c>
      <c r="C23" s="180" t="s">
        <v>10613</v>
      </c>
      <c r="D23" s="153" t="s">
        <v>10614</v>
      </c>
      <c r="E23" s="153" t="s">
        <v>1818</v>
      </c>
      <c r="F23" s="153" t="s">
        <v>12834</v>
      </c>
      <c r="G23" s="182" t="s">
        <v>1868</v>
      </c>
      <c r="H23" s="180"/>
      <c r="I23" s="182" t="s">
        <v>1100</v>
      </c>
      <c r="J23" s="180"/>
      <c r="K23" s="153" t="s">
        <v>13866</v>
      </c>
    </row>
    <row r="24" spans="1:11" ht="100.8" x14ac:dyDescent="0.3">
      <c r="A24" s="180" t="s">
        <v>13596</v>
      </c>
      <c r="B24" s="181" t="s">
        <v>13608</v>
      </c>
      <c r="C24" s="180" t="s">
        <v>9751</v>
      </c>
      <c r="D24" s="153" t="s">
        <v>9753</v>
      </c>
      <c r="E24" s="153" t="s">
        <v>9754</v>
      </c>
      <c r="F24" s="153" t="s">
        <v>12845</v>
      </c>
      <c r="G24" s="182" t="s">
        <v>1852</v>
      </c>
      <c r="H24" s="180"/>
      <c r="I24" s="182" t="s">
        <v>1100</v>
      </c>
      <c r="J24" s="180"/>
      <c r="K24" s="153" t="s">
        <v>14090</v>
      </c>
    </row>
    <row r="25" spans="1:11" ht="115.2" x14ac:dyDescent="0.3">
      <c r="A25" s="180" t="s">
        <v>13596</v>
      </c>
      <c r="B25" s="181" t="s">
        <v>13609</v>
      </c>
      <c r="C25" s="180" t="s">
        <v>5488</v>
      </c>
      <c r="D25" s="153" t="s">
        <v>5522</v>
      </c>
      <c r="E25" s="153" t="s">
        <v>5264</v>
      </c>
      <c r="F25" s="153" t="s">
        <v>12856</v>
      </c>
      <c r="G25" s="182" t="s">
        <v>1852</v>
      </c>
      <c r="H25" s="180"/>
      <c r="I25" s="182" t="s">
        <v>1100</v>
      </c>
      <c r="J25" s="180"/>
      <c r="K25" s="153" t="s">
        <v>14091</v>
      </c>
    </row>
    <row r="26" spans="1:11" ht="72" x14ac:dyDescent="0.3">
      <c r="A26" s="180" t="s">
        <v>13596</v>
      </c>
      <c r="B26" s="181" t="s">
        <v>13610</v>
      </c>
      <c r="C26" s="180" t="s">
        <v>5598</v>
      </c>
      <c r="D26" s="153" t="s">
        <v>5633</v>
      </c>
      <c r="E26" s="153" t="s">
        <v>372</v>
      </c>
      <c r="F26" s="153" t="s">
        <v>12857</v>
      </c>
      <c r="G26" s="182" t="s">
        <v>1852</v>
      </c>
      <c r="H26" s="180"/>
      <c r="I26" s="182" t="s">
        <v>1100</v>
      </c>
      <c r="J26" s="180"/>
      <c r="K26" s="153" t="s">
        <v>14092</v>
      </c>
    </row>
    <row r="27" spans="1:11" ht="57.6" x14ac:dyDescent="0.3">
      <c r="A27" s="180" t="s">
        <v>13596</v>
      </c>
      <c r="B27" s="181" t="s">
        <v>13611</v>
      </c>
      <c r="C27" s="180" t="s">
        <v>5234</v>
      </c>
      <c r="D27" s="153" t="s">
        <v>5269</v>
      </c>
      <c r="E27" s="153" t="s">
        <v>3674</v>
      </c>
      <c r="F27" s="153" t="s">
        <v>12855</v>
      </c>
      <c r="G27" s="182" t="s">
        <v>1868</v>
      </c>
      <c r="H27" s="180"/>
      <c r="I27" s="182" t="s">
        <v>1100</v>
      </c>
      <c r="J27" s="180"/>
      <c r="K27" s="153" t="s">
        <v>14093</v>
      </c>
    </row>
    <row r="28" spans="1:11" ht="57.6" x14ac:dyDescent="0.3">
      <c r="A28" s="180" t="s">
        <v>13596</v>
      </c>
      <c r="B28" s="181" t="s">
        <v>13612</v>
      </c>
      <c r="C28" s="180" t="s">
        <v>11130</v>
      </c>
      <c r="D28" s="153" t="s">
        <v>11131</v>
      </c>
      <c r="E28" s="153" t="s">
        <v>24</v>
      </c>
      <c r="F28" s="153" t="s">
        <v>12835</v>
      </c>
      <c r="G28" s="182" t="s">
        <v>1868</v>
      </c>
      <c r="H28" s="180"/>
      <c r="I28" s="182" t="s">
        <v>1100</v>
      </c>
      <c r="J28" s="180"/>
      <c r="K28" s="153" t="s">
        <v>14094</v>
      </c>
    </row>
    <row r="29" spans="1:11" ht="57.6" x14ac:dyDescent="0.3">
      <c r="A29" s="180" t="s">
        <v>13596</v>
      </c>
      <c r="B29" s="181" t="s">
        <v>13613</v>
      </c>
      <c r="C29" s="180" t="s">
        <v>11218</v>
      </c>
      <c r="D29" s="153" t="s">
        <v>11219</v>
      </c>
      <c r="E29" s="153" t="s">
        <v>368</v>
      </c>
      <c r="F29" s="153" t="s">
        <v>12836</v>
      </c>
      <c r="G29" s="182" t="s">
        <v>1868</v>
      </c>
      <c r="H29" s="180"/>
      <c r="I29" s="182" t="s">
        <v>1100</v>
      </c>
      <c r="J29" s="180"/>
      <c r="K29" s="153" t="s">
        <v>14095</v>
      </c>
    </row>
    <row r="30" spans="1:11" ht="43.2" x14ac:dyDescent="0.3">
      <c r="A30" s="180" t="s">
        <v>13596</v>
      </c>
      <c r="B30" s="181" t="s">
        <v>13614</v>
      </c>
      <c r="C30" s="180" t="s">
        <v>11228</v>
      </c>
      <c r="D30" s="153" t="s">
        <v>11229</v>
      </c>
      <c r="E30" s="153" t="s">
        <v>368</v>
      </c>
      <c r="F30" s="153" t="s">
        <v>12837</v>
      </c>
      <c r="G30" s="182" t="s">
        <v>1873</v>
      </c>
      <c r="H30" s="180"/>
      <c r="I30" s="182" t="s">
        <v>1100</v>
      </c>
      <c r="J30" s="180"/>
      <c r="K30" s="153" t="s">
        <v>14096</v>
      </c>
    </row>
    <row r="31" spans="1:11" ht="86.4" x14ac:dyDescent="0.3">
      <c r="A31" s="180" t="s">
        <v>13596</v>
      </c>
      <c r="B31" s="181" t="s">
        <v>13615</v>
      </c>
      <c r="C31" s="180" t="s">
        <v>11322</v>
      </c>
      <c r="D31" s="153" t="s">
        <v>11324</v>
      </c>
      <c r="E31" s="153" t="s">
        <v>1420</v>
      </c>
      <c r="F31" s="153" t="s">
        <v>12838</v>
      </c>
      <c r="G31" s="182" t="s">
        <v>1868</v>
      </c>
      <c r="H31" s="180"/>
      <c r="I31" s="182" t="s">
        <v>1100</v>
      </c>
      <c r="J31" s="180"/>
      <c r="K31" s="153" t="s">
        <v>14097</v>
      </c>
    </row>
    <row r="32" spans="1:11" ht="57.6" x14ac:dyDescent="0.3">
      <c r="A32" s="180" t="s">
        <v>13596</v>
      </c>
      <c r="B32" s="181" t="s">
        <v>13616</v>
      </c>
      <c r="C32" s="180" t="s">
        <v>11543</v>
      </c>
      <c r="D32" s="153" t="s">
        <v>11544</v>
      </c>
      <c r="E32" s="153" t="s">
        <v>986</v>
      </c>
      <c r="F32" s="153" t="s">
        <v>12839</v>
      </c>
      <c r="G32" s="182" t="s">
        <v>1868</v>
      </c>
      <c r="H32" s="180"/>
      <c r="I32" s="182" t="s">
        <v>1100</v>
      </c>
      <c r="J32" s="180"/>
      <c r="K32" s="153" t="s">
        <v>14098</v>
      </c>
    </row>
    <row r="33" spans="1:11" ht="72" x14ac:dyDescent="0.3">
      <c r="A33" s="180" t="s">
        <v>13596</v>
      </c>
      <c r="B33" s="181" t="s">
        <v>13617</v>
      </c>
      <c r="C33" s="180" t="s">
        <v>11577</v>
      </c>
      <c r="D33" s="153" t="s">
        <v>10235</v>
      </c>
      <c r="E33" s="153" t="s">
        <v>11578</v>
      </c>
      <c r="F33" s="153" t="s">
        <v>12840</v>
      </c>
      <c r="G33" s="182" t="s">
        <v>1868</v>
      </c>
      <c r="H33" s="180"/>
      <c r="I33" s="182" t="s">
        <v>1100</v>
      </c>
      <c r="J33" s="180"/>
      <c r="K33" s="153" t="s">
        <v>14099</v>
      </c>
    </row>
    <row r="34" spans="1:11" ht="57.6" x14ac:dyDescent="0.3">
      <c r="A34" s="180" t="s">
        <v>13596</v>
      </c>
      <c r="B34" s="181" t="s">
        <v>13618</v>
      </c>
      <c r="C34" s="180" t="s">
        <v>11639</v>
      </c>
      <c r="D34" s="153" t="s">
        <v>11640</v>
      </c>
      <c r="E34" s="153" t="s">
        <v>55</v>
      </c>
      <c r="F34" s="153" t="s">
        <v>12841</v>
      </c>
      <c r="G34" s="182" t="s">
        <v>1868</v>
      </c>
      <c r="H34" s="180"/>
      <c r="I34" s="182" t="s">
        <v>1100</v>
      </c>
      <c r="J34" s="180"/>
      <c r="K34" s="153" t="s">
        <v>14100</v>
      </c>
    </row>
    <row r="35" spans="1:11" ht="86.4" x14ac:dyDescent="0.3">
      <c r="A35" s="180" t="s">
        <v>13596</v>
      </c>
      <c r="B35" s="181" t="s">
        <v>13619</v>
      </c>
      <c r="C35" s="180" t="s">
        <v>2286</v>
      </c>
      <c r="D35" s="153" t="s">
        <v>2287</v>
      </c>
      <c r="E35" s="153" t="s">
        <v>26</v>
      </c>
      <c r="F35" s="153" t="s">
        <v>12861</v>
      </c>
      <c r="G35" s="182" t="s">
        <v>1852</v>
      </c>
      <c r="H35" s="180"/>
      <c r="I35" s="182" t="s">
        <v>1100</v>
      </c>
      <c r="J35" s="180"/>
      <c r="K35" s="153" t="s">
        <v>13884</v>
      </c>
    </row>
    <row r="36" spans="1:11" ht="72" x14ac:dyDescent="0.3">
      <c r="A36" s="180" t="s">
        <v>13596</v>
      </c>
      <c r="B36" s="181" t="s">
        <v>13620</v>
      </c>
      <c r="C36" s="180" t="s">
        <v>3994</v>
      </c>
      <c r="D36" s="153" t="s">
        <v>3995</v>
      </c>
      <c r="E36" s="153" t="s">
        <v>1788</v>
      </c>
      <c r="F36" s="153" t="s">
        <v>12847</v>
      </c>
      <c r="G36" s="182" t="s">
        <v>1852</v>
      </c>
      <c r="H36" s="180"/>
      <c r="I36" s="182" t="s">
        <v>1100</v>
      </c>
      <c r="J36" s="180"/>
      <c r="K36" s="153" t="s">
        <v>13869</v>
      </c>
    </row>
    <row r="37" spans="1:11" ht="86.4" x14ac:dyDescent="0.3">
      <c r="A37" s="180" t="s">
        <v>13596</v>
      </c>
      <c r="B37" s="181" t="s">
        <v>13621</v>
      </c>
      <c r="C37" s="180" t="s">
        <v>4034</v>
      </c>
      <c r="D37" s="153" t="s">
        <v>4035</v>
      </c>
      <c r="E37" s="153" t="s">
        <v>49</v>
      </c>
      <c r="F37" s="153" t="s">
        <v>12848</v>
      </c>
      <c r="G37" s="182" t="s">
        <v>1852</v>
      </c>
      <c r="H37" s="180"/>
      <c r="I37" s="182" t="s">
        <v>1100</v>
      </c>
      <c r="J37" s="180"/>
      <c r="K37" s="153" t="s">
        <v>14101</v>
      </c>
    </row>
    <row r="38" spans="1:11" ht="72" x14ac:dyDescent="0.3">
      <c r="A38" s="180" t="s">
        <v>13596</v>
      </c>
      <c r="B38" s="181" t="s">
        <v>13622</v>
      </c>
      <c r="C38" s="180" t="s">
        <v>7580</v>
      </c>
      <c r="D38" s="153" t="s">
        <v>7582</v>
      </c>
      <c r="E38" s="153" t="s">
        <v>4804</v>
      </c>
      <c r="F38" s="153" t="s">
        <v>12851</v>
      </c>
      <c r="G38" s="182" t="s">
        <v>1852</v>
      </c>
      <c r="H38" s="180"/>
      <c r="I38" s="182" t="s">
        <v>1100</v>
      </c>
      <c r="J38" s="180"/>
      <c r="K38" s="153" t="s">
        <v>14102</v>
      </c>
    </row>
    <row r="39" spans="1:11" ht="72" x14ac:dyDescent="0.3">
      <c r="A39" s="180" t="s">
        <v>13596</v>
      </c>
      <c r="B39" s="181" t="s">
        <v>13623</v>
      </c>
      <c r="C39" s="180" t="s">
        <v>7160</v>
      </c>
      <c r="D39" s="153" t="s">
        <v>7161</v>
      </c>
      <c r="E39" s="153" t="s">
        <v>1802</v>
      </c>
      <c r="F39" s="153" t="s">
        <v>12849</v>
      </c>
      <c r="G39" s="182" t="s">
        <v>1852</v>
      </c>
      <c r="H39" s="180"/>
      <c r="I39" s="182" t="s">
        <v>1100</v>
      </c>
      <c r="J39" s="180"/>
      <c r="K39" s="153" t="s">
        <v>14103</v>
      </c>
    </row>
    <row r="40" spans="1:11" ht="57.6" x14ac:dyDescent="0.3">
      <c r="A40" s="180" t="s">
        <v>13596</v>
      </c>
      <c r="B40" s="181" t="s">
        <v>13624</v>
      </c>
      <c r="C40" s="180" t="s">
        <v>7233</v>
      </c>
      <c r="D40" s="153" t="s">
        <v>7234</v>
      </c>
      <c r="E40" s="153" t="s">
        <v>1389</v>
      </c>
      <c r="F40" s="153" t="s">
        <v>12850</v>
      </c>
      <c r="G40" s="182" t="s">
        <v>1852</v>
      </c>
      <c r="H40" s="180"/>
      <c r="I40" s="182" t="s">
        <v>1100</v>
      </c>
      <c r="J40" s="180"/>
      <c r="K40" s="153" t="s">
        <v>13885</v>
      </c>
    </row>
    <row r="41" spans="1:11" ht="86.4" x14ac:dyDescent="0.3">
      <c r="A41" s="180" t="s">
        <v>13625</v>
      </c>
      <c r="B41" s="181" t="s">
        <v>13626</v>
      </c>
      <c r="C41" s="180" t="s">
        <v>6474</v>
      </c>
      <c r="D41" s="153" t="s">
        <v>6475</v>
      </c>
      <c r="E41" s="153" t="s">
        <v>6476</v>
      </c>
      <c r="F41" s="153" t="s">
        <v>12860</v>
      </c>
      <c r="G41" s="182" t="s">
        <v>1852</v>
      </c>
      <c r="H41" s="180"/>
      <c r="I41" s="182" t="s">
        <v>1100</v>
      </c>
      <c r="J41" s="180"/>
      <c r="K41" s="153" t="s">
        <v>14104</v>
      </c>
    </row>
    <row r="42" spans="1:11" ht="57.6" x14ac:dyDescent="0.3">
      <c r="A42" s="180" t="s">
        <v>13625</v>
      </c>
      <c r="B42" s="181" t="s">
        <v>13627</v>
      </c>
      <c r="C42" s="180" t="s">
        <v>8529</v>
      </c>
      <c r="D42" s="153" t="s">
        <v>8530</v>
      </c>
      <c r="E42" s="153" t="s">
        <v>1577</v>
      </c>
      <c r="F42" s="153" t="s">
        <v>12854</v>
      </c>
      <c r="G42" s="182" t="s">
        <v>1868</v>
      </c>
      <c r="H42" s="180"/>
      <c r="I42" s="182" t="s">
        <v>1100</v>
      </c>
      <c r="J42" s="180"/>
      <c r="K42" s="153" t="s">
        <v>14105</v>
      </c>
    </row>
    <row r="43" spans="1:11" ht="57.6" x14ac:dyDescent="0.3">
      <c r="A43" s="180" t="s">
        <v>13625</v>
      </c>
      <c r="B43" s="181" t="s">
        <v>13628</v>
      </c>
      <c r="C43" s="180" t="s">
        <v>4907</v>
      </c>
      <c r="D43" s="153" t="s">
        <v>4908</v>
      </c>
      <c r="E43" s="153" t="s">
        <v>486</v>
      </c>
      <c r="F43" s="153" t="s">
        <v>12843</v>
      </c>
      <c r="G43" s="182" t="s">
        <v>1868</v>
      </c>
      <c r="H43" s="180"/>
      <c r="I43" s="182" t="s">
        <v>1100</v>
      </c>
      <c r="J43" s="180"/>
      <c r="K43" s="153" t="s">
        <v>14106</v>
      </c>
    </row>
    <row r="44" spans="1:11" ht="43.2" x14ac:dyDescent="0.3">
      <c r="A44" s="180" t="s">
        <v>13625</v>
      </c>
      <c r="B44" s="181" t="s">
        <v>13629</v>
      </c>
      <c r="C44" s="180" t="s">
        <v>10446</v>
      </c>
      <c r="D44" s="153" t="s">
        <v>10447</v>
      </c>
      <c r="E44" s="153" t="s">
        <v>1625</v>
      </c>
      <c r="F44" s="153" t="s">
        <v>12831</v>
      </c>
      <c r="G44" s="182" t="s">
        <v>1873</v>
      </c>
      <c r="H44" s="180"/>
      <c r="I44" s="182" t="s">
        <v>1100</v>
      </c>
      <c r="J44" s="180"/>
      <c r="K44" s="153" t="s">
        <v>14107</v>
      </c>
    </row>
    <row r="45" spans="1:11" ht="57.6" x14ac:dyDescent="0.3">
      <c r="A45" s="180" t="s">
        <v>13625</v>
      </c>
      <c r="B45" s="181" t="s">
        <v>13630</v>
      </c>
      <c r="C45" s="180" t="s">
        <v>5621</v>
      </c>
      <c r="D45" s="153" t="s">
        <v>5654</v>
      </c>
      <c r="E45" s="153" t="s">
        <v>5655</v>
      </c>
      <c r="F45" s="153" t="s">
        <v>12858</v>
      </c>
      <c r="G45" s="182" t="s">
        <v>1852</v>
      </c>
      <c r="H45" s="180"/>
      <c r="I45" s="182" t="s">
        <v>1100</v>
      </c>
      <c r="J45" s="180"/>
      <c r="K45" s="153" t="s">
        <v>14108</v>
      </c>
    </row>
    <row r="46" spans="1:11" ht="57.6" x14ac:dyDescent="0.3">
      <c r="A46" s="180" t="s">
        <v>13625</v>
      </c>
      <c r="B46" s="181" t="s">
        <v>13631</v>
      </c>
      <c r="C46" s="180" t="s">
        <v>3905</v>
      </c>
      <c r="D46" s="153" t="s">
        <v>3906</v>
      </c>
      <c r="E46" s="153" t="s">
        <v>37</v>
      </c>
      <c r="F46" s="153" t="s">
        <v>12846</v>
      </c>
      <c r="G46" s="182" t="s">
        <v>1868</v>
      </c>
      <c r="H46" s="180"/>
      <c r="I46" s="182" t="s">
        <v>1100</v>
      </c>
      <c r="J46" s="180"/>
      <c r="K46" s="153" t="s">
        <v>14109</v>
      </c>
    </row>
    <row r="47" spans="1:11" ht="43.2" x14ac:dyDescent="0.3">
      <c r="A47" s="180" t="s">
        <v>13632</v>
      </c>
      <c r="B47" s="181" t="s">
        <v>13633</v>
      </c>
      <c r="C47" s="180" t="s">
        <v>6439</v>
      </c>
      <c r="D47" s="153" t="s">
        <v>6440</v>
      </c>
      <c r="E47" s="153" t="s">
        <v>842</v>
      </c>
      <c r="F47" s="153" t="s">
        <v>13440</v>
      </c>
      <c r="G47" s="182" t="s">
        <v>1852</v>
      </c>
      <c r="H47" s="180"/>
      <c r="I47" s="182" t="s">
        <v>1100</v>
      </c>
      <c r="J47" s="180"/>
      <c r="K47" s="153" t="s">
        <v>13887</v>
      </c>
    </row>
    <row r="48" spans="1:11" ht="28.8" x14ac:dyDescent="0.3">
      <c r="A48" s="180" t="s">
        <v>13632</v>
      </c>
      <c r="B48" s="181" t="s">
        <v>13634</v>
      </c>
      <c r="C48" s="180" t="s">
        <v>6467</v>
      </c>
      <c r="D48" s="153" t="s">
        <v>13438</v>
      </c>
      <c r="E48" s="153" t="s">
        <v>13424</v>
      </c>
      <c r="F48" s="153" t="s">
        <v>13574</v>
      </c>
      <c r="G48" s="182" t="s">
        <v>1852</v>
      </c>
      <c r="H48" s="180"/>
      <c r="I48" s="182" t="s">
        <v>1100</v>
      </c>
      <c r="J48" s="180"/>
      <c r="K48" s="153" t="s">
        <v>13888</v>
      </c>
    </row>
    <row r="49" spans="1:11" ht="28.8" x14ac:dyDescent="0.3">
      <c r="A49" s="180" t="s">
        <v>13632</v>
      </c>
      <c r="B49" s="181" t="s">
        <v>13635</v>
      </c>
      <c r="C49" s="180" t="s">
        <v>6471</v>
      </c>
      <c r="D49" s="153" t="s">
        <v>13439</v>
      </c>
      <c r="E49" s="153" t="s">
        <v>13424</v>
      </c>
      <c r="F49" s="153" t="s">
        <v>13578</v>
      </c>
      <c r="G49" s="182" t="s">
        <v>1852</v>
      </c>
      <c r="H49" s="180"/>
      <c r="I49" s="182" t="s">
        <v>1100</v>
      </c>
      <c r="J49" s="180"/>
      <c r="K49" s="153" t="s">
        <v>13888</v>
      </c>
    </row>
    <row r="50" spans="1:11" ht="43.2" x14ac:dyDescent="0.3">
      <c r="A50" s="180" t="s">
        <v>13632</v>
      </c>
      <c r="B50" s="181" t="s">
        <v>13636</v>
      </c>
      <c r="C50" s="180" t="s">
        <v>6887</v>
      </c>
      <c r="D50" s="153" t="s">
        <v>6888</v>
      </c>
      <c r="E50" s="153" t="s">
        <v>13424</v>
      </c>
      <c r="F50" s="153" t="s">
        <v>13407</v>
      </c>
      <c r="G50" s="182" t="s">
        <v>1868</v>
      </c>
      <c r="H50" s="180"/>
      <c r="I50" s="182" t="s">
        <v>1100</v>
      </c>
      <c r="J50" s="180"/>
      <c r="K50" s="153" t="s">
        <v>13889</v>
      </c>
    </row>
    <row r="51" spans="1:11" ht="43.2" x14ac:dyDescent="0.3">
      <c r="A51" s="180" t="s">
        <v>13632</v>
      </c>
      <c r="B51" s="181" t="s">
        <v>13637</v>
      </c>
      <c r="C51" s="180" t="s">
        <v>5060</v>
      </c>
      <c r="D51" s="153" t="s">
        <v>5083</v>
      </c>
      <c r="E51" s="153" t="s">
        <v>13424</v>
      </c>
      <c r="F51" s="153" t="s">
        <v>13420</v>
      </c>
      <c r="G51" s="182" t="s">
        <v>1868</v>
      </c>
      <c r="H51" s="180"/>
      <c r="I51" s="182" t="s">
        <v>1100</v>
      </c>
      <c r="J51" s="180"/>
      <c r="K51" s="153" t="s">
        <v>14110</v>
      </c>
    </row>
    <row r="52" spans="1:11" ht="43.2" x14ac:dyDescent="0.3">
      <c r="A52" s="180" t="s">
        <v>13632</v>
      </c>
      <c r="B52" s="181" t="s">
        <v>13638</v>
      </c>
      <c r="C52" s="180" t="s">
        <v>5066</v>
      </c>
      <c r="D52" s="153" t="s">
        <v>5091</v>
      </c>
      <c r="E52" s="153" t="s">
        <v>13424</v>
      </c>
      <c r="F52" s="153" t="s">
        <v>13421</v>
      </c>
      <c r="G52" s="182" t="s">
        <v>1852</v>
      </c>
      <c r="H52" s="180"/>
      <c r="I52" s="182" t="s">
        <v>1100</v>
      </c>
      <c r="J52" s="180"/>
      <c r="K52" s="153" t="s">
        <v>14111</v>
      </c>
    </row>
    <row r="53" spans="1:11" ht="43.2" x14ac:dyDescent="0.3">
      <c r="A53" s="180" t="s">
        <v>13632</v>
      </c>
      <c r="B53" s="181" t="s">
        <v>13639</v>
      </c>
      <c r="C53" s="180" t="s">
        <v>5069</v>
      </c>
      <c r="D53" s="153" t="s">
        <v>5095</v>
      </c>
      <c r="E53" s="153" t="s">
        <v>13424</v>
      </c>
      <c r="F53" s="153" t="s">
        <v>13422</v>
      </c>
      <c r="G53" s="182" t="s">
        <v>1852</v>
      </c>
      <c r="H53" s="180"/>
      <c r="I53" s="182" t="s">
        <v>1100</v>
      </c>
      <c r="J53" s="180"/>
      <c r="K53" s="153" t="s">
        <v>14112</v>
      </c>
    </row>
    <row r="54" spans="1:11" ht="43.2" x14ac:dyDescent="0.3">
      <c r="A54" s="180" t="s">
        <v>13632</v>
      </c>
      <c r="B54" s="181" t="s">
        <v>13640</v>
      </c>
      <c r="C54" s="180" t="s">
        <v>5042</v>
      </c>
      <c r="D54" s="153" t="s">
        <v>5044</v>
      </c>
      <c r="E54" s="153" t="s">
        <v>13424</v>
      </c>
      <c r="F54" s="153" t="s">
        <v>13417</v>
      </c>
      <c r="G54" s="182" t="s">
        <v>1852</v>
      </c>
      <c r="H54" s="180"/>
      <c r="I54" s="182" t="s">
        <v>1100</v>
      </c>
      <c r="J54" s="180"/>
      <c r="K54" s="153" t="s">
        <v>14113</v>
      </c>
    </row>
    <row r="55" spans="1:11" ht="43.2" x14ac:dyDescent="0.3">
      <c r="A55" s="180" t="s">
        <v>13632</v>
      </c>
      <c r="B55" s="181" t="s">
        <v>13641</v>
      </c>
      <c r="C55" s="180" t="s">
        <v>5053</v>
      </c>
      <c r="D55" s="153" t="s">
        <v>5070</v>
      </c>
      <c r="E55" s="153" t="s">
        <v>13424</v>
      </c>
      <c r="F55" s="153" t="s">
        <v>13418</v>
      </c>
      <c r="G55" s="182" t="s">
        <v>1852</v>
      </c>
      <c r="H55" s="180"/>
      <c r="I55" s="182" t="s">
        <v>1100</v>
      </c>
      <c r="J55" s="180"/>
      <c r="K55" s="153" t="s">
        <v>14114</v>
      </c>
    </row>
    <row r="56" spans="1:11" ht="43.2" x14ac:dyDescent="0.3">
      <c r="A56" s="180" t="s">
        <v>13632</v>
      </c>
      <c r="B56" s="181" t="s">
        <v>13642</v>
      </c>
      <c r="C56" s="180" t="s">
        <v>5054</v>
      </c>
      <c r="D56" s="153" t="s">
        <v>5075</v>
      </c>
      <c r="E56" s="153" t="s">
        <v>13424</v>
      </c>
      <c r="F56" s="153" t="s">
        <v>13419</v>
      </c>
      <c r="G56" s="182" t="s">
        <v>1852</v>
      </c>
      <c r="H56" s="180"/>
      <c r="I56" s="182" t="s">
        <v>1100</v>
      </c>
      <c r="J56" s="180"/>
      <c r="K56" s="153" t="s">
        <v>14115</v>
      </c>
    </row>
    <row r="57" spans="1:11" ht="43.2" x14ac:dyDescent="0.3">
      <c r="A57" s="180" t="s">
        <v>13632</v>
      </c>
      <c r="B57" s="181" t="s">
        <v>13643</v>
      </c>
      <c r="C57" s="180" t="s">
        <v>5055</v>
      </c>
      <c r="D57" s="153" t="s">
        <v>5080</v>
      </c>
      <c r="E57" s="153" t="s">
        <v>13424</v>
      </c>
      <c r="F57" s="153" t="s">
        <v>13420</v>
      </c>
      <c r="G57" s="182" t="s">
        <v>1868</v>
      </c>
      <c r="H57" s="180"/>
      <c r="I57" s="182" t="s">
        <v>1100</v>
      </c>
      <c r="J57" s="180"/>
      <c r="K57" s="153" t="s">
        <v>14116</v>
      </c>
    </row>
    <row r="58" spans="1:11" ht="57.6" x14ac:dyDescent="0.3">
      <c r="A58" s="180" t="s">
        <v>13632</v>
      </c>
      <c r="B58" s="181" t="s">
        <v>13644</v>
      </c>
      <c r="C58" s="180" t="s">
        <v>74</v>
      </c>
      <c r="D58" s="153" t="s">
        <v>1582</v>
      </c>
      <c r="E58" s="153" t="s">
        <v>13424</v>
      </c>
      <c r="F58" s="153" t="s">
        <v>13553</v>
      </c>
      <c r="G58" s="182"/>
      <c r="H58" s="180"/>
      <c r="I58" s="182" t="s">
        <v>1100</v>
      </c>
      <c r="J58" s="180"/>
      <c r="K58" s="153" t="s">
        <v>14117</v>
      </c>
    </row>
    <row r="59" spans="1:11" ht="43.2" x14ac:dyDescent="0.3">
      <c r="A59" s="180" t="s">
        <v>13632</v>
      </c>
      <c r="B59" s="181" t="s">
        <v>13645</v>
      </c>
      <c r="C59" s="180" t="s">
        <v>63</v>
      </c>
      <c r="D59" s="153" t="s">
        <v>1594</v>
      </c>
      <c r="E59" s="153" t="s">
        <v>13424</v>
      </c>
      <c r="F59" s="153" t="s">
        <v>13554</v>
      </c>
      <c r="G59" s="182"/>
      <c r="H59" s="180"/>
      <c r="I59" s="182" t="s">
        <v>1100</v>
      </c>
      <c r="J59" s="180"/>
      <c r="K59" s="153" t="s">
        <v>14118</v>
      </c>
    </row>
    <row r="60" spans="1:11" ht="28.8" x14ac:dyDescent="0.3">
      <c r="A60" s="180" t="s">
        <v>13632</v>
      </c>
      <c r="B60" s="181" t="s">
        <v>13646</v>
      </c>
      <c r="C60" s="180" t="s">
        <v>1597</v>
      </c>
      <c r="D60" s="153" t="s">
        <v>1582</v>
      </c>
      <c r="E60" s="153" t="s">
        <v>13424</v>
      </c>
      <c r="F60" s="153" t="s">
        <v>13559</v>
      </c>
      <c r="G60" s="182"/>
      <c r="H60" s="180"/>
      <c r="I60" s="182" t="s">
        <v>1100</v>
      </c>
      <c r="J60" s="180"/>
      <c r="K60" s="153" t="s">
        <v>14119</v>
      </c>
    </row>
    <row r="61" spans="1:11" ht="57.6" x14ac:dyDescent="0.3">
      <c r="A61" s="180" t="s">
        <v>13632</v>
      </c>
      <c r="B61" s="181" t="s">
        <v>13647</v>
      </c>
      <c r="C61" s="180" t="s">
        <v>82</v>
      </c>
      <c r="D61" s="153" t="s">
        <v>1602</v>
      </c>
      <c r="E61" s="153" t="s">
        <v>13424</v>
      </c>
      <c r="F61" s="153" t="s">
        <v>13560</v>
      </c>
      <c r="G61" s="182"/>
      <c r="H61" s="180"/>
      <c r="I61" s="182" t="s">
        <v>1100</v>
      </c>
      <c r="J61" s="180"/>
      <c r="K61" s="153" t="s">
        <v>14120</v>
      </c>
    </row>
    <row r="62" spans="1:11" ht="43.2" x14ac:dyDescent="0.3">
      <c r="A62" s="180" t="s">
        <v>13632</v>
      </c>
      <c r="B62" s="181" t="s">
        <v>13648</v>
      </c>
      <c r="C62" s="180" t="s">
        <v>1603</v>
      </c>
      <c r="D62" s="153" t="s">
        <v>1593</v>
      </c>
      <c r="E62" s="153" t="s">
        <v>13424</v>
      </c>
      <c r="F62" s="153" t="s">
        <v>13561</v>
      </c>
      <c r="G62" s="182"/>
      <c r="H62" s="180"/>
      <c r="I62" s="182" t="s">
        <v>1100</v>
      </c>
      <c r="J62" s="180"/>
      <c r="K62" s="153" t="s">
        <v>14121</v>
      </c>
    </row>
    <row r="63" spans="1:11" ht="57.6" x14ac:dyDescent="0.3">
      <c r="A63" s="180" t="s">
        <v>13632</v>
      </c>
      <c r="B63" s="181" t="s">
        <v>13649</v>
      </c>
      <c r="C63" s="180" t="s">
        <v>1097</v>
      </c>
      <c r="D63" s="153" t="s">
        <v>1625</v>
      </c>
      <c r="E63" s="153" t="s">
        <v>13424</v>
      </c>
      <c r="F63" s="153" t="s">
        <v>13568</v>
      </c>
      <c r="G63" s="182"/>
      <c r="H63" s="180"/>
      <c r="I63" s="182" t="s">
        <v>1100</v>
      </c>
      <c r="J63" s="180"/>
      <c r="K63" s="153" t="s">
        <v>14122</v>
      </c>
    </row>
    <row r="64" spans="1:11" ht="28.8" x14ac:dyDescent="0.3">
      <c r="A64" s="180" t="s">
        <v>13632</v>
      </c>
      <c r="B64" s="181" t="s">
        <v>13650</v>
      </c>
      <c r="C64" s="180" t="s">
        <v>1564</v>
      </c>
      <c r="D64" s="153" t="s">
        <v>1709</v>
      </c>
      <c r="E64" s="153" t="s">
        <v>13424</v>
      </c>
      <c r="F64" s="153" t="s">
        <v>13569</v>
      </c>
      <c r="G64" s="182"/>
      <c r="H64" s="180"/>
      <c r="I64" s="182" t="s">
        <v>1100</v>
      </c>
      <c r="J64" s="180"/>
      <c r="K64" s="153" t="s">
        <v>13886</v>
      </c>
    </row>
    <row r="65" spans="1:11" ht="43.2" x14ac:dyDescent="0.3">
      <c r="A65" s="180" t="s">
        <v>13632</v>
      </c>
      <c r="B65" s="181" t="s">
        <v>13651</v>
      </c>
      <c r="C65" s="180" t="s">
        <v>1078</v>
      </c>
      <c r="D65" s="153" t="s">
        <v>1614</v>
      </c>
      <c r="E65" s="153" t="s">
        <v>13424</v>
      </c>
      <c r="F65" s="153" t="s">
        <v>13562</v>
      </c>
      <c r="G65" s="182"/>
      <c r="H65" s="180"/>
      <c r="I65" s="182" t="s">
        <v>1100</v>
      </c>
      <c r="J65" s="180"/>
      <c r="K65" s="153" t="s">
        <v>14123</v>
      </c>
    </row>
    <row r="66" spans="1:11" ht="43.2" x14ac:dyDescent="0.3">
      <c r="A66" s="180" t="s">
        <v>13632</v>
      </c>
      <c r="B66" s="181" t="s">
        <v>13652</v>
      </c>
      <c r="C66" s="180" t="s">
        <v>1081</v>
      </c>
      <c r="D66" s="153" t="s">
        <v>1632</v>
      </c>
      <c r="E66" s="153" t="s">
        <v>13424</v>
      </c>
      <c r="F66" s="153" t="s">
        <v>13563</v>
      </c>
      <c r="G66" s="182"/>
      <c r="H66" s="180"/>
      <c r="I66" s="182" t="s">
        <v>1100</v>
      </c>
      <c r="J66" s="180"/>
      <c r="K66" s="153" t="s">
        <v>13870</v>
      </c>
    </row>
    <row r="67" spans="1:11" ht="43.2" x14ac:dyDescent="0.3">
      <c r="A67" s="180" t="s">
        <v>13632</v>
      </c>
      <c r="B67" s="181" t="s">
        <v>13653</v>
      </c>
      <c r="C67" s="180" t="s">
        <v>1084</v>
      </c>
      <c r="D67" s="153" t="s">
        <v>63</v>
      </c>
      <c r="E67" s="153" t="s">
        <v>13424</v>
      </c>
      <c r="F67" s="153" t="s">
        <v>13564</v>
      </c>
      <c r="G67" s="182"/>
      <c r="H67" s="180"/>
      <c r="I67" s="182" t="s">
        <v>1100</v>
      </c>
      <c r="J67" s="180"/>
      <c r="K67" s="153" t="s">
        <v>14124</v>
      </c>
    </row>
    <row r="68" spans="1:11" ht="57.6" x14ac:dyDescent="0.3">
      <c r="A68" s="180" t="s">
        <v>13632</v>
      </c>
      <c r="B68" s="181" t="s">
        <v>13654</v>
      </c>
      <c r="C68" s="180" t="s">
        <v>2872</v>
      </c>
      <c r="D68" s="153" t="s">
        <v>2873</v>
      </c>
      <c r="E68" s="153" t="s">
        <v>13424</v>
      </c>
      <c r="F68" s="153" t="s">
        <v>13573</v>
      </c>
      <c r="G68" s="182" t="s">
        <v>1852</v>
      </c>
      <c r="H68" s="180"/>
      <c r="I68" s="182" t="s">
        <v>1100</v>
      </c>
      <c r="J68" s="180"/>
      <c r="K68" s="153" t="s">
        <v>13890</v>
      </c>
    </row>
    <row r="69" spans="1:11" ht="28.8" x14ac:dyDescent="0.3">
      <c r="A69" s="180" t="s">
        <v>13632</v>
      </c>
      <c r="B69" s="181" t="s">
        <v>13655</v>
      </c>
      <c r="C69" s="180" t="s">
        <v>2877</v>
      </c>
      <c r="D69" s="153" t="s">
        <v>2878</v>
      </c>
      <c r="E69" s="153" t="s">
        <v>13424</v>
      </c>
      <c r="F69" s="153" t="s">
        <v>13574</v>
      </c>
      <c r="G69" s="182" t="s">
        <v>1852</v>
      </c>
      <c r="H69" s="180"/>
      <c r="I69" s="182" t="s">
        <v>1100</v>
      </c>
      <c r="J69" s="180"/>
      <c r="K69" s="153" t="s">
        <v>13888</v>
      </c>
    </row>
    <row r="70" spans="1:11" ht="43.2" x14ac:dyDescent="0.3">
      <c r="A70" s="180" t="s">
        <v>13632</v>
      </c>
      <c r="B70" s="181" t="s">
        <v>13656</v>
      </c>
      <c r="C70" s="180" t="s">
        <v>2979</v>
      </c>
      <c r="D70" s="153" t="s">
        <v>2980</v>
      </c>
      <c r="E70" s="153" t="s">
        <v>13424</v>
      </c>
      <c r="F70" s="153" t="s">
        <v>13575</v>
      </c>
      <c r="G70" s="182" t="s">
        <v>1868</v>
      </c>
      <c r="H70" s="180"/>
      <c r="I70" s="182" t="s">
        <v>1100</v>
      </c>
      <c r="J70" s="180"/>
      <c r="K70" s="153" t="s">
        <v>14125</v>
      </c>
    </row>
    <row r="71" spans="1:11" ht="57.6" x14ac:dyDescent="0.3">
      <c r="A71" s="180" t="s">
        <v>13632</v>
      </c>
      <c r="B71" s="181" t="s">
        <v>13657</v>
      </c>
      <c r="C71" s="180" t="s">
        <v>3029</v>
      </c>
      <c r="D71" s="153" t="s">
        <v>3030</v>
      </c>
      <c r="E71" s="153" t="s">
        <v>13424</v>
      </c>
      <c r="F71" s="153" t="s">
        <v>13409</v>
      </c>
      <c r="G71" s="182" t="s">
        <v>1868</v>
      </c>
      <c r="H71" s="180"/>
      <c r="I71" s="182" t="s">
        <v>1100</v>
      </c>
      <c r="J71" s="180"/>
      <c r="K71" s="153" t="s">
        <v>14126</v>
      </c>
    </row>
    <row r="72" spans="1:11" ht="28.8" x14ac:dyDescent="0.3">
      <c r="A72" s="180" t="s">
        <v>13632</v>
      </c>
      <c r="B72" s="181" t="s">
        <v>13658</v>
      </c>
      <c r="C72" s="180" t="s">
        <v>3034</v>
      </c>
      <c r="D72" s="153" t="s">
        <v>3035</v>
      </c>
      <c r="E72" s="153" t="s">
        <v>13424</v>
      </c>
      <c r="F72" s="153" t="s">
        <v>13576</v>
      </c>
      <c r="G72" s="182" t="s">
        <v>1873</v>
      </c>
      <c r="H72" s="180"/>
      <c r="I72" s="182" t="s">
        <v>1100</v>
      </c>
      <c r="J72" s="180"/>
      <c r="K72" s="153" t="s">
        <v>14127</v>
      </c>
    </row>
    <row r="73" spans="1:11" ht="43.2" x14ac:dyDescent="0.3">
      <c r="A73" s="180" t="s">
        <v>13632</v>
      </c>
      <c r="B73" s="181" t="s">
        <v>13659</v>
      </c>
      <c r="C73" s="180" t="s">
        <v>3045</v>
      </c>
      <c r="D73" s="153" t="s">
        <v>3046</v>
      </c>
      <c r="E73" s="153" t="s">
        <v>13424</v>
      </c>
      <c r="F73" s="153" t="s">
        <v>13577</v>
      </c>
      <c r="G73" s="182" t="s">
        <v>1852</v>
      </c>
      <c r="H73" s="180"/>
      <c r="I73" s="182" t="s">
        <v>1100</v>
      </c>
      <c r="J73" s="180"/>
      <c r="K73" s="153" t="s">
        <v>14128</v>
      </c>
    </row>
    <row r="74" spans="1:11" ht="43.2" x14ac:dyDescent="0.3">
      <c r="A74" s="180" t="s">
        <v>13632</v>
      </c>
      <c r="B74" s="181" t="s">
        <v>13660</v>
      </c>
      <c r="C74" s="180" t="s">
        <v>3075</v>
      </c>
      <c r="D74" s="153" t="s">
        <v>3076</v>
      </c>
      <c r="E74" s="153" t="s">
        <v>13424</v>
      </c>
      <c r="F74" s="153" t="s">
        <v>13410</v>
      </c>
      <c r="G74" s="182" t="s">
        <v>1868</v>
      </c>
      <c r="H74" s="180"/>
      <c r="I74" s="182" t="s">
        <v>1100</v>
      </c>
      <c r="J74" s="180"/>
      <c r="K74" s="153" t="s">
        <v>14129</v>
      </c>
    </row>
    <row r="75" spans="1:11" ht="43.2" x14ac:dyDescent="0.3">
      <c r="A75" s="180" t="s">
        <v>13632</v>
      </c>
      <c r="B75" s="181" t="s">
        <v>13661</v>
      </c>
      <c r="C75" s="180" t="s">
        <v>3146</v>
      </c>
      <c r="D75" s="153" t="s">
        <v>3147</v>
      </c>
      <c r="E75" s="153" t="s">
        <v>13424</v>
      </c>
      <c r="F75" s="153" t="s">
        <v>13411</v>
      </c>
      <c r="G75" s="182" t="s">
        <v>1868</v>
      </c>
      <c r="H75" s="180"/>
      <c r="I75" s="182" t="s">
        <v>1100</v>
      </c>
      <c r="J75" s="180"/>
      <c r="K75" s="153" t="s">
        <v>14130</v>
      </c>
    </row>
    <row r="76" spans="1:11" ht="43.2" x14ac:dyDescent="0.3">
      <c r="A76" s="180" t="s">
        <v>13632</v>
      </c>
      <c r="B76" s="181" t="s">
        <v>13662</v>
      </c>
      <c r="C76" s="180" t="s">
        <v>3239</v>
      </c>
      <c r="D76" s="153" t="s">
        <v>3240</v>
      </c>
      <c r="E76" s="153" t="s">
        <v>13424</v>
      </c>
      <c r="F76" s="153" t="s">
        <v>13412</v>
      </c>
      <c r="G76" s="182" t="s">
        <v>1852</v>
      </c>
      <c r="H76" s="180"/>
      <c r="I76" s="182" t="s">
        <v>1100</v>
      </c>
      <c r="J76" s="180"/>
      <c r="K76" s="153" t="s">
        <v>14131</v>
      </c>
    </row>
    <row r="77" spans="1:11" ht="43.2" x14ac:dyDescent="0.3">
      <c r="A77" s="180" t="s">
        <v>13632</v>
      </c>
      <c r="B77" s="181" t="s">
        <v>13663</v>
      </c>
      <c r="C77" s="180" t="s">
        <v>3254</v>
      </c>
      <c r="D77" s="153" t="s">
        <v>3255</v>
      </c>
      <c r="E77" s="153" t="s">
        <v>13424</v>
      </c>
      <c r="F77" s="153" t="s">
        <v>13413</v>
      </c>
      <c r="G77" s="182" t="s">
        <v>1852</v>
      </c>
      <c r="H77" s="180"/>
      <c r="I77" s="182" t="s">
        <v>1100</v>
      </c>
      <c r="J77" s="180"/>
      <c r="K77" s="153" t="s">
        <v>14132</v>
      </c>
    </row>
    <row r="78" spans="1:11" ht="28.8" x14ac:dyDescent="0.3">
      <c r="A78" s="180" t="s">
        <v>13632</v>
      </c>
      <c r="B78" s="181" t="s">
        <v>13664</v>
      </c>
      <c r="C78" s="180" t="s">
        <v>3259</v>
      </c>
      <c r="D78" s="153" t="s">
        <v>3260</v>
      </c>
      <c r="E78" s="153" t="s">
        <v>13424</v>
      </c>
      <c r="F78" s="153" t="s">
        <v>13414</v>
      </c>
      <c r="G78" s="182" t="s">
        <v>1852</v>
      </c>
      <c r="H78" s="180"/>
      <c r="I78" s="182" t="s">
        <v>1100</v>
      </c>
      <c r="J78" s="180"/>
      <c r="K78" s="153" t="s">
        <v>14133</v>
      </c>
    </row>
    <row r="79" spans="1:11" ht="43.2" x14ac:dyDescent="0.3">
      <c r="A79" s="180" t="s">
        <v>13632</v>
      </c>
      <c r="B79" s="181" t="s">
        <v>13665</v>
      </c>
      <c r="C79" s="180" t="s">
        <v>3264</v>
      </c>
      <c r="D79" s="153" t="s">
        <v>3265</v>
      </c>
      <c r="E79" s="153" t="s">
        <v>13424</v>
      </c>
      <c r="F79" s="153" t="s">
        <v>13415</v>
      </c>
      <c r="G79" s="182" t="s">
        <v>1868</v>
      </c>
      <c r="H79" s="180"/>
      <c r="I79" s="182" t="s">
        <v>1100</v>
      </c>
      <c r="J79" s="180"/>
      <c r="K79" s="153" t="s">
        <v>14134</v>
      </c>
    </row>
    <row r="80" spans="1:11" ht="43.2" x14ac:dyDescent="0.3">
      <c r="A80" s="180" t="s">
        <v>13632</v>
      </c>
      <c r="B80" s="181" t="s">
        <v>13666</v>
      </c>
      <c r="C80" s="180" t="s">
        <v>3269</v>
      </c>
      <c r="D80" s="153" t="s">
        <v>3270</v>
      </c>
      <c r="E80" s="153" t="s">
        <v>13424</v>
      </c>
      <c r="F80" s="153" t="s">
        <v>13416</v>
      </c>
      <c r="G80" s="182" t="s">
        <v>1852</v>
      </c>
      <c r="H80" s="180"/>
      <c r="I80" s="182" t="s">
        <v>1100</v>
      </c>
      <c r="J80" s="180"/>
      <c r="K80" s="153" t="s">
        <v>14135</v>
      </c>
    </row>
    <row r="81" spans="1:11" ht="43.2" x14ac:dyDescent="0.3">
      <c r="A81" s="180" t="s">
        <v>13632</v>
      </c>
      <c r="B81" s="181" t="s">
        <v>13667</v>
      </c>
      <c r="C81" s="180" t="s">
        <v>1885</v>
      </c>
      <c r="D81" s="153" t="s">
        <v>1886</v>
      </c>
      <c r="E81" s="153" t="s">
        <v>13424</v>
      </c>
      <c r="F81" s="153" t="s">
        <v>13408</v>
      </c>
      <c r="G81" s="182" t="s">
        <v>1852</v>
      </c>
      <c r="H81" s="180"/>
      <c r="I81" s="182" t="s">
        <v>1100</v>
      </c>
      <c r="J81" s="180"/>
      <c r="K81" s="153" t="s">
        <v>14136</v>
      </c>
    </row>
  </sheetData>
  <mergeCells count="2">
    <mergeCell ref="A1:I1"/>
    <mergeCell ref="A2:I2"/>
  </mergeCells>
  <conditionalFormatting sqref="A12:A81">
    <cfRule type="expression" dxfId="94" priority="1">
      <formula>$A12="Rule Gap"</formula>
    </cfRule>
    <cfRule type="expression" dxfId="93" priority="2">
      <formula>$A12="Logic Decision"</formula>
    </cfRule>
  </conditionalFormatting>
  <conditionalFormatting sqref="I12:I81">
    <cfRule type="expression" dxfId="92" priority="3">
      <formula>$I12="Closed"</formula>
    </cfRule>
  </conditionalFormatting>
  <dataValidations count="2">
    <dataValidation type="list" allowBlank="1" showInputMessage="1" showErrorMessage="1" sqref="I12:I81" xr:uid="{40CA240C-E587-4CF1-99EE-2820F95A42AB}">
      <formula1>"Open,In Review,Rule Added,Test Updated,Closed,Deferred"</formula1>
    </dataValidation>
    <dataValidation allowBlank="1" showInputMessage="1" showErrorMessage="1" promptTitle="Owner" prompt="Enter the person or team responsible for resolving this item." sqref="H12:H81" xr:uid="{E771AB98-8D9B-467C-9CD2-72BADB678AD3}"/>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0F6B-1DC7-483B-BB5B-1CC0F817B770}">
  <sheetPr>
    <tabColor theme="5"/>
  </sheetPr>
  <dimension ref="A1:H336"/>
  <sheetViews>
    <sheetView tabSelected="1" topLeftCell="A140" workbookViewId="0">
      <selection activeCell="C151" sqref="C151"/>
    </sheetView>
  </sheetViews>
  <sheetFormatPr defaultRowHeight="14.4" x14ac:dyDescent="0.3"/>
  <cols>
    <col min="1" max="1" width="34.77734375" customWidth="1"/>
    <col min="2" max="2" width="92.5546875" style="13" customWidth="1"/>
    <col min="3" max="3" width="70.33203125" style="13" customWidth="1"/>
    <col min="4" max="4" width="37" style="13" customWidth="1"/>
    <col min="5" max="5" width="51.88671875" style="13" customWidth="1"/>
    <col min="6" max="6" width="13" customWidth="1"/>
  </cols>
  <sheetData>
    <row r="1" spans="1:6" ht="21" x14ac:dyDescent="0.4">
      <c r="A1" s="205" t="s">
        <v>1382</v>
      </c>
      <c r="B1" s="205"/>
      <c r="C1" s="205"/>
      <c r="D1" s="205"/>
      <c r="E1" s="205"/>
      <c r="F1" s="205"/>
    </row>
    <row r="2" spans="1:6" x14ac:dyDescent="0.3">
      <c r="A2" s="206" t="s">
        <v>1383</v>
      </c>
      <c r="B2" s="206"/>
      <c r="C2" s="206"/>
      <c r="D2" s="206"/>
      <c r="E2" s="206"/>
      <c r="F2" s="206"/>
    </row>
    <row r="4" spans="1:6" ht="15.6" x14ac:dyDescent="0.3">
      <c r="A4" s="207" t="s">
        <v>1384</v>
      </c>
      <c r="B4" s="208"/>
      <c r="C4" s="208"/>
      <c r="D4" s="208"/>
      <c r="E4" s="208"/>
      <c r="F4" s="209"/>
    </row>
    <row r="5" spans="1:6" x14ac:dyDescent="0.3">
      <c r="A5" s="26" t="s">
        <v>1827</v>
      </c>
      <c r="B5" s="24" t="s">
        <v>1385</v>
      </c>
      <c r="C5" s="24" t="s">
        <v>1386</v>
      </c>
      <c r="F5" s="32"/>
    </row>
    <row r="6" spans="1:6" ht="28.8" x14ac:dyDescent="0.3">
      <c r="A6" s="27" t="s">
        <v>1387</v>
      </c>
      <c r="B6" s="13" t="s">
        <v>19332</v>
      </c>
      <c r="C6" s="13" t="s">
        <v>1388</v>
      </c>
      <c r="F6" s="32"/>
    </row>
    <row r="7" spans="1:6" x14ac:dyDescent="0.3">
      <c r="A7" s="27" t="s">
        <v>1389</v>
      </c>
      <c r="B7" s="13" t="s">
        <v>1390</v>
      </c>
      <c r="C7" s="13" t="s">
        <v>1391</v>
      </c>
      <c r="F7" s="32"/>
    </row>
    <row r="8" spans="1:6" ht="28.8" x14ac:dyDescent="0.3">
      <c r="A8" s="27" t="s">
        <v>1392</v>
      </c>
      <c r="B8" s="13" t="s">
        <v>1393</v>
      </c>
      <c r="C8" s="13" t="s">
        <v>1394</v>
      </c>
      <c r="F8" s="32"/>
    </row>
    <row r="9" spans="1:6" ht="28.8" x14ac:dyDescent="0.3">
      <c r="A9" s="27" t="s">
        <v>1828</v>
      </c>
      <c r="B9" s="13" t="s">
        <v>1829</v>
      </c>
      <c r="C9" s="13" t="s">
        <v>1830</v>
      </c>
      <c r="F9" s="32"/>
    </row>
    <row r="10" spans="1:6" ht="15.6" x14ac:dyDescent="0.3">
      <c r="A10" s="210" t="s">
        <v>1395</v>
      </c>
      <c r="B10" s="211"/>
      <c r="C10" s="211"/>
      <c r="D10" s="211"/>
      <c r="E10" s="211"/>
      <c r="F10" s="212"/>
    </row>
    <row r="11" spans="1:6" x14ac:dyDescent="0.3">
      <c r="A11" s="26" t="s">
        <v>1396</v>
      </c>
      <c r="B11" s="24" t="s">
        <v>1397</v>
      </c>
      <c r="C11" s="24" t="s">
        <v>1398</v>
      </c>
      <c r="D11" s="24" t="s">
        <v>1</v>
      </c>
      <c r="E11" s="24" t="s">
        <v>1399</v>
      </c>
      <c r="F11" s="32"/>
    </row>
    <row r="12" spans="1:6" x14ac:dyDescent="0.3">
      <c r="A12" s="27" t="s">
        <v>1400</v>
      </c>
      <c r="C12" s="13">
        <v>17</v>
      </c>
      <c r="D12" s="13" t="s">
        <v>1401</v>
      </c>
      <c r="E12" s="13" t="s">
        <v>1402</v>
      </c>
      <c r="F12" s="32"/>
    </row>
    <row r="13" spans="1:6" ht="28.8" x14ac:dyDescent="0.3">
      <c r="A13" s="27" t="s">
        <v>1403</v>
      </c>
      <c r="B13" s="13" t="s">
        <v>1404</v>
      </c>
      <c r="C13" s="13">
        <v>14</v>
      </c>
      <c r="D13" s="13" t="s">
        <v>1405</v>
      </c>
      <c r="E13" s="13" t="s">
        <v>1402</v>
      </c>
      <c r="F13" s="32"/>
    </row>
    <row r="14" spans="1:6" ht="28.8" x14ac:dyDescent="0.3">
      <c r="A14" s="27" t="s">
        <v>1406</v>
      </c>
      <c r="B14" s="13" t="s">
        <v>1407</v>
      </c>
      <c r="C14" s="13">
        <v>23</v>
      </c>
      <c r="D14" s="13" t="s">
        <v>1408</v>
      </c>
      <c r="E14" s="13" t="s">
        <v>1409</v>
      </c>
      <c r="F14" s="32"/>
    </row>
    <row r="15" spans="1:6" x14ac:dyDescent="0.3">
      <c r="A15" s="27" t="s">
        <v>1410</v>
      </c>
      <c r="B15" s="13" t="s">
        <v>1411</v>
      </c>
      <c r="C15" s="13">
        <v>16</v>
      </c>
      <c r="D15" s="13" t="s">
        <v>1412</v>
      </c>
      <c r="E15" s="13" t="s">
        <v>959</v>
      </c>
      <c r="F15" s="32"/>
    </row>
    <row r="16" spans="1:6" x14ac:dyDescent="0.3">
      <c r="A16" s="27" t="s">
        <v>1413</v>
      </c>
      <c r="B16" s="13" t="s">
        <v>1042</v>
      </c>
      <c r="C16" s="13">
        <v>37</v>
      </c>
      <c r="D16" s="13" t="s">
        <v>1414</v>
      </c>
      <c r="E16" s="13" t="s">
        <v>1415</v>
      </c>
      <c r="F16" s="32"/>
    </row>
    <row r="17" spans="1:6" x14ac:dyDescent="0.3">
      <c r="A17" s="27" t="s">
        <v>1416</v>
      </c>
      <c r="B17" s="13" t="s">
        <v>1417</v>
      </c>
      <c r="C17" s="13">
        <v>26</v>
      </c>
      <c r="D17" s="13" t="s">
        <v>1418</v>
      </c>
      <c r="E17" s="13" t="s">
        <v>1402</v>
      </c>
      <c r="F17" s="32"/>
    </row>
    <row r="18" spans="1:6" x14ac:dyDescent="0.3">
      <c r="A18" s="27" t="s">
        <v>1419</v>
      </c>
      <c r="B18" s="13" t="s">
        <v>1420</v>
      </c>
      <c r="C18" s="13">
        <v>14</v>
      </c>
      <c r="D18" s="13" t="s">
        <v>1421</v>
      </c>
      <c r="E18" s="13" t="s">
        <v>1422</v>
      </c>
      <c r="F18" s="32"/>
    </row>
    <row r="19" spans="1:6" ht="28.8" x14ac:dyDescent="0.3">
      <c r="A19" s="27" t="s">
        <v>1423</v>
      </c>
      <c r="B19" s="13" t="s">
        <v>1424</v>
      </c>
      <c r="C19" s="13">
        <v>14</v>
      </c>
      <c r="D19" s="13" t="s">
        <v>1425</v>
      </c>
      <c r="E19" s="13" t="s">
        <v>1402</v>
      </c>
      <c r="F19" s="32"/>
    </row>
    <row r="20" spans="1:6" ht="28.8" x14ac:dyDescent="0.3">
      <c r="A20" s="27" t="s">
        <v>1426</v>
      </c>
      <c r="B20" s="13" t="s">
        <v>1427</v>
      </c>
      <c r="C20" s="13">
        <v>14</v>
      </c>
      <c r="D20" s="13" t="s">
        <v>1428</v>
      </c>
      <c r="E20" s="13" t="s">
        <v>1429</v>
      </c>
      <c r="F20" s="32"/>
    </row>
    <row r="21" spans="1:6" ht="28.8" x14ac:dyDescent="0.3">
      <c r="A21" s="27" t="s">
        <v>1430</v>
      </c>
      <c r="B21" s="13" t="s">
        <v>1431</v>
      </c>
      <c r="C21" s="13">
        <v>10</v>
      </c>
      <c r="D21" s="13" t="s">
        <v>1432</v>
      </c>
      <c r="E21" s="13" t="s">
        <v>591</v>
      </c>
      <c r="F21" s="32"/>
    </row>
    <row r="22" spans="1:6" x14ac:dyDescent="0.3">
      <c r="A22" s="27" t="s">
        <v>1433</v>
      </c>
      <c r="B22" s="13" t="s">
        <v>221</v>
      </c>
      <c r="C22" s="13">
        <v>17</v>
      </c>
      <c r="D22" s="13" t="s">
        <v>1434</v>
      </c>
      <c r="E22" s="13" t="s">
        <v>1435</v>
      </c>
      <c r="F22" s="32"/>
    </row>
    <row r="23" spans="1:6" x14ac:dyDescent="0.3">
      <c r="A23" s="27" t="s">
        <v>1436</v>
      </c>
      <c r="B23" s="13" t="s">
        <v>152</v>
      </c>
      <c r="C23" s="13">
        <v>17</v>
      </c>
      <c r="D23" s="13" t="s">
        <v>1437</v>
      </c>
      <c r="E23" s="13" t="s">
        <v>1402</v>
      </c>
      <c r="F23" s="32"/>
    </row>
    <row r="24" spans="1:6" ht="28.8" x14ac:dyDescent="0.3">
      <c r="A24" s="27" t="s">
        <v>13138</v>
      </c>
      <c r="B24" s="13" t="s">
        <v>13139</v>
      </c>
      <c r="C24" s="13">
        <v>7</v>
      </c>
      <c r="D24" s="13" t="s">
        <v>13140</v>
      </c>
      <c r="F24" s="32"/>
    </row>
    <row r="25" spans="1:6" ht="15.6" x14ac:dyDescent="0.3">
      <c r="A25" s="174" t="s">
        <v>13688</v>
      </c>
      <c r="B25" s="189" t="s">
        <v>13689</v>
      </c>
      <c r="C25" s="175">
        <v>7</v>
      </c>
      <c r="D25" s="175" t="s">
        <v>13690</v>
      </c>
      <c r="E25" s="175"/>
      <c r="F25" s="176"/>
    </row>
    <row r="26" spans="1:6" ht="57.6" x14ac:dyDescent="0.3">
      <c r="A26" s="26" t="s">
        <v>14081</v>
      </c>
      <c r="B26" s="24" t="s">
        <v>13965</v>
      </c>
      <c r="C26" s="24">
        <v>2</v>
      </c>
      <c r="D26" s="24" t="s">
        <v>14183</v>
      </c>
      <c r="F26" s="32"/>
    </row>
    <row r="27" spans="1:6" ht="28.8" x14ac:dyDescent="0.3">
      <c r="A27" s="28" t="s">
        <v>14082</v>
      </c>
      <c r="B27" s="13" t="s">
        <v>14083</v>
      </c>
      <c r="C27" s="13">
        <v>1</v>
      </c>
      <c r="D27" s="13" t="s">
        <v>14084</v>
      </c>
      <c r="F27" s="32"/>
    </row>
    <row r="28" spans="1:6" ht="28.8" x14ac:dyDescent="0.3">
      <c r="A28" s="29" t="s">
        <v>348</v>
      </c>
      <c r="B28" s="13" t="s">
        <v>1438</v>
      </c>
      <c r="C28" s="13" t="s">
        <v>1439</v>
      </c>
      <c r="D28" s="13" t="s">
        <v>1440</v>
      </c>
      <c r="F28" s="32"/>
    </row>
    <row r="29" spans="1:6" ht="28.8" x14ac:dyDescent="0.3">
      <c r="A29" s="30" t="s">
        <v>417</v>
      </c>
      <c r="B29" s="13" t="s">
        <v>1441</v>
      </c>
      <c r="C29" s="13" t="s">
        <v>1442</v>
      </c>
      <c r="D29" s="13" t="s">
        <v>1443</v>
      </c>
      <c r="F29" s="32"/>
    </row>
    <row r="30" spans="1:6" x14ac:dyDescent="0.3">
      <c r="A30" s="31" t="s">
        <v>564</v>
      </c>
      <c r="B30" s="25" t="s">
        <v>1444</v>
      </c>
      <c r="C30" s="25" t="s">
        <v>1445</v>
      </c>
      <c r="D30" s="25" t="s">
        <v>1446</v>
      </c>
      <c r="E30" s="25"/>
      <c r="F30" s="33"/>
    </row>
    <row r="31" spans="1:6" ht="15.6" x14ac:dyDescent="0.3">
      <c r="A31" s="204" t="s">
        <v>1461</v>
      </c>
      <c r="B31" s="204"/>
      <c r="C31" s="204"/>
      <c r="D31" s="204"/>
      <c r="E31" s="204"/>
      <c r="F31" s="204"/>
    </row>
    <row r="32" spans="1:6" x14ac:dyDescent="0.3">
      <c r="A32" s="36" t="s">
        <v>1462</v>
      </c>
      <c r="B32" s="190" t="s">
        <v>1463</v>
      </c>
    </row>
    <row r="33" spans="1:2" ht="28.8" x14ac:dyDescent="0.3">
      <c r="A33" s="35" t="s">
        <v>1464</v>
      </c>
      <c r="B33" s="13" t="s">
        <v>1465</v>
      </c>
    </row>
    <row r="34" spans="1:2" ht="28.8" x14ac:dyDescent="0.3">
      <c r="A34" s="35" t="s">
        <v>1466</v>
      </c>
      <c r="B34" s="13" t="s">
        <v>1467</v>
      </c>
    </row>
    <row r="35" spans="1:2" ht="28.8" x14ac:dyDescent="0.3">
      <c r="A35" s="35" t="s">
        <v>1468</v>
      </c>
      <c r="B35" s="13" t="s">
        <v>1469</v>
      </c>
    </row>
    <row r="36" spans="1:2" ht="28.8" x14ac:dyDescent="0.3">
      <c r="A36" s="35" t="s">
        <v>1470</v>
      </c>
      <c r="B36" s="13" t="s">
        <v>1471</v>
      </c>
    </row>
    <row r="37" spans="1:2" ht="28.8" x14ac:dyDescent="0.3">
      <c r="A37" s="35" t="s">
        <v>72</v>
      </c>
      <c r="B37" s="13" t="s">
        <v>1472</v>
      </c>
    </row>
    <row r="38" spans="1:2" ht="28.8" x14ac:dyDescent="0.3">
      <c r="A38" s="35" t="s">
        <v>74</v>
      </c>
      <c r="B38" s="13" t="s">
        <v>1473</v>
      </c>
    </row>
    <row r="39" spans="1:2" ht="28.8" x14ac:dyDescent="0.3">
      <c r="A39" s="35" t="s">
        <v>1474</v>
      </c>
      <c r="B39" s="13" t="s">
        <v>1475</v>
      </c>
    </row>
    <row r="40" spans="1:2" ht="28.8" x14ac:dyDescent="0.3">
      <c r="A40" s="35" t="s">
        <v>1476</v>
      </c>
      <c r="B40" s="13" t="s">
        <v>1477</v>
      </c>
    </row>
    <row r="41" spans="1:2" ht="28.8" x14ac:dyDescent="0.3">
      <c r="A41" s="35" t="s">
        <v>1085</v>
      </c>
      <c r="B41" s="13" t="s">
        <v>1478</v>
      </c>
    </row>
    <row r="42" spans="1:2" ht="28.8" x14ac:dyDescent="0.3">
      <c r="A42" s="35" t="s">
        <v>1479</v>
      </c>
      <c r="B42" s="13" t="s">
        <v>1837</v>
      </c>
    </row>
    <row r="43" spans="1:2" ht="43.2" x14ac:dyDescent="0.3">
      <c r="A43" s="35" t="s">
        <v>1480</v>
      </c>
      <c r="B43" s="13" t="s">
        <v>13052</v>
      </c>
    </row>
    <row r="44" spans="1:2" x14ac:dyDescent="0.3">
      <c r="A44" s="35" t="s">
        <v>1481</v>
      </c>
      <c r="B44" s="13" t="s">
        <v>1482</v>
      </c>
    </row>
    <row r="45" spans="1:2" x14ac:dyDescent="0.3">
      <c r="A45" s="35" t="s">
        <v>1483</v>
      </c>
      <c r="B45" s="13" t="s">
        <v>1484</v>
      </c>
    </row>
    <row r="46" spans="1:2" ht="28.8" x14ac:dyDescent="0.3">
      <c r="A46" s="35" t="s">
        <v>61</v>
      </c>
      <c r="B46" s="13" t="s">
        <v>1485</v>
      </c>
    </row>
    <row r="47" spans="1:2" x14ac:dyDescent="0.3">
      <c r="A47" s="35" t="s">
        <v>1486</v>
      </c>
      <c r="B47" s="13" t="s">
        <v>1487</v>
      </c>
    </row>
    <row r="48" spans="1:2" x14ac:dyDescent="0.3">
      <c r="A48" s="35" t="s">
        <v>1488</v>
      </c>
      <c r="B48" s="13" t="s">
        <v>1489</v>
      </c>
    </row>
    <row r="49" spans="1:8" x14ac:dyDescent="0.3">
      <c r="A49" s="35" t="s">
        <v>1490</v>
      </c>
      <c r="B49" s="13" t="s">
        <v>1491</v>
      </c>
    </row>
    <row r="50" spans="1:8" ht="28.8" x14ac:dyDescent="0.3">
      <c r="A50" s="35" t="s">
        <v>1492</v>
      </c>
      <c r="B50" s="13" t="s">
        <v>1493</v>
      </c>
    </row>
    <row r="51" spans="1:8" ht="28.8" x14ac:dyDescent="0.3">
      <c r="A51" s="35" t="s">
        <v>1038</v>
      </c>
      <c r="B51" s="13" t="s">
        <v>1494</v>
      </c>
    </row>
    <row r="52" spans="1:8" x14ac:dyDescent="0.3">
      <c r="A52" s="35" t="s">
        <v>591</v>
      </c>
      <c r="B52" s="13" t="s">
        <v>1495</v>
      </c>
    </row>
    <row r="53" spans="1:8" x14ac:dyDescent="0.3">
      <c r="A53" s="34"/>
    </row>
    <row r="54" spans="1:8" x14ac:dyDescent="0.3">
      <c r="A54" s="34"/>
    </row>
    <row r="55" spans="1:8" x14ac:dyDescent="0.3">
      <c r="A55" s="34"/>
    </row>
    <row r="56" spans="1:8" ht="30" customHeight="1" x14ac:dyDescent="0.3">
      <c r="A56" s="22" t="s">
        <v>270</v>
      </c>
      <c r="B56" s="23" t="s">
        <v>271</v>
      </c>
      <c r="C56" s="23" t="s">
        <v>272</v>
      </c>
      <c r="D56" s="23" t="s">
        <v>273</v>
      </c>
      <c r="E56" s="23" t="s">
        <v>274</v>
      </c>
      <c r="F56" s="22" t="s">
        <v>275</v>
      </c>
      <c r="G56" s="23" t="s">
        <v>13670</v>
      </c>
      <c r="H56" s="23" t="s">
        <v>13671</v>
      </c>
    </row>
    <row r="58" spans="1:8" ht="18" x14ac:dyDescent="0.35">
      <c r="A58" s="213" t="s">
        <v>276</v>
      </c>
      <c r="B58" s="213"/>
      <c r="C58" s="213"/>
      <c r="D58" s="213"/>
      <c r="E58" s="213"/>
      <c r="F58" s="213"/>
    </row>
    <row r="60" spans="1:8" ht="43.2" x14ac:dyDescent="0.3">
      <c r="A60" t="s">
        <v>277</v>
      </c>
      <c r="B60" s="13" t="s">
        <v>278</v>
      </c>
      <c r="C60" s="13" t="s">
        <v>279</v>
      </c>
      <c r="D60" s="13" t="s">
        <v>280</v>
      </c>
      <c r="E60" s="13" t="s">
        <v>13946</v>
      </c>
      <c r="F60" t="s">
        <v>348</v>
      </c>
      <c r="G60" s="13" t="s">
        <v>962</v>
      </c>
      <c r="H60" s="13" t="s">
        <v>13673</v>
      </c>
    </row>
    <row r="61" spans="1:8" ht="43.2" x14ac:dyDescent="0.3">
      <c r="A61" t="s">
        <v>282</v>
      </c>
      <c r="B61" s="13" t="s">
        <v>283</v>
      </c>
      <c r="C61" s="13" t="s">
        <v>284</v>
      </c>
      <c r="D61" s="13" t="s">
        <v>285</v>
      </c>
      <c r="E61" s="13" t="s">
        <v>13946</v>
      </c>
      <c r="F61" t="s">
        <v>348</v>
      </c>
      <c r="G61" s="13" t="s">
        <v>962</v>
      </c>
      <c r="H61" s="13" t="s">
        <v>13673</v>
      </c>
    </row>
    <row r="62" spans="1:8" ht="43.2" x14ac:dyDescent="0.3">
      <c r="A62" t="s">
        <v>286</v>
      </c>
      <c r="B62" s="13" t="s">
        <v>287</v>
      </c>
      <c r="C62" s="13" t="s">
        <v>288</v>
      </c>
      <c r="D62" s="13" t="s">
        <v>289</v>
      </c>
      <c r="E62" s="13" t="s">
        <v>13946</v>
      </c>
      <c r="F62" t="s">
        <v>348</v>
      </c>
      <c r="G62" s="13" t="s">
        <v>962</v>
      </c>
      <c r="H62" s="13" t="s">
        <v>13673</v>
      </c>
    </row>
    <row r="63" spans="1:8" ht="43.2" x14ac:dyDescent="0.3">
      <c r="A63" t="s">
        <v>290</v>
      </c>
      <c r="B63" s="13" t="s">
        <v>291</v>
      </c>
      <c r="C63" s="13" t="s">
        <v>1381</v>
      </c>
      <c r="D63" s="13" t="s">
        <v>292</v>
      </c>
      <c r="E63" s="13" t="s">
        <v>13946</v>
      </c>
      <c r="F63" t="s">
        <v>348</v>
      </c>
      <c r="G63" s="13" t="s">
        <v>962</v>
      </c>
      <c r="H63" s="13" t="s">
        <v>13673</v>
      </c>
    </row>
    <row r="64" spans="1:8" ht="43.2" x14ac:dyDescent="0.3">
      <c r="A64" t="s">
        <v>293</v>
      </c>
      <c r="B64" s="13" t="s">
        <v>294</v>
      </c>
      <c r="C64" s="13" t="s">
        <v>13929</v>
      </c>
      <c r="D64" s="13" t="s">
        <v>295</v>
      </c>
      <c r="E64" s="13" t="s">
        <v>13947</v>
      </c>
      <c r="F64" t="s">
        <v>348</v>
      </c>
      <c r="G64" s="13" t="s">
        <v>962</v>
      </c>
      <c r="H64" s="13" t="s">
        <v>13675</v>
      </c>
    </row>
    <row r="65" spans="1:8" ht="43.2" x14ac:dyDescent="0.3">
      <c r="A65" t="s">
        <v>296</v>
      </c>
      <c r="B65" s="13" t="s">
        <v>13930</v>
      </c>
      <c r="C65" s="13" t="s">
        <v>13931</v>
      </c>
      <c r="D65" s="13" t="s">
        <v>13932</v>
      </c>
      <c r="E65" s="13" t="s">
        <v>13947</v>
      </c>
      <c r="F65" t="s">
        <v>348</v>
      </c>
      <c r="G65" s="13" t="s">
        <v>962</v>
      </c>
      <c r="H65" s="13" t="s">
        <v>13675</v>
      </c>
    </row>
    <row r="66" spans="1:8" ht="28.8" x14ac:dyDescent="0.3">
      <c r="A66" t="s">
        <v>297</v>
      </c>
      <c r="B66" s="13" t="s">
        <v>298</v>
      </c>
      <c r="C66" s="13" t="s">
        <v>299</v>
      </c>
      <c r="D66" s="13" t="s">
        <v>300</v>
      </c>
      <c r="E66" s="13" t="s">
        <v>13948</v>
      </c>
      <c r="F66" t="s">
        <v>348</v>
      </c>
      <c r="G66" s="13" t="s">
        <v>962</v>
      </c>
      <c r="H66" s="13" t="s">
        <v>13673</v>
      </c>
    </row>
    <row r="67" spans="1:8" ht="28.8" x14ac:dyDescent="0.3">
      <c r="A67" t="s">
        <v>301</v>
      </c>
      <c r="B67" s="13" t="s">
        <v>302</v>
      </c>
      <c r="C67" s="13" t="s">
        <v>303</v>
      </c>
      <c r="D67" s="13" t="s">
        <v>304</v>
      </c>
      <c r="E67" s="13" t="s">
        <v>14147</v>
      </c>
      <c r="F67" t="s">
        <v>281</v>
      </c>
      <c r="G67" s="13" t="s">
        <v>988</v>
      </c>
      <c r="H67" s="13" t="s">
        <v>13957</v>
      </c>
    </row>
    <row r="68" spans="1:8" ht="28.8" x14ac:dyDescent="0.3">
      <c r="A68" t="s">
        <v>305</v>
      </c>
      <c r="B68" s="13" t="s">
        <v>306</v>
      </c>
      <c r="C68" s="13" t="s">
        <v>307</v>
      </c>
      <c r="D68" s="13" t="s">
        <v>308</v>
      </c>
      <c r="E68" s="13" t="s">
        <v>14148</v>
      </c>
      <c r="F68" t="s">
        <v>281</v>
      </c>
      <c r="G68" s="13" t="s">
        <v>988</v>
      </c>
      <c r="H68" s="13" t="s">
        <v>13957</v>
      </c>
    </row>
    <row r="69" spans="1:8" ht="28.8" x14ac:dyDescent="0.3">
      <c r="A69" t="s">
        <v>309</v>
      </c>
      <c r="B69" s="13" t="s">
        <v>310</v>
      </c>
      <c r="C69" s="13" t="s">
        <v>311</v>
      </c>
      <c r="D69" s="13" t="s">
        <v>312</v>
      </c>
      <c r="E69" s="13" t="s">
        <v>13949</v>
      </c>
      <c r="F69" t="s">
        <v>348</v>
      </c>
      <c r="G69" s="13" t="s">
        <v>962</v>
      </c>
      <c r="H69" s="13" t="s">
        <v>13673</v>
      </c>
    </row>
    <row r="70" spans="1:8" ht="28.8" x14ac:dyDescent="0.3">
      <c r="A70" t="s">
        <v>313</v>
      </c>
      <c r="B70" s="13" t="s">
        <v>314</v>
      </c>
      <c r="C70" s="13" t="s">
        <v>315</v>
      </c>
      <c r="D70" s="13" t="s">
        <v>316</v>
      </c>
      <c r="E70" s="13" t="s">
        <v>13949</v>
      </c>
      <c r="F70" t="s">
        <v>348</v>
      </c>
      <c r="G70" s="13" t="s">
        <v>962</v>
      </c>
      <c r="H70" s="13" t="s">
        <v>13673</v>
      </c>
    </row>
    <row r="71" spans="1:8" ht="28.8" x14ac:dyDescent="0.3">
      <c r="A71" t="s">
        <v>317</v>
      </c>
      <c r="B71" s="13" t="s">
        <v>318</v>
      </c>
      <c r="C71" s="13" t="s">
        <v>319</v>
      </c>
      <c r="D71" s="13" t="s">
        <v>312</v>
      </c>
      <c r="E71" s="13" t="s">
        <v>13949</v>
      </c>
      <c r="F71" t="s">
        <v>348</v>
      </c>
      <c r="G71" s="13" t="s">
        <v>962</v>
      </c>
      <c r="H71" s="13" t="s">
        <v>13673</v>
      </c>
    </row>
    <row r="72" spans="1:8" ht="28.8" x14ac:dyDescent="0.3">
      <c r="A72" t="s">
        <v>320</v>
      </c>
      <c r="B72" s="13" t="s">
        <v>321</v>
      </c>
      <c r="C72" s="13" t="s">
        <v>322</v>
      </c>
      <c r="D72" s="13" t="s">
        <v>323</v>
      </c>
      <c r="E72" s="13" t="s">
        <v>13949</v>
      </c>
      <c r="F72" t="s">
        <v>348</v>
      </c>
      <c r="G72" s="13" t="s">
        <v>962</v>
      </c>
      <c r="H72" s="13" t="s">
        <v>13673</v>
      </c>
    </row>
    <row r="73" spans="1:8" ht="28.8" x14ac:dyDescent="0.3">
      <c r="A73" t="s">
        <v>324</v>
      </c>
      <c r="B73" s="13" t="s">
        <v>325</v>
      </c>
      <c r="C73" s="13" t="s">
        <v>326</v>
      </c>
      <c r="D73" s="13" t="s">
        <v>327</v>
      </c>
      <c r="E73" s="13" t="s">
        <v>328</v>
      </c>
      <c r="F73" t="s">
        <v>281</v>
      </c>
    </row>
    <row r="74" spans="1:8" x14ac:dyDescent="0.3">
      <c r="A74" t="s">
        <v>329</v>
      </c>
      <c r="B74" s="13" t="s">
        <v>330</v>
      </c>
      <c r="C74" s="13" t="s">
        <v>331</v>
      </c>
      <c r="D74" s="13" t="s">
        <v>327</v>
      </c>
      <c r="E74" s="13" t="s">
        <v>332</v>
      </c>
      <c r="F74" t="s">
        <v>281</v>
      </c>
    </row>
    <row r="75" spans="1:8" ht="158.4" x14ac:dyDescent="0.3">
      <c r="A75" t="s">
        <v>333</v>
      </c>
      <c r="B75" s="13" t="s">
        <v>334</v>
      </c>
      <c r="C75" s="13" t="s">
        <v>13950</v>
      </c>
      <c r="D75" s="13" t="s">
        <v>13951</v>
      </c>
      <c r="E75" s="13" t="s">
        <v>13952</v>
      </c>
      <c r="F75" t="s">
        <v>348</v>
      </c>
      <c r="G75" s="13" t="s">
        <v>962</v>
      </c>
      <c r="H75" s="13" t="s">
        <v>13953</v>
      </c>
    </row>
    <row r="77" spans="1:8" ht="18" x14ac:dyDescent="0.35">
      <c r="A77" s="213" t="s">
        <v>335</v>
      </c>
      <c r="B77" s="213"/>
      <c r="C77" s="213"/>
      <c r="D77" s="213"/>
      <c r="E77" s="213"/>
      <c r="F77" s="213"/>
    </row>
    <row r="79" spans="1:8" ht="28.8" x14ac:dyDescent="0.3">
      <c r="A79" t="s">
        <v>28</v>
      </c>
      <c r="B79" s="13" t="s">
        <v>336</v>
      </c>
      <c r="C79" s="13" t="s">
        <v>337</v>
      </c>
      <c r="D79" s="13" t="s">
        <v>338</v>
      </c>
      <c r="E79" s="13" t="s">
        <v>339</v>
      </c>
      <c r="F79" t="s">
        <v>281</v>
      </c>
    </row>
    <row r="80" spans="1:8" ht="43.2" x14ac:dyDescent="0.3">
      <c r="A80" t="s">
        <v>20</v>
      </c>
      <c r="B80" s="13" t="s">
        <v>340</v>
      </c>
      <c r="C80" s="13" t="s">
        <v>1447</v>
      </c>
      <c r="D80" s="13" t="s">
        <v>341</v>
      </c>
      <c r="E80" s="13" t="s">
        <v>13672</v>
      </c>
      <c r="F80" t="s">
        <v>348</v>
      </c>
      <c r="G80" s="13" t="s">
        <v>962</v>
      </c>
      <c r="H80" s="13" t="s">
        <v>13673</v>
      </c>
    </row>
    <row r="81" spans="1:8" ht="43.2" x14ac:dyDescent="0.3">
      <c r="A81" t="s">
        <v>19</v>
      </c>
      <c r="B81" s="13" t="s">
        <v>342</v>
      </c>
      <c r="C81" s="13" t="s">
        <v>14071</v>
      </c>
      <c r="D81" s="13" t="s">
        <v>341</v>
      </c>
      <c r="E81" s="13" t="s">
        <v>343</v>
      </c>
      <c r="F81" t="s">
        <v>281</v>
      </c>
    </row>
    <row r="82" spans="1:8" ht="28.8" x14ac:dyDescent="0.3">
      <c r="A82" t="s">
        <v>29</v>
      </c>
      <c r="B82" s="13" t="s">
        <v>344</v>
      </c>
      <c r="C82" s="13" t="s">
        <v>345</v>
      </c>
      <c r="D82" s="13" t="s">
        <v>346</v>
      </c>
      <c r="E82" s="13" t="s">
        <v>347</v>
      </c>
      <c r="F82" t="s">
        <v>348</v>
      </c>
    </row>
    <row r="83" spans="1:8" ht="57.6" x14ac:dyDescent="0.3">
      <c r="A83" t="s">
        <v>22</v>
      </c>
      <c r="B83" s="13" t="s">
        <v>349</v>
      </c>
      <c r="C83" s="13" t="s">
        <v>1448</v>
      </c>
      <c r="D83" s="13" t="s">
        <v>350</v>
      </c>
      <c r="E83" s="13" t="s">
        <v>351</v>
      </c>
      <c r="F83" t="s">
        <v>281</v>
      </c>
    </row>
    <row r="84" spans="1:8" x14ac:dyDescent="0.3">
      <c r="A84" t="s">
        <v>352</v>
      </c>
      <c r="B84" s="13" t="s">
        <v>353</v>
      </c>
      <c r="C84" s="13" t="s">
        <v>354</v>
      </c>
      <c r="D84" s="13" t="s">
        <v>355</v>
      </c>
      <c r="E84" s="13" t="s">
        <v>356</v>
      </c>
      <c r="F84" t="s">
        <v>281</v>
      </c>
    </row>
    <row r="85" spans="1:8" x14ac:dyDescent="0.3">
      <c r="A85" t="s">
        <v>59</v>
      </c>
      <c r="B85" s="13" t="s">
        <v>357</v>
      </c>
      <c r="C85" s="13" t="s">
        <v>358</v>
      </c>
      <c r="D85" s="13" t="s">
        <v>359</v>
      </c>
      <c r="E85" s="13" t="s">
        <v>360</v>
      </c>
      <c r="F85" t="s">
        <v>281</v>
      </c>
    </row>
    <row r="86" spans="1:8" ht="28.8" x14ac:dyDescent="0.3">
      <c r="A86" t="s">
        <v>30</v>
      </c>
      <c r="B86" s="13" t="s">
        <v>361</v>
      </c>
      <c r="C86" s="13" t="s">
        <v>362</v>
      </c>
      <c r="D86" s="13" t="s">
        <v>363</v>
      </c>
      <c r="E86" s="13" t="s">
        <v>364</v>
      </c>
      <c r="F86" t="s">
        <v>348</v>
      </c>
    </row>
    <row r="87" spans="1:8" ht="43.2" x14ac:dyDescent="0.3">
      <c r="A87" t="s">
        <v>24</v>
      </c>
      <c r="B87" s="13" t="s">
        <v>365</v>
      </c>
      <c r="C87" s="13" t="s">
        <v>14072</v>
      </c>
      <c r="D87" s="13" t="s">
        <v>366</v>
      </c>
      <c r="E87" s="13" t="s">
        <v>367</v>
      </c>
      <c r="F87" t="s">
        <v>348</v>
      </c>
    </row>
    <row r="88" spans="1:8" ht="43.2" x14ac:dyDescent="0.3">
      <c r="A88" t="s">
        <v>368</v>
      </c>
      <c r="B88" s="13" t="s">
        <v>369</v>
      </c>
      <c r="C88" s="13" t="s">
        <v>14073</v>
      </c>
      <c r="D88" s="13" t="s">
        <v>370</v>
      </c>
      <c r="E88" s="13" t="s">
        <v>371</v>
      </c>
      <c r="F88" t="s">
        <v>348</v>
      </c>
    </row>
    <row r="89" spans="1:8" x14ac:dyDescent="0.3">
      <c r="A89" t="s">
        <v>372</v>
      </c>
      <c r="B89" s="13" t="s">
        <v>373</v>
      </c>
      <c r="C89" s="13" t="s">
        <v>374</v>
      </c>
      <c r="D89" s="13" t="s">
        <v>375</v>
      </c>
      <c r="E89" s="13" t="s">
        <v>376</v>
      </c>
      <c r="F89" t="s">
        <v>348</v>
      </c>
    </row>
    <row r="90" spans="1:8" ht="72" x14ac:dyDescent="0.3">
      <c r="A90" t="s">
        <v>26</v>
      </c>
      <c r="B90" s="13" t="s">
        <v>377</v>
      </c>
      <c r="C90" s="13" t="s">
        <v>13871</v>
      </c>
      <c r="D90" s="13" t="s">
        <v>378</v>
      </c>
      <c r="E90" s="13" t="s">
        <v>13674</v>
      </c>
      <c r="F90" t="s">
        <v>348</v>
      </c>
      <c r="G90" s="13" t="s">
        <v>962</v>
      </c>
      <c r="H90" s="13" t="s">
        <v>13675</v>
      </c>
    </row>
    <row r="91" spans="1:8" ht="28.8" x14ac:dyDescent="0.3">
      <c r="A91" t="s">
        <v>34</v>
      </c>
      <c r="B91" s="13" t="s">
        <v>379</v>
      </c>
      <c r="C91" s="13" t="s">
        <v>380</v>
      </c>
      <c r="D91" s="13" t="s">
        <v>381</v>
      </c>
      <c r="E91" s="13" t="s">
        <v>13676</v>
      </c>
      <c r="F91" t="s">
        <v>348</v>
      </c>
      <c r="G91" s="13" t="s">
        <v>962</v>
      </c>
      <c r="H91" s="13" t="s">
        <v>13673</v>
      </c>
    </row>
    <row r="92" spans="1:8" ht="57.6" x14ac:dyDescent="0.3">
      <c r="A92" t="s">
        <v>15</v>
      </c>
      <c r="B92" s="13" t="s">
        <v>382</v>
      </c>
      <c r="C92" s="13" t="s">
        <v>1449</v>
      </c>
      <c r="D92" s="13" t="s">
        <v>381</v>
      </c>
      <c r="E92" s="13" t="s">
        <v>13677</v>
      </c>
      <c r="F92" t="s">
        <v>348</v>
      </c>
      <c r="G92" s="13" t="s">
        <v>962</v>
      </c>
      <c r="H92" s="13" t="s">
        <v>13675</v>
      </c>
    </row>
    <row r="93" spans="1:8" ht="43.2" x14ac:dyDescent="0.3">
      <c r="A93" t="s">
        <v>25</v>
      </c>
      <c r="B93" s="13" t="s">
        <v>383</v>
      </c>
      <c r="C93" s="13" t="s">
        <v>1450</v>
      </c>
      <c r="D93" s="13" t="s">
        <v>384</v>
      </c>
      <c r="E93" s="13" t="s">
        <v>385</v>
      </c>
      <c r="F93" t="s">
        <v>348</v>
      </c>
    </row>
    <row r="94" spans="1:8" ht="57.6" x14ac:dyDescent="0.3">
      <c r="A94" t="s">
        <v>35</v>
      </c>
      <c r="B94" s="13" t="s">
        <v>386</v>
      </c>
      <c r="C94" s="13" t="s">
        <v>1451</v>
      </c>
      <c r="D94" s="13" t="s">
        <v>387</v>
      </c>
      <c r="E94" s="13" t="s">
        <v>13678</v>
      </c>
      <c r="F94" t="s">
        <v>348</v>
      </c>
      <c r="G94" s="13" t="s">
        <v>962</v>
      </c>
      <c r="H94" s="13" t="s">
        <v>13675</v>
      </c>
    </row>
    <row r="95" spans="1:8" ht="28.8" x14ac:dyDescent="0.3">
      <c r="A95" t="s">
        <v>36</v>
      </c>
      <c r="B95" s="13" t="s">
        <v>388</v>
      </c>
      <c r="C95" s="13" t="s">
        <v>389</v>
      </c>
      <c r="D95" s="13" t="s">
        <v>387</v>
      </c>
      <c r="E95" s="13" t="s">
        <v>390</v>
      </c>
      <c r="F95" t="s">
        <v>281</v>
      </c>
    </row>
    <row r="96" spans="1:8" ht="28.8" x14ac:dyDescent="0.3">
      <c r="A96" t="s">
        <v>391</v>
      </c>
      <c r="B96" s="13" t="s">
        <v>392</v>
      </c>
      <c r="C96" s="13" t="s">
        <v>393</v>
      </c>
      <c r="D96" s="13" t="s">
        <v>359</v>
      </c>
      <c r="E96" s="13" t="s">
        <v>394</v>
      </c>
      <c r="F96" t="s">
        <v>348</v>
      </c>
    </row>
    <row r="97" spans="1:8" ht="43.2" x14ac:dyDescent="0.3">
      <c r="A97" t="s">
        <v>23</v>
      </c>
      <c r="B97" s="13" t="s">
        <v>13933</v>
      </c>
      <c r="C97" s="13" t="s">
        <v>13934</v>
      </c>
      <c r="D97" s="13" t="s">
        <v>395</v>
      </c>
      <c r="E97" s="13" t="s">
        <v>396</v>
      </c>
      <c r="F97" t="s">
        <v>348</v>
      </c>
    </row>
    <row r="98" spans="1:8" x14ac:dyDescent="0.3">
      <c r="A98" t="s">
        <v>60</v>
      </c>
      <c r="B98" s="13" t="s">
        <v>397</v>
      </c>
      <c r="C98" s="13" t="s">
        <v>398</v>
      </c>
      <c r="D98" s="13" t="s">
        <v>399</v>
      </c>
      <c r="E98" s="13" t="s">
        <v>400</v>
      </c>
      <c r="F98" t="s">
        <v>281</v>
      </c>
    </row>
    <row r="99" spans="1:8" ht="28.8" x14ac:dyDescent="0.3">
      <c r="A99" t="s">
        <v>31</v>
      </c>
      <c r="B99" s="13" t="s">
        <v>401</v>
      </c>
      <c r="C99" s="13" t="s">
        <v>402</v>
      </c>
      <c r="D99" s="13" t="s">
        <v>403</v>
      </c>
      <c r="E99" s="13" t="s">
        <v>404</v>
      </c>
      <c r="F99" t="s">
        <v>348</v>
      </c>
    </row>
    <row r="100" spans="1:8" ht="57.6" x14ac:dyDescent="0.3">
      <c r="A100" t="s">
        <v>16</v>
      </c>
      <c r="B100" s="13" t="s">
        <v>405</v>
      </c>
      <c r="C100" s="13" t="s">
        <v>1452</v>
      </c>
      <c r="D100" s="13" t="s">
        <v>378</v>
      </c>
      <c r="E100" s="13" t="s">
        <v>13679</v>
      </c>
      <c r="F100" t="s">
        <v>348</v>
      </c>
      <c r="G100" s="13" t="s">
        <v>962</v>
      </c>
      <c r="H100" s="13" t="s">
        <v>13675</v>
      </c>
    </row>
    <row r="101" spans="1:8" ht="57.6" x14ac:dyDescent="0.3">
      <c r="A101" t="s">
        <v>32</v>
      </c>
      <c r="B101" s="13" t="s">
        <v>1453</v>
      </c>
      <c r="C101" s="13" t="s">
        <v>1454</v>
      </c>
      <c r="D101" s="13" t="s">
        <v>406</v>
      </c>
      <c r="E101" s="13" t="s">
        <v>407</v>
      </c>
      <c r="F101" t="s">
        <v>281</v>
      </c>
    </row>
    <row r="102" spans="1:8" ht="57.6" x14ac:dyDescent="0.3">
      <c r="A102" t="s">
        <v>17</v>
      </c>
      <c r="B102" s="13" t="s">
        <v>408</v>
      </c>
      <c r="C102" s="13" t="s">
        <v>1455</v>
      </c>
      <c r="D102" s="13" t="s">
        <v>409</v>
      </c>
      <c r="E102" s="13" t="s">
        <v>410</v>
      </c>
      <c r="F102" t="s">
        <v>348</v>
      </c>
    </row>
    <row r="103" spans="1:8" ht="100.8" x14ac:dyDescent="0.3">
      <c r="A103" t="s">
        <v>37</v>
      </c>
      <c r="B103" s="13" t="s">
        <v>411</v>
      </c>
      <c r="C103" s="13" t="s">
        <v>14080</v>
      </c>
      <c r="D103" s="13" t="s">
        <v>381</v>
      </c>
      <c r="E103" s="13" t="s">
        <v>13680</v>
      </c>
      <c r="F103" t="s">
        <v>348</v>
      </c>
      <c r="G103" s="13" t="s">
        <v>962</v>
      </c>
      <c r="H103" s="13" t="s">
        <v>13675</v>
      </c>
    </row>
    <row r="104" spans="1:8" ht="43.2" x14ac:dyDescent="0.3">
      <c r="A104" t="s">
        <v>1792</v>
      </c>
      <c r="B104" s="13" t="s">
        <v>1793</v>
      </c>
      <c r="C104" s="13" t="s">
        <v>1794</v>
      </c>
      <c r="D104" s="13" t="s">
        <v>381</v>
      </c>
      <c r="E104" s="13" t="s">
        <v>13681</v>
      </c>
      <c r="F104" t="s">
        <v>348</v>
      </c>
      <c r="G104" s="13" t="s">
        <v>962</v>
      </c>
      <c r="H104" s="13" t="s">
        <v>13675</v>
      </c>
    </row>
    <row r="105" spans="1:8" ht="43.2" x14ac:dyDescent="0.3">
      <c r="A105" t="s">
        <v>1795</v>
      </c>
      <c r="B105" s="13" t="s">
        <v>1796</v>
      </c>
      <c r="C105" s="13" t="s">
        <v>1797</v>
      </c>
      <c r="D105" s="13" t="s">
        <v>387</v>
      </c>
      <c r="E105" s="13" t="s">
        <v>13682</v>
      </c>
      <c r="F105" t="s">
        <v>348</v>
      </c>
      <c r="G105" s="13" t="s">
        <v>962</v>
      </c>
      <c r="H105" s="13" t="s">
        <v>13675</v>
      </c>
    </row>
    <row r="106" spans="1:8" ht="28.8" x14ac:dyDescent="0.3">
      <c r="A106" t="s">
        <v>1798</v>
      </c>
      <c r="B106" s="13" t="s">
        <v>1799</v>
      </c>
      <c r="C106" s="13" t="s">
        <v>1800</v>
      </c>
      <c r="D106" s="13" t="s">
        <v>1801</v>
      </c>
      <c r="E106" s="13" t="s">
        <v>13683</v>
      </c>
      <c r="F106" t="s">
        <v>348</v>
      </c>
      <c r="G106" s="13" t="s">
        <v>962</v>
      </c>
      <c r="H106" s="13" t="s">
        <v>13673</v>
      </c>
    </row>
    <row r="107" spans="1:8" ht="28.8" x14ac:dyDescent="0.3">
      <c r="A107" t="s">
        <v>1802</v>
      </c>
      <c r="B107" s="13" t="s">
        <v>1803</v>
      </c>
      <c r="C107" s="13" t="s">
        <v>1804</v>
      </c>
      <c r="D107" s="13" t="s">
        <v>381</v>
      </c>
      <c r="E107" s="13" t="s">
        <v>13684</v>
      </c>
      <c r="F107" t="s">
        <v>348</v>
      </c>
      <c r="G107" s="13" t="s">
        <v>962</v>
      </c>
      <c r="H107" s="13" t="s">
        <v>13673</v>
      </c>
    </row>
    <row r="108" spans="1:8" ht="43.2" x14ac:dyDescent="0.3">
      <c r="A108" t="s">
        <v>1805</v>
      </c>
      <c r="B108" s="13" t="s">
        <v>13024</v>
      </c>
      <c r="C108" s="13" t="s">
        <v>13018</v>
      </c>
      <c r="D108" s="13" t="s">
        <v>381</v>
      </c>
      <c r="E108" s="13" t="s">
        <v>13685</v>
      </c>
      <c r="F108" t="s">
        <v>348</v>
      </c>
      <c r="G108" s="13" t="s">
        <v>962</v>
      </c>
      <c r="H108" s="13" t="s">
        <v>13675</v>
      </c>
    </row>
    <row r="109" spans="1:8" ht="28.8" x14ac:dyDescent="0.3">
      <c r="A109" t="s">
        <v>1806</v>
      </c>
      <c r="B109" s="13" t="s">
        <v>1807</v>
      </c>
      <c r="C109" s="13" t="s">
        <v>1808</v>
      </c>
      <c r="D109" s="13" t="s">
        <v>1809</v>
      </c>
      <c r="E109" s="13" t="s">
        <v>13686</v>
      </c>
      <c r="F109" t="s">
        <v>348</v>
      </c>
      <c r="G109" s="13" t="s">
        <v>962</v>
      </c>
      <c r="H109" s="13" t="s">
        <v>13673</v>
      </c>
    </row>
    <row r="110" spans="1:8" ht="28.8" x14ac:dyDescent="0.3">
      <c r="A110" t="s">
        <v>1810</v>
      </c>
      <c r="B110" s="13" t="s">
        <v>1811</v>
      </c>
      <c r="C110" s="13" t="s">
        <v>1812</v>
      </c>
      <c r="D110" s="13" t="s">
        <v>1809</v>
      </c>
      <c r="E110" s="13" t="s">
        <v>13687</v>
      </c>
      <c r="F110" t="s">
        <v>348</v>
      </c>
      <c r="G110" s="13" t="s">
        <v>962</v>
      </c>
      <c r="H110" s="13" t="s">
        <v>13673</v>
      </c>
    </row>
    <row r="111" spans="1:8" ht="28.8" x14ac:dyDescent="0.3">
      <c r="A111" t="s">
        <v>1813</v>
      </c>
      <c r="B111" s="13" t="s">
        <v>1814</v>
      </c>
      <c r="C111" s="13" t="s">
        <v>1815</v>
      </c>
      <c r="D111" s="13" t="s">
        <v>1816</v>
      </c>
      <c r="E111" s="13" t="s">
        <v>1817</v>
      </c>
      <c r="F111" t="s">
        <v>281</v>
      </c>
    </row>
    <row r="112" spans="1:8" ht="28.8" x14ac:dyDescent="0.3">
      <c r="A112" t="s">
        <v>1818</v>
      </c>
      <c r="B112" s="13" t="s">
        <v>1819</v>
      </c>
      <c r="C112" s="13" t="s">
        <v>1820</v>
      </c>
      <c r="D112" s="13" t="s">
        <v>1821</v>
      </c>
      <c r="E112" s="13" t="s">
        <v>1822</v>
      </c>
      <c r="F112" t="s">
        <v>281</v>
      </c>
    </row>
    <row r="113" spans="1:8" ht="28.8" x14ac:dyDescent="0.3">
      <c r="A113" t="s">
        <v>1823</v>
      </c>
      <c r="B113" s="13" t="s">
        <v>1824</v>
      </c>
      <c r="C113" s="13" t="s">
        <v>1825</v>
      </c>
      <c r="D113" s="13" t="s">
        <v>378</v>
      </c>
      <c r="E113" s="13" t="s">
        <v>1826</v>
      </c>
      <c r="F113" t="s">
        <v>281</v>
      </c>
    </row>
    <row r="115" spans="1:8" ht="18" x14ac:dyDescent="0.35">
      <c r="A115" s="213" t="s">
        <v>412</v>
      </c>
      <c r="B115" s="213"/>
      <c r="C115" s="213"/>
      <c r="D115" s="213"/>
      <c r="E115" s="213"/>
      <c r="F115" s="213"/>
    </row>
    <row r="116" spans="1:8" ht="57.6" x14ac:dyDescent="0.3">
      <c r="C116" s="13" t="s">
        <v>1456</v>
      </c>
    </row>
    <row r="117" spans="1:8" ht="28.8" x14ac:dyDescent="0.3">
      <c r="A117" t="s">
        <v>39</v>
      </c>
      <c r="B117" s="13" t="s">
        <v>413</v>
      </c>
      <c r="C117" s="13" t="s">
        <v>414</v>
      </c>
      <c r="D117" s="13" t="s">
        <v>415</v>
      </c>
      <c r="E117" s="13" t="s">
        <v>416</v>
      </c>
      <c r="F117" t="s">
        <v>417</v>
      </c>
    </row>
    <row r="118" spans="1:8" ht="43.2" x14ac:dyDescent="0.3">
      <c r="A118" t="s">
        <v>49</v>
      </c>
      <c r="B118" s="13" t="s">
        <v>418</v>
      </c>
      <c r="C118" s="13" t="s">
        <v>14074</v>
      </c>
      <c r="D118" s="13" t="s">
        <v>415</v>
      </c>
      <c r="E118" s="13" t="s">
        <v>419</v>
      </c>
      <c r="F118" t="s">
        <v>417</v>
      </c>
    </row>
    <row r="119" spans="1:8" ht="28.8" x14ac:dyDescent="0.3">
      <c r="A119" t="s">
        <v>41</v>
      </c>
      <c r="B119" s="13" t="s">
        <v>420</v>
      </c>
      <c r="C119" s="13" t="s">
        <v>421</v>
      </c>
      <c r="D119" s="13" t="s">
        <v>422</v>
      </c>
      <c r="E119" s="13" t="s">
        <v>423</v>
      </c>
      <c r="F119" t="s">
        <v>417</v>
      </c>
    </row>
    <row r="120" spans="1:8" ht="86.4" x14ac:dyDescent="0.3">
      <c r="A120" t="s">
        <v>50</v>
      </c>
      <c r="B120" s="13" t="s">
        <v>424</v>
      </c>
      <c r="C120" s="13" t="s">
        <v>14075</v>
      </c>
      <c r="D120" s="13" t="s">
        <v>425</v>
      </c>
      <c r="E120" s="13" t="s">
        <v>426</v>
      </c>
      <c r="F120" t="s">
        <v>417</v>
      </c>
    </row>
    <row r="121" spans="1:8" ht="28.8" x14ac:dyDescent="0.3">
      <c r="A121" t="s">
        <v>51</v>
      </c>
      <c r="B121" s="13" t="s">
        <v>427</v>
      </c>
      <c r="C121" s="13" t="s">
        <v>428</v>
      </c>
      <c r="D121" s="13" t="s">
        <v>429</v>
      </c>
      <c r="E121" s="13" t="s">
        <v>430</v>
      </c>
      <c r="F121" t="s">
        <v>417</v>
      </c>
    </row>
    <row r="122" spans="1:8" ht="100.8" x14ac:dyDescent="0.3">
      <c r="A122" t="s">
        <v>54</v>
      </c>
      <c r="B122" s="13" t="s">
        <v>14212</v>
      </c>
      <c r="C122" s="13" t="s">
        <v>14213</v>
      </c>
      <c r="D122" s="13" t="s">
        <v>14214</v>
      </c>
      <c r="E122" s="13" t="s">
        <v>14215</v>
      </c>
      <c r="F122" t="s">
        <v>348</v>
      </c>
      <c r="G122" s="13" t="s">
        <v>962</v>
      </c>
      <c r="H122" s="13" t="s">
        <v>14216</v>
      </c>
    </row>
    <row r="123" spans="1:8" ht="43.2" x14ac:dyDescent="0.3">
      <c r="A123" t="s">
        <v>52</v>
      </c>
      <c r="B123" s="13" t="s">
        <v>431</v>
      </c>
      <c r="C123" s="13" t="s">
        <v>14076</v>
      </c>
      <c r="D123" s="13" t="s">
        <v>432</v>
      </c>
      <c r="E123" s="13" t="s">
        <v>433</v>
      </c>
      <c r="F123" t="s">
        <v>417</v>
      </c>
    </row>
    <row r="124" spans="1:8" ht="28.8" x14ac:dyDescent="0.3">
      <c r="A124" t="s">
        <v>40</v>
      </c>
      <c r="B124" s="13" t="s">
        <v>434</v>
      </c>
      <c r="C124" s="13" t="s">
        <v>435</v>
      </c>
      <c r="D124" s="13" t="s">
        <v>436</v>
      </c>
      <c r="E124" s="13" t="s">
        <v>437</v>
      </c>
      <c r="F124" t="s">
        <v>417</v>
      </c>
    </row>
    <row r="125" spans="1:8" ht="43.2" x14ac:dyDescent="0.3">
      <c r="A125" t="s">
        <v>55</v>
      </c>
      <c r="B125" s="13" t="s">
        <v>438</v>
      </c>
      <c r="C125" s="13" t="s">
        <v>14077</v>
      </c>
      <c r="D125" s="13" t="s">
        <v>439</v>
      </c>
      <c r="E125" s="13" t="s">
        <v>440</v>
      </c>
      <c r="F125" t="s">
        <v>417</v>
      </c>
    </row>
    <row r="126" spans="1:8" ht="28.8" x14ac:dyDescent="0.3">
      <c r="A126" t="s">
        <v>47</v>
      </c>
      <c r="B126" s="13" t="s">
        <v>441</v>
      </c>
      <c r="C126" s="13" t="s">
        <v>442</v>
      </c>
      <c r="D126" s="13" t="s">
        <v>422</v>
      </c>
      <c r="E126" s="13" t="s">
        <v>423</v>
      </c>
      <c r="F126" t="s">
        <v>417</v>
      </c>
    </row>
    <row r="127" spans="1:8" ht="28.8" x14ac:dyDescent="0.3">
      <c r="A127" t="s">
        <v>56</v>
      </c>
      <c r="B127" s="13" t="s">
        <v>443</v>
      </c>
      <c r="C127" s="13" t="s">
        <v>444</v>
      </c>
      <c r="D127" s="13" t="s">
        <v>422</v>
      </c>
      <c r="E127" s="13" t="s">
        <v>445</v>
      </c>
      <c r="F127" t="s">
        <v>417</v>
      </c>
    </row>
    <row r="128" spans="1:8" ht="28.8" x14ac:dyDescent="0.3">
      <c r="A128" t="s">
        <v>57</v>
      </c>
      <c r="B128" s="13" t="s">
        <v>446</v>
      </c>
      <c r="C128" s="13" t="s">
        <v>13019</v>
      </c>
      <c r="D128" s="13" t="s">
        <v>447</v>
      </c>
      <c r="E128" s="13" t="s">
        <v>448</v>
      </c>
      <c r="F128" t="s">
        <v>417</v>
      </c>
    </row>
    <row r="129" spans="1:6" ht="28.8" x14ac:dyDescent="0.3">
      <c r="A129" t="s">
        <v>43</v>
      </c>
      <c r="B129" s="13" t="s">
        <v>449</v>
      </c>
      <c r="C129" s="13" t="s">
        <v>450</v>
      </c>
      <c r="D129" s="13" t="s">
        <v>451</v>
      </c>
      <c r="E129" s="13" t="s">
        <v>452</v>
      </c>
      <c r="F129" t="s">
        <v>417</v>
      </c>
    </row>
    <row r="130" spans="1:6" ht="28.8" x14ac:dyDescent="0.3">
      <c r="A130" t="s">
        <v>42</v>
      </c>
      <c r="B130" s="13" t="s">
        <v>453</v>
      </c>
      <c r="C130" s="13" t="s">
        <v>454</v>
      </c>
      <c r="D130" s="13" t="s">
        <v>455</v>
      </c>
      <c r="E130" s="13" t="s">
        <v>456</v>
      </c>
      <c r="F130" t="s">
        <v>417</v>
      </c>
    </row>
    <row r="131" spans="1:6" ht="28.8" x14ac:dyDescent="0.3">
      <c r="A131" t="s">
        <v>58</v>
      </c>
      <c r="B131" s="13" t="s">
        <v>457</v>
      </c>
      <c r="C131" s="13" t="s">
        <v>458</v>
      </c>
      <c r="D131" s="13" t="s">
        <v>459</v>
      </c>
      <c r="E131" s="13" t="s">
        <v>460</v>
      </c>
      <c r="F131" t="s">
        <v>417</v>
      </c>
    </row>
    <row r="132" spans="1:6" ht="28.8" x14ac:dyDescent="0.3">
      <c r="A132" t="s">
        <v>45</v>
      </c>
      <c r="B132" s="13" t="s">
        <v>461</v>
      </c>
      <c r="C132" s="13" t="s">
        <v>13020</v>
      </c>
      <c r="D132" s="13" t="s">
        <v>462</v>
      </c>
      <c r="E132" s="13" t="s">
        <v>463</v>
      </c>
      <c r="F132" t="s">
        <v>417</v>
      </c>
    </row>
    <row r="133" spans="1:6" ht="28.8" x14ac:dyDescent="0.3">
      <c r="A133" t="s">
        <v>464</v>
      </c>
      <c r="B133" s="13" t="s">
        <v>465</v>
      </c>
      <c r="C133" s="13" t="s">
        <v>466</v>
      </c>
      <c r="D133" s="13" t="s">
        <v>467</v>
      </c>
      <c r="E133" s="13" t="s">
        <v>468</v>
      </c>
      <c r="F133" t="s">
        <v>417</v>
      </c>
    </row>
    <row r="134" spans="1:6" ht="28.8" x14ac:dyDescent="0.3">
      <c r="A134" t="s">
        <v>469</v>
      </c>
      <c r="B134" s="13" t="s">
        <v>470</v>
      </c>
      <c r="C134" s="13" t="s">
        <v>13021</v>
      </c>
      <c r="D134" s="13" t="s">
        <v>471</v>
      </c>
      <c r="E134" s="13" t="s">
        <v>472</v>
      </c>
      <c r="F134" t="s">
        <v>417</v>
      </c>
    </row>
    <row r="135" spans="1:6" ht="28.8" x14ac:dyDescent="0.3">
      <c r="A135" t="s">
        <v>473</v>
      </c>
      <c r="B135" s="13" t="s">
        <v>474</v>
      </c>
      <c r="C135" s="13" t="s">
        <v>1838</v>
      </c>
      <c r="D135" s="13" t="s">
        <v>475</v>
      </c>
      <c r="E135" s="13" t="s">
        <v>476</v>
      </c>
      <c r="F135" t="s">
        <v>417</v>
      </c>
    </row>
    <row r="136" spans="1:6" ht="28.8" x14ac:dyDescent="0.3">
      <c r="A136" t="s">
        <v>477</v>
      </c>
      <c r="B136" s="13" t="s">
        <v>478</v>
      </c>
      <c r="C136" s="13" t="s">
        <v>479</v>
      </c>
      <c r="D136" s="13" t="s">
        <v>480</v>
      </c>
      <c r="E136" s="13" t="s">
        <v>481</v>
      </c>
      <c r="F136" t="s">
        <v>417</v>
      </c>
    </row>
    <row r="137" spans="1:6" ht="28.8" x14ac:dyDescent="0.3">
      <c r="A137" t="s">
        <v>482</v>
      </c>
      <c r="B137" s="13" t="s">
        <v>483</v>
      </c>
      <c r="C137" s="13" t="s">
        <v>484</v>
      </c>
      <c r="D137" s="13" t="s">
        <v>422</v>
      </c>
      <c r="E137" s="13" t="s">
        <v>485</v>
      </c>
      <c r="F137" t="s">
        <v>417</v>
      </c>
    </row>
    <row r="138" spans="1:6" ht="43.2" x14ac:dyDescent="0.3">
      <c r="A138" t="s">
        <v>486</v>
      </c>
      <c r="B138" s="13" t="s">
        <v>487</v>
      </c>
      <c r="C138" s="13" t="s">
        <v>14078</v>
      </c>
      <c r="D138" s="13" t="s">
        <v>422</v>
      </c>
      <c r="E138" s="13" t="s">
        <v>488</v>
      </c>
      <c r="F138" t="s">
        <v>417</v>
      </c>
    </row>
    <row r="139" spans="1:6" ht="28.8" x14ac:dyDescent="0.3">
      <c r="A139" t="s">
        <v>44</v>
      </c>
      <c r="B139" s="13" t="s">
        <v>489</v>
      </c>
      <c r="C139" s="13" t="s">
        <v>490</v>
      </c>
      <c r="D139" s="13" t="s">
        <v>491</v>
      </c>
      <c r="E139" s="13" t="s">
        <v>492</v>
      </c>
      <c r="F139" t="s">
        <v>417</v>
      </c>
    </row>
    <row r="140" spans="1:6" x14ac:dyDescent="0.3">
      <c r="A140" t="s">
        <v>493</v>
      </c>
      <c r="B140" s="13" t="s">
        <v>494</v>
      </c>
      <c r="C140" s="13" t="s">
        <v>495</v>
      </c>
      <c r="D140" s="13" t="s">
        <v>496</v>
      </c>
      <c r="E140" s="13" t="s">
        <v>497</v>
      </c>
      <c r="F140" t="s">
        <v>417</v>
      </c>
    </row>
    <row r="141" spans="1:6" ht="28.8" x14ac:dyDescent="0.3">
      <c r="A141" t="s">
        <v>46</v>
      </c>
      <c r="B141" s="13" t="s">
        <v>498</v>
      </c>
      <c r="C141" s="13" t="s">
        <v>499</v>
      </c>
      <c r="D141" s="13" t="s">
        <v>500</v>
      </c>
      <c r="E141" s="13" t="s">
        <v>501</v>
      </c>
      <c r="F141" t="s">
        <v>417</v>
      </c>
    </row>
    <row r="143" spans="1:6" ht="18" x14ac:dyDescent="0.35">
      <c r="A143" s="213" t="s">
        <v>502</v>
      </c>
      <c r="B143" s="213"/>
      <c r="C143" s="213"/>
      <c r="D143" s="213"/>
      <c r="E143" s="213"/>
      <c r="F143" s="213"/>
    </row>
    <row r="145" spans="1:6" x14ac:dyDescent="0.3">
      <c r="A145" t="s">
        <v>503</v>
      </c>
      <c r="B145" s="13" t="s">
        <v>504</v>
      </c>
      <c r="C145" s="13" t="s">
        <v>505</v>
      </c>
      <c r="D145" s="13" t="s">
        <v>506</v>
      </c>
      <c r="E145" s="13" t="s">
        <v>507</v>
      </c>
      <c r="F145" t="s">
        <v>281</v>
      </c>
    </row>
    <row r="146" spans="1:6" x14ac:dyDescent="0.3">
      <c r="A146" t="s">
        <v>508</v>
      </c>
      <c r="B146" s="13" t="s">
        <v>509</v>
      </c>
      <c r="C146" s="13" t="s">
        <v>510</v>
      </c>
      <c r="D146" s="13" t="s">
        <v>511</v>
      </c>
      <c r="E146" s="13" t="s">
        <v>512</v>
      </c>
      <c r="F146" t="s">
        <v>281</v>
      </c>
    </row>
    <row r="147" spans="1:6" x14ac:dyDescent="0.3">
      <c r="A147" t="s">
        <v>513</v>
      </c>
      <c r="B147" s="13" t="s">
        <v>514</v>
      </c>
      <c r="C147" s="13" t="s">
        <v>515</v>
      </c>
      <c r="D147" s="13" t="s">
        <v>511</v>
      </c>
      <c r="E147" s="13" t="s">
        <v>516</v>
      </c>
      <c r="F147" t="s">
        <v>281</v>
      </c>
    </row>
    <row r="148" spans="1:6" ht="28.8" x14ac:dyDescent="0.3">
      <c r="A148" t="s">
        <v>517</v>
      </c>
      <c r="B148" s="13" t="s">
        <v>518</v>
      </c>
      <c r="C148" s="13" t="s">
        <v>14079</v>
      </c>
      <c r="D148" s="13" t="s">
        <v>519</v>
      </c>
      <c r="E148" s="13" t="s">
        <v>520</v>
      </c>
      <c r="F148" t="s">
        <v>281</v>
      </c>
    </row>
    <row r="149" spans="1:6" x14ac:dyDescent="0.3">
      <c r="A149" t="s">
        <v>521</v>
      </c>
      <c r="B149" s="13" t="s">
        <v>522</v>
      </c>
      <c r="C149" s="13" t="s">
        <v>523</v>
      </c>
      <c r="D149" s="13" t="s">
        <v>524</v>
      </c>
      <c r="E149" s="13" t="s">
        <v>525</v>
      </c>
      <c r="F149" t="s">
        <v>281</v>
      </c>
    </row>
    <row r="150" spans="1:6" x14ac:dyDescent="0.3">
      <c r="A150" t="s">
        <v>526</v>
      </c>
      <c r="B150" s="13" t="s">
        <v>527</v>
      </c>
      <c r="C150" s="13" t="s">
        <v>528</v>
      </c>
      <c r="D150" s="13" t="s">
        <v>519</v>
      </c>
      <c r="E150" s="13" t="s">
        <v>529</v>
      </c>
      <c r="F150" t="s">
        <v>281</v>
      </c>
    </row>
    <row r="151" spans="1:6" x14ac:dyDescent="0.3">
      <c r="A151" t="s">
        <v>530</v>
      </c>
      <c r="B151" s="13" t="s">
        <v>531</v>
      </c>
      <c r="C151" s="13" t="s">
        <v>532</v>
      </c>
      <c r="D151" s="13" t="s">
        <v>378</v>
      </c>
      <c r="E151" s="13" t="s">
        <v>533</v>
      </c>
      <c r="F151" t="s">
        <v>281</v>
      </c>
    </row>
    <row r="152" spans="1:6" x14ac:dyDescent="0.3">
      <c r="A152" t="s">
        <v>534</v>
      </c>
      <c r="B152" s="13" t="s">
        <v>535</v>
      </c>
      <c r="C152" s="13" t="s">
        <v>19769</v>
      </c>
      <c r="D152" s="13" t="s">
        <v>370</v>
      </c>
      <c r="E152" s="13" t="s">
        <v>536</v>
      </c>
      <c r="F152" t="s">
        <v>281</v>
      </c>
    </row>
    <row r="153" spans="1:6" x14ac:dyDescent="0.3">
      <c r="A153" t="s">
        <v>537</v>
      </c>
      <c r="B153" s="13" t="s">
        <v>538</v>
      </c>
      <c r="C153" s="13" t="s">
        <v>539</v>
      </c>
      <c r="D153" s="13" t="s">
        <v>540</v>
      </c>
      <c r="E153" s="13" t="s">
        <v>541</v>
      </c>
      <c r="F153" t="s">
        <v>281</v>
      </c>
    </row>
    <row r="154" spans="1:6" x14ac:dyDescent="0.3">
      <c r="A154" t="s">
        <v>542</v>
      </c>
      <c r="B154" s="13" t="s">
        <v>543</v>
      </c>
      <c r="C154" s="13" t="s">
        <v>544</v>
      </c>
      <c r="D154" s="13" t="s">
        <v>545</v>
      </c>
      <c r="E154" s="13" t="s">
        <v>546</v>
      </c>
      <c r="F154" t="s">
        <v>281</v>
      </c>
    </row>
    <row r="155" spans="1:6" x14ac:dyDescent="0.3">
      <c r="A155" t="s">
        <v>547</v>
      </c>
      <c r="B155" s="13" t="s">
        <v>548</v>
      </c>
      <c r="C155" s="13" t="s">
        <v>549</v>
      </c>
      <c r="D155" s="13" t="s">
        <v>550</v>
      </c>
      <c r="E155" s="13" t="s">
        <v>546</v>
      </c>
      <c r="F155" t="s">
        <v>281</v>
      </c>
    </row>
    <row r="156" spans="1:6" ht="28.8" x14ac:dyDescent="0.3">
      <c r="A156" t="s">
        <v>552</v>
      </c>
      <c r="B156" s="13" t="s">
        <v>553</v>
      </c>
      <c r="C156" s="13" t="s">
        <v>1457</v>
      </c>
      <c r="D156" s="13" t="s">
        <v>554</v>
      </c>
      <c r="E156" s="13" t="s">
        <v>551</v>
      </c>
      <c r="F156" t="s">
        <v>281</v>
      </c>
    </row>
    <row r="157" spans="1:6" ht="43.2" x14ac:dyDescent="0.3">
      <c r="A157" t="s">
        <v>555</v>
      </c>
      <c r="B157" s="13" t="s">
        <v>556</v>
      </c>
      <c r="C157" s="13" t="s">
        <v>13023</v>
      </c>
      <c r="D157" s="13" t="s">
        <v>557</v>
      </c>
      <c r="E157" s="13" t="s">
        <v>558</v>
      </c>
      <c r="F157" t="s">
        <v>281</v>
      </c>
    </row>
    <row r="158" spans="1:6" x14ac:dyDescent="0.3">
      <c r="A158" t="s">
        <v>559</v>
      </c>
      <c r="B158" s="13" t="s">
        <v>560</v>
      </c>
      <c r="C158" s="13" t="s">
        <v>561</v>
      </c>
      <c r="D158" s="13" t="s">
        <v>562</v>
      </c>
      <c r="E158" s="13" t="s">
        <v>563</v>
      </c>
      <c r="F158" t="s">
        <v>564</v>
      </c>
    </row>
    <row r="160" spans="1:6" ht="18" x14ac:dyDescent="0.35">
      <c r="A160" s="213" t="s">
        <v>565</v>
      </c>
      <c r="B160" s="213"/>
      <c r="C160" s="213"/>
      <c r="D160" s="213"/>
      <c r="E160" s="213"/>
      <c r="F160" s="213"/>
    </row>
    <row r="162" spans="1:6" ht="28.8" x14ac:dyDescent="0.3">
      <c r="A162" t="s">
        <v>566</v>
      </c>
      <c r="B162" s="13" t="s">
        <v>567</v>
      </c>
      <c r="C162" s="13" t="s">
        <v>568</v>
      </c>
      <c r="D162" s="13" t="s">
        <v>569</v>
      </c>
      <c r="E162" s="13" t="s">
        <v>570</v>
      </c>
      <c r="F162" t="s">
        <v>281</v>
      </c>
    </row>
    <row r="163" spans="1:6" ht="28.8" x14ac:dyDescent="0.3">
      <c r="A163" t="s">
        <v>571</v>
      </c>
      <c r="B163" s="13" t="s">
        <v>572</v>
      </c>
      <c r="C163" s="13" t="s">
        <v>19527</v>
      </c>
      <c r="D163" s="13" t="s">
        <v>569</v>
      </c>
      <c r="E163" s="13" t="s">
        <v>570</v>
      </c>
      <c r="F163" t="s">
        <v>281</v>
      </c>
    </row>
    <row r="164" spans="1:6" x14ac:dyDescent="0.3">
      <c r="A164" t="s">
        <v>573</v>
      </c>
      <c r="B164" s="13" t="s">
        <v>574</v>
      </c>
      <c r="C164" s="13" t="s">
        <v>575</v>
      </c>
      <c r="D164" s="13" t="s">
        <v>569</v>
      </c>
      <c r="E164" s="13" t="s">
        <v>570</v>
      </c>
      <c r="F164" t="s">
        <v>281</v>
      </c>
    </row>
    <row r="165" spans="1:6" x14ac:dyDescent="0.3">
      <c r="A165" t="s">
        <v>576</v>
      </c>
      <c r="B165" s="13" t="s">
        <v>577</v>
      </c>
      <c r="C165" s="13" t="s">
        <v>578</v>
      </c>
      <c r="D165" s="13" t="s">
        <v>569</v>
      </c>
      <c r="E165" s="13" t="s">
        <v>579</v>
      </c>
      <c r="F165" t="s">
        <v>281</v>
      </c>
    </row>
    <row r="166" spans="1:6" x14ac:dyDescent="0.3">
      <c r="A166" t="s">
        <v>580</v>
      </c>
      <c r="B166" s="13" t="s">
        <v>581</v>
      </c>
      <c r="C166" s="13" t="s">
        <v>582</v>
      </c>
      <c r="D166" s="13" t="s">
        <v>569</v>
      </c>
      <c r="E166" s="13" t="s">
        <v>579</v>
      </c>
      <c r="F166" t="s">
        <v>281</v>
      </c>
    </row>
    <row r="167" spans="1:6" x14ac:dyDescent="0.3">
      <c r="A167" t="s">
        <v>583</v>
      </c>
      <c r="B167" s="13" t="s">
        <v>584</v>
      </c>
      <c r="C167" s="13" t="s">
        <v>585</v>
      </c>
      <c r="D167" s="13" t="s">
        <v>569</v>
      </c>
      <c r="E167" s="13" t="s">
        <v>586</v>
      </c>
      <c r="F167" t="s">
        <v>281</v>
      </c>
    </row>
    <row r="168" spans="1:6" ht="28.8" x14ac:dyDescent="0.3">
      <c r="A168" t="s">
        <v>587</v>
      </c>
      <c r="B168" s="13" t="s">
        <v>588</v>
      </c>
      <c r="C168" s="13" t="s">
        <v>589</v>
      </c>
      <c r="D168" s="13" t="s">
        <v>569</v>
      </c>
      <c r="E168" s="13" t="s">
        <v>586</v>
      </c>
      <c r="F168" t="s">
        <v>281</v>
      </c>
    </row>
    <row r="169" spans="1:6" x14ac:dyDescent="0.3">
      <c r="A169" t="s">
        <v>590</v>
      </c>
      <c r="B169" s="13" t="s">
        <v>591</v>
      </c>
      <c r="C169" s="13" t="s">
        <v>592</v>
      </c>
      <c r="D169" s="13" t="s">
        <v>569</v>
      </c>
      <c r="E169" s="13" t="s">
        <v>593</v>
      </c>
      <c r="F169" t="s">
        <v>281</v>
      </c>
    </row>
    <row r="170" spans="1:6" x14ac:dyDescent="0.3">
      <c r="A170" t="s">
        <v>594</v>
      </c>
      <c r="B170" s="13" t="s">
        <v>595</v>
      </c>
      <c r="C170" s="13" t="s">
        <v>596</v>
      </c>
      <c r="D170" s="13" t="s">
        <v>569</v>
      </c>
      <c r="E170" s="13" t="s">
        <v>570</v>
      </c>
      <c r="F170" t="s">
        <v>281</v>
      </c>
    </row>
    <row r="171" spans="1:6" x14ac:dyDescent="0.3">
      <c r="A171" t="s">
        <v>597</v>
      </c>
      <c r="B171" s="13" t="s">
        <v>598</v>
      </c>
      <c r="C171" s="13" t="s">
        <v>599</v>
      </c>
      <c r="D171" s="13" t="s">
        <v>569</v>
      </c>
      <c r="E171" s="13" t="s">
        <v>570</v>
      </c>
      <c r="F171" t="s">
        <v>281</v>
      </c>
    </row>
    <row r="172" spans="1:6" ht="57.6" x14ac:dyDescent="0.3">
      <c r="A172" t="s">
        <v>600</v>
      </c>
      <c r="B172" s="13" t="s">
        <v>601</v>
      </c>
      <c r="C172" s="13" t="s">
        <v>1458</v>
      </c>
      <c r="D172" s="13" t="s">
        <v>569</v>
      </c>
      <c r="E172" s="13" t="s">
        <v>570</v>
      </c>
      <c r="F172" t="s">
        <v>281</v>
      </c>
    </row>
    <row r="173" spans="1:6" x14ac:dyDescent="0.3">
      <c r="A173" t="s">
        <v>602</v>
      </c>
      <c r="B173" s="13" t="s">
        <v>603</v>
      </c>
      <c r="C173" s="13" t="s">
        <v>604</v>
      </c>
      <c r="D173" s="13" t="s">
        <v>569</v>
      </c>
      <c r="E173" s="13" t="s">
        <v>579</v>
      </c>
      <c r="F173" t="s">
        <v>281</v>
      </c>
    </row>
    <row r="175" spans="1:6" ht="18" x14ac:dyDescent="0.35">
      <c r="A175" s="213" t="s">
        <v>605</v>
      </c>
      <c r="B175" s="213"/>
      <c r="C175" s="213"/>
      <c r="D175" s="213"/>
      <c r="E175" s="213"/>
      <c r="F175" s="213"/>
    </row>
    <row r="177" spans="1:6" x14ac:dyDescent="0.3">
      <c r="A177" t="s">
        <v>606</v>
      </c>
      <c r="B177" s="13" t="s">
        <v>607</v>
      </c>
      <c r="C177" s="13" t="s">
        <v>608</v>
      </c>
      <c r="D177" s="13" t="s">
        <v>609</v>
      </c>
      <c r="E177" s="13" t="s">
        <v>610</v>
      </c>
      <c r="F177" t="s">
        <v>281</v>
      </c>
    </row>
    <row r="178" spans="1:6" ht="28.8" x14ac:dyDescent="0.3">
      <c r="A178" t="s">
        <v>611</v>
      </c>
      <c r="B178" s="13" t="s">
        <v>612</v>
      </c>
      <c r="C178" s="13" t="s">
        <v>613</v>
      </c>
      <c r="D178" s="13" t="s">
        <v>609</v>
      </c>
      <c r="E178" s="13" t="s">
        <v>610</v>
      </c>
      <c r="F178" t="s">
        <v>281</v>
      </c>
    </row>
    <row r="179" spans="1:6" x14ac:dyDescent="0.3">
      <c r="A179" t="s">
        <v>614</v>
      </c>
      <c r="B179" s="13" t="s">
        <v>615</v>
      </c>
      <c r="C179" s="13" t="s">
        <v>616</v>
      </c>
      <c r="D179" s="13" t="s">
        <v>617</v>
      </c>
      <c r="E179" s="13" t="s">
        <v>618</v>
      </c>
      <c r="F179" t="s">
        <v>281</v>
      </c>
    </row>
    <row r="180" spans="1:6" x14ac:dyDescent="0.3">
      <c r="A180" t="s">
        <v>619</v>
      </c>
      <c r="B180" s="13" t="s">
        <v>620</v>
      </c>
      <c r="C180" s="13" t="s">
        <v>621</v>
      </c>
      <c r="D180" s="13" t="s">
        <v>622</v>
      </c>
      <c r="E180" s="13" t="s">
        <v>623</v>
      </c>
      <c r="F180" t="s">
        <v>281</v>
      </c>
    </row>
    <row r="181" spans="1:6" ht="28.8" x14ac:dyDescent="0.3">
      <c r="A181" t="s">
        <v>624</v>
      </c>
      <c r="B181" s="13" t="s">
        <v>625</v>
      </c>
      <c r="C181" s="13" t="s">
        <v>626</v>
      </c>
      <c r="D181" s="13" t="s">
        <v>627</v>
      </c>
      <c r="E181" s="13" t="s">
        <v>628</v>
      </c>
      <c r="F181" t="s">
        <v>281</v>
      </c>
    </row>
    <row r="182" spans="1:6" x14ac:dyDescent="0.3">
      <c r="A182" t="s">
        <v>629</v>
      </c>
      <c r="B182" s="13" t="s">
        <v>630</v>
      </c>
      <c r="C182" s="13" t="s">
        <v>631</v>
      </c>
      <c r="D182" s="13" t="s">
        <v>632</v>
      </c>
      <c r="E182" s="13" t="s">
        <v>633</v>
      </c>
      <c r="F182" t="s">
        <v>281</v>
      </c>
    </row>
    <row r="183" spans="1:6" ht="28.8" x14ac:dyDescent="0.3">
      <c r="A183" t="s">
        <v>634</v>
      </c>
      <c r="B183" s="13" t="s">
        <v>635</v>
      </c>
      <c r="C183" s="13" t="s">
        <v>636</v>
      </c>
      <c r="D183" s="13" t="s">
        <v>637</v>
      </c>
      <c r="E183" s="13" t="s">
        <v>638</v>
      </c>
      <c r="F183" t="s">
        <v>281</v>
      </c>
    </row>
    <row r="184" spans="1:6" ht="28.8" x14ac:dyDescent="0.3">
      <c r="A184" t="s">
        <v>639</v>
      </c>
      <c r="B184" s="13" t="s">
        <v>640</v>
      </c>
      <c r="C184" s="13" t="s">
        <v>13022</v>
      </c>
      <c r="D184" s="13" t="s">
        <v>641</v>
      </c>
      <c r="E184" s="13" t="s">
        <v>642</v>
      </c>
      <c r="F184" t="s">
        <v>564</v>
      </c>
    </row>
    <row r="185" spans="1:6" x14ac:dyDescent="0.3">
      <c r="A185" t="s">
        <v>643</v>
      </c>
      <c r="B185" s="13" t="s">
        <v>644</v>
      </c>
      <c r="C185" s="13" t="s">
        <v>645</v>
      </c>
      <c r="D185" s="13" t="s">
        <v>646</v>
      </c>
      <c r="E185" s="13" t="s">
        <v>647</v>
      </c>
      <c r="F185" t="s">
        <v>281</v>
      </c>
    </row>
    <row r="186" spans="1:6" ht="28.8" x14ac:dyDescent="0.3">
      <c r="A186" t="s">
        <v>648</v>
      </c>
      <c r="B186" s="13" t="s">
        <v>649</v>
      </c>
      <c r="C186" s="13" t="s">
        <v>650</v>
      </c>
      <c r="D186" s="13" t="s">
        <v>651</v>
      </c>
      <c r="E186" s="13" t="s">
        <v>652</v>
      </c>
      <c r="F186" t="s">
        <v>281</v>
      </c>
    </row>
    <row r="187" spans="1:6" ht="28.8" x14ac:dyDescent="0.3">
      <c r="A187" t="s">
        <v>1733</v>
      </c>
      <c r="B187" s="13" t="s">
        <v>1734</v>
      </c>
      <c r="C187" s="13" t="s">
        <v>1735</v>
      </c>
      <c r="D187" s="13" t="s">
        <v>1736</v>
      </c>
      <c r="E187" s="13" t="s">
        <v>1737</v>
      </c>
      <c r="F187" t="s">
        <v>281</v>
      </c>
    </row>
    <row r="188" spans="1:6" ht="28.8" x14ac:dyDescent="0.3">
      <c r="A188" t="s">
        <v>1738</v>
      </c>
      <c r="B188" s="13" t="s">
        <v>1739</v>
      </c>
      <c r="C188" s="13" t="s">
        <v>1740</v>
      </c>
      <c r="D188" s="13" t="s">
        <v>1741</v>
      </c>
      <c r="E188" s="13" t="s">
        <v>1742</v>
      </c>
      <c r="F188" t="s">
        <v>281</v>
      </c>
    </row>
    <row r="189" spans="1:6" x14ac:dyDescent="0.3">
      <c r="A189" t="s">
        <v>1743</v>
      </c>
      <c r="B189" s="13" t="s">
        <v>1744</v>
      </c>
      <c r="C189" s="13" t="s">
        <v>1745</v>
      </c>
      <c r="D189" s="13" t="s">
        <v>1746</v>
      </c>
      <c r="E189" s="13" t="s">
        <v>1747</v>
      </c>
      <c r="F189" t="s">
        <v>281</v>
      </c>
    </row>
    <row r="190" spans="1:6" x14ac:dyDescent="0.3">
      <c r="A190" t="s">
        <v>1748</v>
      </c>
      <c r="B190" s="13" t="s">
        <v>1749</v>
      </c>
      <c r="C190" s="13" t="s">
        <v>1750</v>
      </c>
      <c r="D190" s="13" t="s">
        <v>1751</v>
      </c>
      <c r="E190" s="13" t="s">
        <v>1752</v>
      </c>
      <c r="F190" t="s">
        <v>281</v>
      </c>
    </row>
    <row r="191" spans="1:6" ht="28.8" x14ac:dyDescent="0.3">
      <c r="A191" t="s">
        <v>1753</v>
      </c>
      <c r="B191" s="13" t="s">
        <v>1754</v>
      </c>
      <c r="C191" s="13" t="s">
        <v>1755</v>
      </c>
      <c r="D191" s="13" t="s">
        <v>1756</v>
      </c>
      <c r="E191" s="13" t="s">
        <v>1757</v>
      </c>
      <c r="F191" t="s">
        <v>281</v>
      </c>
    </row>
    <row r="192" spans="1:6" ht="28.8" x14ac:dyDescent="0.3">
      <c r="A192" t="s">
        <v>1758</v>
      </c>
      <c r="B192" s="13" t="s">
        <v>1759</v>
      </c>
      <c r="C192" s="13" t="s">
        <v>1760</v>
      </c>
      <c r="D192" s="13" t="s">
        <v>1761</v>
      </c>
      <c r="E192" s="13" t="s">
        <v>1762</v>
      </c>
      <c r="F192" t="s">
        <v>281</v>
      </c>
    </row>
    <row r="193" spans="1:6" ht="28.8" x14ac:dyDescent="0.3">
      <c r="A193" t="s">
        <v>1763</v>
      </c>
      <c r="B193" s="13" t="s">
        <v>1764</v>
      </c>
      <c r="C193" s="13" t="s">
        <v>1765</v>
      </c>
      <c r="D193" s="13" t="s">
        <v>1766</v>
      </c>
      <c r="E193" s="13" t="s">
        <v>1767</v>
      </c>
      <c r="F193" t="s">
        <v>281</v>
      </c>
    </row>
    <row r="194" spans="1:6" ht="28.8" x14ac:dyDescent="0.3">
      <c r="A194" t="s">
        <v>1768</v>
      </c>
      <c r="B194" s="13" t="s">
        <v>1769</v>
      </c>
      <c r="C194" s="13" t="s">
        <v>1770</v>
      </c>
      <c r="D194" s="13" t="s">
        <v>1771</v>
      </c>
      <c r="E194" s="13" t="s">
        <v>1772</v>
      </c>
      <c r="F194" t="s">
        <v>281</v>
      </c>
    </row>
    <row r="195" spans="1:6" ht="28.8" x14ac:dyDescent="0.3">
      <c r="A195" t="s">
        <v>1773</v>
      </c>
      <c r="B195" s="13" t="s">
        <v>1774</v>
      </c>
      <c r="C195" s="13" t="s">
        <v>1775</v>
      </c>
      <c r="D195" s="13" t="s">
        <v>1776</v>
      </c>
      <c r="E195" s="13" t="s">
        <v>1777</v>
      </c>
      <c r="F195" t="s">
        <v>281</v>
      </c>
    </row>
    <row r="196" spans="1:6" x14ac:dyDescent="0.3">
      <c r="A196" t="s">
        <v>1778</v>
      </c>
      <c r="B196" s="13" t="s">
        <v>1779</v>
      </c>
      <c r="C196" s="13" t="s">
        <v>1780</v>
      </c>
      <c r="D196" s="13" t="s">
        <v>1781</v>
      </c>
      <c r="E196" s="13" t="s">
        <v>1782</v>
      </c>
      <c r="F196" t="s">
        <v>281</v>
      </c>
    </row>
    <row r="197" spans="1:6" ht="28.8" x14ac:dyDescent="0.3">
      <c r="A197" t="s">
        <v>1783</v>
      </c>
      <c r="B197" s="13" t="s">
        <v>1784</v>
      </c>
      <c r="C197" s="13" t="s">
        <v>1785</v>
      </c>
      <c r="D197" s="13" t="s">
        <v>1786</v>
      </c>
      <c r="E197" s="13" t="s">
        <v>1787</v>
      </c>
      <c r="F197" t="s">
        <v>281</v>
      </c>
    </row>
    <row r="198" spans="1:6" ht="100.8" x14ac:dyDescent="0.3">
      <c r="A198" t="s">
        <v>1788</v>
      </c>
      <c r="B198" s="13" t="s">
        <v>1789</v>
      </c>
      <c r="C198" s="13" t="s">
        <v>14167</v>
      </c>
      <c r="D198" s="13" t="s">
        <v>1790</v>
      </c>
      <c r="E198" s="13" t="s">
        <v>1791</v>
      </c>
      <c r="F198" t="s">
        <v>281</v>
      </c>
    </row>
    <row r="200" spans="1:6" ht="18" x14ac:dyDescent="0.35">
      <c r="A200" s="213" t="s">
        <v>653</v>
      </c>
      <c r="B200" s="213"/>
      <c r="C200" s="213"/>
      <c r="D200" s="213"/>
      <c r="E200" s="213"/>
      <c r="F200" s="213"/>
    </row>
    <row r="202" spans="1:6" ht="28.8" x14ac:dyDescent="0.3">
      <c r="A202" t="s">
        <v>654</v>
      </c>
      <c r="B202" s="13" t="s">
        <v>655</v>
      </c>
      <c r="C202" s="13" t="s">
        <v>656</v>
      </c>
      <c r="D202" s="13" t="s">
        <v>657</v>
      </c>
      <c r="E202" s="13" t="s">
        <v>658</v>
      </c>
      <c r="F202" t="s">
        <v>281</v>
      </c>
    </row>
    <row r="203" spans="1:6" x14ac:dyDescent="0.3">
      <c r="A203" t="s">
        <v>659</v>
      </c>
      <c r="B203" s="13" t="s">
        <v>660</v>
      </c>
      <c r="C203" s="13" t="s">
        <v>661</v>
      </c>
      <c r="D203" s="13" t="s">
        <v>662</v>
      </c>
      <c r="E203" s="13" t="s">
        <v>663</v>
      </c>
      <c r="F203" t="s">
        <v>281</v>
      </c>
    </row>
    <row r="204" spans="1:6" x14ac:dyDescent="0.3">
      <c r="A204" t="s">
        <v>664</v>
      </c>
      <c r="B204" s="13" t="s">
        <v>665</v>
      </c>
      <c r="C204" s="13" t="s">
        <v>666</v>
      </c>
      <c r="D204" s="13" t="s">
        <v>667</v>
      </c>
      <c r="E204" s="13" t="s">
        <v>668</v>
      </c>
      <c r="F204" t="s">
        <v>281</v>
      </c>
    </row>
    <row r="205" spans="1:6" x14ac:dyDescent="0.3">
      <c r="A205" t="s">
        <v>669</v>
      </c>
      <c r="B205" s="13" t="s">
        <v>670</v>
      </c>
      <c r="C205" s="13" t="s">
        <v>671</v>
      </c>
      <c r="D205" s="13" t="s">
        <v>672</v>
      </c>
      <c r="E205" s="13" t="s">
        <v>673</v>
      </c>
      <c r="F205" t="s">
        <v>281</v>
      </c>
    </row>
    <row r="206" spans="1:6" x14ac:dyDescent="0.3">
      <c r="A206" t="s">
        <v>674</v>
      </c>
      <c r="B206" s="13" t="s">
        <v>675</v>
      </c>
      <c r="C206" s="13" t="s">
        <v>676</v>
      </c>
      <c r="D206" s="13" t="s">
        <v>677</v>
      </c>
      <c r="E206" s="13" t="s">
        <v>678</v>
      </c>
      <c r="F206" t="s">
        <v>281</v>
      </c>
    </row>
    <row r="207" spans="1:6" x14ac:dyDescent="0.3">
      <c r="A207" t="s">
        <v>679</v>
      </c>
      <c r="B207" s="13" t="s">
        <v>680</v>
      </c>
      <c r="C207" s="13" t="s">
        <v>681</v>
      </c>
      <c r="D207" s="13" t="s">
        <v>682</v>
      </c>
      <c r="E207" s="13" t="s">
        <v>683</v>
      </c>
      <c r="F207" t="s">
        <v>281</v>
      </c>
    </row>
    <row r="208" spans="1:6" x14ac:dyDescent="0.3">
      <c r="A208" t="s">
        <v>684</v>
      </c>
      <c r="B208" s="13" t="s">
        <v>685</v>
      </c>
      <c r="C208" s="13" t="s">
        <v>686</v>
      </c>
      <c r="D208" s="13" t="s">
        <v>687</v>
      </c>
      <c r="E208" s="13" t="s">
        <v>688</v>
      </c>
      <c r="F208" t="s">
        <v>281</v>
      </c>
    </row>
    <row r="209" spans="1:6" x14ac:dyDescent="0.3">
      <c r="A209" t="s">
        <v>689</v>
      </c>
      <c r="B209" s="13" t="s">
        <v>690</v>
      </c>
      <c r="C209" s="13" t="s">
        <v>691</v>
      </c>
      <c r="D209" s="13" t="s">
        <v>692</v>
      </c>
      <c r="E209" s="13" t="s">
        <v>693</v>
      </c>
      <c r="F209" t="s">
        <v>281</v>
      </c>
    </row>
    <row r="210" spans="1:6" ht="28.8" x14ac:dyDescent="0.3">
      <c r="A210" t="s">
        <v>694</v>
      </c>
      <c r="B210" s="13" t="s">
        <v>695</v>
      </c>
      <c r="C210" s="13" t="s">
        <v>696</v>
      </c>
      <c r="D210" s="13" t="s">
        <v>697</v>
      </c>
      <c r="E210" s="13" t="s">
        <v>698</v>
      </c>
      <c r="F210" t="s">
        <v>564</v>
      </c>
    </row>
    <row r="211" spans="1:6" x14ac:dyDescent="0.3">
      <c r="A211" t="s">
        <v>699</v>
      </c>
      <c r="B211" s="13" t="s">
        <v>700</v>
      </c>
      <c r="C211" s="13" t="s">
        <v>701</v>
      </c>
      <c r="D211" s="13" t="s">
        <v>702</v>
      </c>
      <c r="E211" s="13" t="s">
        <v>610</v>
      </c>
      <c r="F211" t="s">
        <v>281</v>
      </c>
    </row>
    <row r="213" spans="1:6" ht="18" x14ac:dyDescent="0.35">
      <c r="A213" s="213" t="s">
        <v>703</v>
      </c>
      <c r="B213" s="213"/>
      <c r="C213" s="213"/>
      <c r="D213" s="213"/>
      <c r="E213" s="213"/>
      <c r="F213" s="213"/>
    </row>
    <row r="214" spans="1:6" ht="43.2" x14ac:dyDescent="0.3">
      <c r="C214" s="13" t="s">
        <v>1459</v>
      </c>
    </row>
    <row r="215" spans="1:6" ht="28.8" x14ac:dyDescent="0.3">
      <c r="A215" t="s">
        <v>704</v>
      </c>
      <c r="B215" s="13" t="s">
        <v>705</v>
      </c>
      <c r="C215" s="13" t="s">
        <v>706</v>
      </c>
      <c r="D215" s="13" t="s">
        <v>707</v>
      </c>
      <c r="E215" s="13" t="s">
        <v>708</v>
      </c>
      <c r="F215" t="s">
        <v>417</v>
      </c>
    </row>
    <row r="216" spans="1:6" ht="28.8" x14ac:dyDescent="0.3">
      <c r="A216" t="s">
        <v>709</v>
      </c>
      <c r="B216" s="13" t="s">
        <v>710</v>
      </c>
      <c r="C216" s="13" t="s">
        <v>711</v>
      </c>
      <c r="D216" s="13" t="s">
        <v>712</v>
      </c>
      <c r="E216" s="13" t="s">
        <v>713</v>
      </c>
      <c r="F216" t="s">
        <v>417</v>
      </c>
    </row>
    <row r="217" spans="1:6" ht="72" x14ac:dyDescent="0.3">
      <c r="A217" t="s">
        <v>714</v>
      </c>
      <c r="B217" s="13" t="s">
        <v>715</v>
      </c>
      <c r="C217" s="13" t="s">
        <v>14217</v>
      </c>
      <c r="D217" s="13" t="s">
        <v>14218</v>
      </c>
      <c r="E217" s="13" t="s">
        <v>14219</v>
      </c>
      <c r="F217" t="s">
        <v>348</v>
      </c>
    </row>
    <row r="218" spans="1:6" ht="28.8" x14ac:dyDescent="0.3">
      <c r="A218" t="s">
        <v>716</v>
      </c>
      <c r="B218" s="13" t="s">
        <v>717</v>
      </c>
      <c r="C218" s="13" t="s">
        <v>718</v>
      </c>
      <c r="D218" s="13" t="s">
        <v>719</v>
      </c>
      <c r="E218" s="13" t="s">
        <v>720</v>
      </c>
      <c r="F218" t="s">
        <v>417</v>
      </c>
    </row>
    <row r="219" spans="1:6" ht="28.8" x14ac:dyDescent="0.3">
      <c r="A219" t="s">
        <v>721</v>
      </c>
      <c r="B219" s="13" t="s">
        <v>722</v>
      </c>
      <c r="C219" s="13" t="s">
        <v>723</v>
      </c>
      <c r="D219" s="13" t="s">
        <v>724</v>
      </c>
      <c r="E219" s="13" t="s">
        <v>725</v>
      </c>
      <c r="F219" t="s">
        <v>417</v>
      </c>
    </row>
    <row r="220" spans="1:6" x14ac:dyDescent="0.3">
      <c r="A220" t="s">
        <v>726</v>
      </c>
      <c r="B220" s="13" t="s">
        <v>727</v>
      </c>
      <c r="C220" s="13" t="s">
        <v>728</v>
      </c>
      <c r="D220" s="13" t="s">
        <v>729</v>
      </c>
      <c r="E220" s="13" t="s">
        <v>730</v>
      </c>
      <c r="F220" t="s">
        <v>281</v>
      </c>
    </row>
    <row r="221" spans="1:6" ht="28.8" x14ac:dyDescent="0.3">
      <c r="A221" t="s">
        <v>731</v>
      </c>
      <c r="B221" s="13" t="s">
        <v>732</v>
      </c>
      <c r="C221" s="13" t="s">
        <v>733</v>
      </c>
      <c r="D221" s="13" t="s">
        <v>734</v>
      </c>
      <c r="E221" s="13" t="s">
        <v>735</v>
      </c>
      <c r="F221" t="s">
        <v>417</v>
      </c>
    </row>
    <row r="222" spans="1:6" ht="28.8" x14ac:dyDescent="0.3">
      <c r="A222" t="s">
        <v>736</v>
      </c>
      <c r="B222" s="13" t="s">
        <v>737</v>
      </c>
      <c r="C222" s="13" t="s">
        <v>738</v>
      </c>
      <c r="D222" s="13" t="s">
        <v>739</v>
      </c>
      <c r="E222" s="13" t="s">
        <v>740</v>
      </c>
      <c r="F222" t="s">
        <v>417</v>
      </c>
    </row>
    <row r="223" spans="1:6" ht="28.8" x14ac:dyDescent="0.3">
      <c r="A223" t="s">
        <v>741</v>
      </c>
      <c r="B223" s="13" t="s">
        <v>742</v>
      </c>
      <c r="C223" s="13" t="s">
        <v>743</v>
      </c>
      <c r="D223" s="13" t="s">
        <v>744</v>
      </c>
      <c r="E223" s="13" t="s">
        <v>745</v>
      </c>
      <c r="F223" t="s">
        <v>417</v>
      </c>
    </row>
    <row r="224" spans="1:6" x14ac:dyDescent="0.3">
      <c r="A224" t="s">
        <v>746</v>
      </c>
      <c r="B224" s="13" t="s">
        <v>747</v>
      </c>
      <c r="C224" s="13" t="s">
        <v>748</v>
      </c>
      <c r="D224" s="13" t="s">
        <v>749</v>
      </c>
      <c r="E224" s="13" t="s">
        <v>750</v>
      </c>
      <c r="F224" t="s">
        <v>417</v>
      </c>
    </row>
    <row r="225" spans="1:6" ht="28.8" x14ac:dyDescent="0.3">
      <c r="A225" t="s">
        <v>751</v>
      </c>
      <c r="B225" s="13" t="s">
        <v>752</v>
      </c>
      <c r="C225" s="13" t="s">
        <v>753</v>
      </c>
      <c r="D225" s="13" t="s">
        <v>754</v>
      </c>
      <c r="E225" s="13" t="s">
        <v>755</v>
      </c>
      <c r="F225" t="s">
        <v>417</v>
      </c>
    </row>
    <row r="226" spans="1:6" ht="28.8" x14ac:dyDescent="0.3">
      <c r="A226" t="s">
        <v>756</v>
      </c>
      <c r="B226" s="13" t="s">
        <v>757</v>
      </c>
      <c r="C226" s="13" t="s">
        <v>13025</v>
      </c>
      <c r="D226" s="13" t="s">
        <v>758</v>
      </c>
      <c r="E226" s="13" t="s">
        <v>759</v>
      </c>
      <c r="F226" t="s">
        <v>281</v>
      </c>
    </row>
    <row r="227" spans="1:6" ht="86.4" x14ac:dyDescent="0.3">
      <c r="A227" t="s">
        <v>13026</v>
      </c>
      <c r="B227" s="13" t="s">
        <v>13027</v>
      </c>
      <c r="C227" s="13" t="s">
        <v>13053</v>
      </c>
      <c r="D227" s="13" t="s">
        <v>13028</v>
      </c>
      <c r="E227" s="13" t="s">
        <v>13029</v>
      </c>
      <c r="F227" t="s">
        <v>417</v>
      </c>
    </row>
    <row r="229" spans="1:6" ht="18" x14ac:dyDescent="0.35">
      <c r="A229" s="213" t="s">
        <v>760</v>
      </c>
      <c r="B229" s="213"/>
      <c r="C229" s="213"/>
      <c r="D229" s="213"/>
      <c r="E229" s="213"/>
      <c r="F229" s="213"/>
    </row>
    <row r="231" spans="1:6" ht="72" x14ac:dyDescent="0.3">
      <c r="A231" t="s">
        <v>761</v>
      </c>
      <c r="B231" s="13" t="s">
        <v>14185</v>
      </c>
      <c r="C231" s="13" t="s">
        <v>14186</v>
      </c>
      <c r="D231" s="13" t="s">
        <v>14187</v>
      </c>
      <c r="E231" s="13" t="s">
        <v>14188</v>
      </c>
      <c r="F231" t="s">
        <v>417</v>
      </c>
    </row>
    <row r="232" spans="1:6" ht="43.2" x14ac:dyDescent="0.3">
      <c r="A232" t="s">
        <v>762</v>
      </c>
      <c r="B232" s="13" t="s">
        <v>763</v>
      </c>
      <c r="C232" s="13" t="s">
        <v>14189</v>
      </c>
      <c r="D232" s="13" t="s">
        <v>764</v>
      </c>
      <c r="E232" s="13" t="s">
        <v>14190</v>
      </c>
      <c r="F232" t="s">
        <v>417</v>
      </c>
    </row>
    <row r="233" spans="1:6" ht="57.6" x14ac:dyDescent="0.3">
      <c r="A233" t="s">
        <v>765</v>
      </c>
      <c r="B233" s="13" t="s">
        <v>766</v>
      </c>
      <c r="C233" s="13" t="s">
        <v>14191</v>
      </c>
      <c r="D233" s="13" t="s">
        <v>14192</v>
      </c>
      <c r="E233" s="13" t="s">
        <v>14193</v>
      </c>
      <c r="F233" t="s">
        <v>417</v>
      </c>
    </row>
    <row r="234" spans="1:6" ht="28.8" x14ac:dyDescent="0.3">
      <c r="A234" t="s">
        <v>767</v>
      </c>
      <c r="B234" s="13" t="s">
        <v>470</v>
      </c>
      <c r="C234" s="13" t="s">
        <v>768</v>
      </c>
      <c r="D234" s="13" t="s">
        <v>769</v>
      </c>
      <c r="E234" s="13" t="s">
        <v>770</v>
      </c>
      <c r="F234" t="s">
        <v>417</v>
      </c>
    </row>
    <row r="235" spans="1:6" ht="28.8" x14ac:dyDescent="0.3">
      <c r="A235" t="s">
        <v>771</v>
      </c>
      <c r="B235" s="13" t="s">
        <v>772</v>
      </c>
      <c r="C235" s="13" t="s">
        <v>773</v>
      </c>
      <c r="D235" s="13" t="s">
        <v>774</v>
      </c>
      <c r="E235" s="13" t="s">
        <v>775</v>
      </c>
      <c r="F235" t="s">
        <v>417</v>
      </c>
    </row>
    <row r="236" spans="1:6" ht="28.8" x14ac:dyDescent="0.3">
      <c r="A236" t="s">
        <v>776</v>
      </c>
      <c r="B236" s="13" t="s">
        <v>777</v>
      </c>
      <c r="C236" s="13" t="s">
        <v>778</v>
      </c>
      <c r="D236" s="13" t="s">
        <v>779</v>
      </c>
      <c r="E236" s="13" t="s">
        <v>780</v>
      </c>
      <c r="F236" t="s">
        <v>417</v>
      </c>
    </row>
    <row r="237" spans="1:6" x14ac:dyDescent="0.3">
      <c r="A237" t="s">
        <v>781</v>
      </c>
      <c r="B237" s="13" t="s">
        <v>782</v>
      </c>
      <c r="C237" s="13" t="s">
        <v>783</v>
      </c>
      <c r="D237" s="13" t="s">
        <v>784</v>
      </c>
      <c r="E237" s="13" t="s">
        <v>785</v>
      </c>
      <c r="F237" t="s">
        <v>417</v>
      </c>
    </row>
    <row r="238" spans="1:6" x14ac:dyDescent="0.3">
      <c r="A238" t="s">
        <v>786</v>
      </c>
      <c r="B238" s="13" t="s">
        <v>787</v>
      </c>
      <c r="C238" s="13" t="s">
        <v>788</v>
      </c>
      <c r="D238" s="13" t="s">
        <v>789</v>
      </c>
      <c r="E238" s="13" t="s">
        <v>790</v>
      </c>
      <c r="F238" t="s">
        <v>417</v>
      </c>
    </row>
    <row r="239" spans="1:6" ht="28.8" x14ac:dyDescent="0.3">
      <c r="A239" t="s">
        <v>791</v>
      </c>
      <c r="B239" s="13" t="s">
        <v>792</v>
      </c>
      <c r="C239" s="13" t="s">
        <v>793</v>
      </c>
      <c r="D239" s="13" t="s">
        <v>794</v>
      </c>
      <c r="E239" s="13" t="s">
        <v>795</v>
      </c>
      <c r="F239" t="s">
        <v>348</v>
      </c>
    </row>
    <row r="240" spans="1:6" ht="86.4" x14ac:dyDescent="0.3">
      <c r="A240" t="s">
        <v>796</v>
      </c>
      <c r="B240" s="13" t="s">
        <v>797</v>
      </c>
      <c r="C240" s="13" t="s">
        <v>14194</v>
      </c>
      <c r="D240" s="13" t="s">
        <v>14195</v>
      </c>
      <c r="E240" s="13" t="s">
        <v>14196</v>
      </c>
      <c r="F240" t="s">
        <v>417</v>
      </c>
    </row>
    <row r="242" spans="1:6" ht="18" x14ac:dyDescent="0.35">
      <c r="A242" s="213" t="s">
        <v>798</v>
      </c>
      <c r="B242" s="213"/>
      <c r="C242" s="213"/>
      <c r="D242" s="213"/>
      <c r="E242" s="213"/>
      <c r="F242" s="213"/>
    </row>
    <row r="244" spans="1:6" x14ac:dyDescent="0.3">
      <c r="A244" t="s">
        <v>799</v>
      </c>
      <c r="B244" s="13" t="s">
        <v>800</v>
      </c>
      <c r="C244" s="13" t="s">
        <v>801</v>
      </c>
      <c r="D244" s="13" t="s">
        <v>802</v>
      </c>
      <c r="E244" s="13" t="s">
        <v>803</v>
      </c>
      <c r="F244" t="s">
        <v>417</v>
      </c>
    </row>
    <row r="245" spans="1:6" ht="28.8" x14ac:dyDescent="0.3">
      <c r="A245" t="s">
        <v>804</v>
      </c>
      <c r="B245" s="13" t="s">
        <v>805</v>
      </c>
      <c r="C245" s="13" t="s">
        <v>806</v>
      </c>
      <c r="D245" s="13" t="s">
        <v>807</v>
      </c>
      <c r="E245" s="13" t="s">
        <v>803</v>
      </c>
      <c r="F245" t="s">
        <v>417</v>
      </c>
    </row>
    <row r="246" spans="1:6" x14ac:dyDescent="0.3">
      <c r="A246" t="s">
        <v>808</v>
      </c>
      <c r="B246" s="13" t="s">
        <v>809</v>
      </c>
      <c r="C246" s="13" t="s">
        <v>810</v>
      </c>
      <c r="D246" s="13" t="s">
        <v>811</v>
      </c>
      <c r="E246" s="13" t="s">
        <v>803</v>
      </c>
      <c r="F246" t="s">
        <v>417</v>
      </c>
    </row>
    <row r="247" spans="1:6" x14ac:dyDescent="0.3">
      <c r="A247" t="s">
        <v>812</v>
      </c>
      <c r="B247" s="13" t="s">
        <v>813</v>
      </c>
      <c r="C247" s="13" t="s">
        <v>814</v>
      </c>
      <c r="D247" s="13" t="s">
        <v>815</v>
      </c>
      <c r="E247" s="13" t="s">
        <v>803</v>
      </c>
      <c r="F247" t="s">
        <v>417</v>
      </c>
    </row>
    <row r="248" spans="1:6" x14ac:dyDescent="0.3">
      <c r="A248" t="s">
        <v>816</v>
      </c>
      <c r="B248" s="13" t="s">
        <v>817</v>
      </c>
      <c r="C248" s="13" t="s">
        <v>818</v>
      </c>
      <c r="D248" s="13" t="s">
        <v>819</v>
      </c>
      <c r="E248" s="13" t="s">
        <v>803</v>
      </c>
      <c r="F248" t="s">
        <v>417</v>
      </c>
    </row>
    <row r="249" spans="1:6" ht="28.8" x14ac:dyDescent="0.3">
      <c r="A249" t="s">
        <v>820</v>
      </c>
      <c r="B249" s="13" t="s">
        <v>821</v>
      </c>
      <c r="C249" s="13" t="s">
        <v>822</v>
      </c>
      <c r="D249" s="13" t="s">
        <v>823</v>
      </c>
      <c r="E249" s="13" t="s">
        <v>803</v>
      </c>
      <c r="F249" t="s">
        <v>417</v>
      </c>
    </row>
    <row r="250" spans="1:6" ht="28.8" x14ac:dyDescent="0.3">
      <c r="A250" t="s">
        <v>824</v>
      </c>
      <c r="B250" s="13" t="s">
        <v>825</v>
      </c>
      <c r="C250" s="13" t="s">
        <v>826</v>
      </c>
      <c r="D250" s="13" t="s">
        <v>827</v>
      </c>
      <c r="E250" s="13" t="s">
        <v>803</v>
      </c>
      <c r="F250" t="s">
        <v>417</v>
      </c>
    </row>
    <row r="251" spans="1:6" ht="28.8" x14ac:dyDescent="0.3">
      <c r="A251" t="s">
        <v>828</v>
      </c>
      <c r="B251" s="13" t="s">
        <v>829</v>
      </c>
      <c r="C251" s="13" t="s">
        <v>830</v>
      </c>
      <c r="D251" s="13" t="s">
        <v>831</v>
      </c>
      <c r="E251" s="13" t="s">
        <v>832</v>
      </c>
      <c r="F251" t="s">
        <v>417</v>
      </c>
    </row>
    <row r="252" spans="1:6" ht="43.2" x14ac:dyDescent="0.3">
      <c r="A252" t="s">
        <v>833</v>
      </c>
      <c r="B252" s="13" t="s">
        <v>834</v>
      </c>
      <c r="C252" s="13" t="s">
        <v>1460</v>
      </c>
      <c r="D252" s="13" t="s">
        <v>835</v>
      </c>
      <c r="E252" s="13" t="s">
        <v>836</v>
      </c>
      <c r="F252" t="s">
        <v>281</v>
      </c>
    </row>
    <row r="253" spans="1:6" ht="43.2" x14ac:dyDescent="0.3">
      <c r="A253" t="s">
        <v>837</v>
      </c>
      <c r="B253" s="13" t="s">
        <v>838</v>
      </c>
      <c r="C253" s="13" t="s">
        <v>14292</v>
      </c>
      <c r="D253" s="13" t="s">
        <v>839</v>
      </c>
      <c r="E253" s="13" t="s">
        <v>840</v>
      </c>
      <c r="F253" t="s">
        <v>417</v>
      </c>
    </row>
    <row r="254" spans="1:6" x14ac:dyDescent="0.3">
      <c r="C254"/>
    </row>
    <row r="255" spans="1:6" ht="18" x14ac:dyDescent="0.35">
      <c r="A255" s="213" t="s">
        <v>841</v>
      </c>
      <c r="B255" s="213"/>
      <c r="C255" s="213"/>
      <c r="D255" s="213"/>
      <c r="E255" s="213"/>
      <c r="F255" s="213"/>
    </row>
    <row r="257" spans="1:6" ht="43.2" x14ac:dyDescent="0.3">
      <c r="A257" t="s">
        <v>842</v>
      </c>
      <c r="B257" s="13" t="s">
        <v>843</v>
      </c>
      <c r="C257" s="13" t="s">
        <v>13872</v>
      </c>
      <c r="D257" s="13" t="s">
        <v>807</v>
      </c>
      <c r="E257" s="13" t="s">
        <v>844</v>
      </c>
      <c r="F257" t="s">
        <v>417</v>
      </c>
    </row>
    <row r="258" spans="1:6" x14ac:dyDescent="0.3">
      <c r="A258" t="s">
        <v>845</v>
      </c>
      <c r="B258" s="13" t="s">
        <v>846</v>
      </c>
      <c r="C258" s="13" t="s">
        <v>847</v>
      </c>
      <c r="D258" s="13" t="s">
        <v>848</v>
      </c>
      <c r="E258" s="13" t="s">
        <v>849</v>
      </c>
      <c r="F258" t="s">
        <v>417</v>
      </c>
    </row>
    <row r="259" spans="1:6" x14ac:dyDescent="0.3">
      <c r="A259" t="s">
        <v>850</v>
      </c>
      <c r="B259" s="13" t="s">
        <v>441</v>
      </c>
      <c r="C259" s="13" t="s">
        <v>851</v>
      </c>
      <c r="D259" s="13" t="s">
        <v>852</v>
      </c>
      <c r="E259" s="13" t="s">
        <v>853</v>
      </c>
      <c r="F259" t="s">
        <v>417</v>
      </c>
    </row>
    <row r="260" spans="1:6" x14ac:dyDescent="0.3">
      <c r="A260" t="s">
        <v>854</v>
      </c>
      <c r="B260" s="13" t="s">
        <v>443</v>
      </c>
      <c r="C260" s="13" t="s">
        <v>855</v>
      </c>
      <c r="D260" s="13" t="s">
        <v>856</v>
      </c>
      <c r="E260" s="13" t="s">
        <v>445</v>
      </c>
      <c r="F260" t="s">
        <v>417</v>
      </c>
    </row>
    <row r="261" spans="1:6" x14ac:dyDescent="0.3">
      <c r="A261" t="s">
        <v>857</v>
      </c>
      <c r="B261" s="13" t="s">
        <v>858</v>
      </c>
      <c r="C261" s="13" t="s">
        <v>859</v>
      </c>
      <c r="D261" s="13" t="s">
        <v>860</v>
      </c>
      <c r="E261" s="13" t="s">
        <v>861</v>
      </c>
      <c r="F261" t="s">
        <v>417</v>
      </c>
    </row>
    <row r="262" spans="1:6" x14ac:dyDescent="0.3">
      <c r="A262" t="s">
        <v>862</v>
      </c>
      <c r="B262" s="13" t="s">
        <v>863</v>
      </c>
      <c r="C262" s="13" t="s">
        <v>864</v>
      </c>
      <c r="D262" s="13" t="s">
        <v>865</v>
      </c>
      <c r="E262" s="13" t="s">
        <v>866</v>
      </c>
      <c r="F262" t="s">
        <v>417</v>
      </c>
    </row>
    <row r="263" spans="1:6" x14ac:dyDescent="0.3">
      <c r="A263" t="s">
        <v>867</v>
      </c>
      <c r="B263" s="13" t="s">
        <v>868</v>
      </c>
      <c r="C263" s="13" t="s">
        <v>869</v>
      </c>
      <c r="D263" s="13" t="s">
        <v>870</v>
      </c>
      <c r="E263" s="13" t="s">
        <v>871</v>
      </c>
      <c r="F263" t="s">
        <v>417</v>
      </c>
    </row>
    <row r="264" spans="1:6" x14ac:dyDescent="0.3">
      <c r="A264" t="s">
        <v>872</v>
      </c>
      <c r="B264" s="13" t="s">
        <v>873</v>
      </c>
      <c r="C264" s="13" t="s">
        <v>874</v>
      </c>
      <c r="D264" s="13" t="s">
        <v>875</v>
      </c>
      <c r="E264" s="13" t="s">
        <v>876</v>
      </c>
      <c r="F264" t="s">
        <v>417</v>
      </c>
    </row>
    <row r="265" spans="1:6" x14ac:dyDescent="0.3">
      <c r="A265" t="s">
        <v>877</v>
      </c>
      <c r="B265" s="13" t="s">
        <v>878</v>
      </c>
      <c r="C265" s="13" t="s">
        <v>879</v>
      </c>
      <c r="D265" s="13" t="s">
        <v>880</v>
      </c>
      <c r="E265" s="13" t="s">
        <v>881</v>
      </c>
      <c r="F265" t="s">
        <v>417</v>
      </c>
    </row>
    <row r="266" spans="1:6" x14ac:dyDescent="0.3">
      <c r="A266" t="s">
        <v>882</v>
      </c>
      <c r="B266" s="13" t="s">
        <v>498</v>
      </c>
      <c r="C266" s="13" t="s">
        <v>883</v>
      </c>
      <c r="D266" s="13" t="s">
        <v>884</v>
      </c>
      <c r="E266" s="13" t="s">
        <v>885</v>
      </c>
      <c r="F266" t="s">
        <v>417</v>
      </c>
    </row>
    <row r="267" spans="1:6" x14ac:dyDescent="0.3">
      <c r="A267" t="s">
        <v>886</v>
      </c>
      <c r="B267" s="13" t="s">
        <v>887</v>
      </c>
      <c r="C267" s="13" t="s">
        <v>888</v>
      </c>
      <c r="D267" s="13" t="s">
        <v>889</v>
      </c>
      <c r="E267" s="13" t="s">
        <v>890</v>
      </c>
      <c r="F267" t="s">
        <v>417</v>
      </c>
    </row>
    <row r="268" spans="1:6" ht="28.8" x14ac:dyDescent="0.3">
      <c r="A268" t="s">
        <v>891</v>
      </c>
      <c r="B268" s="13" t="s">
        <v>892</v>
      </c>
      <c r="C268" s="13" t="s">
        <v>13441</v>
      </c>
      <c r="D268" s="13" t="s">
        <v>893</v>
      </c>
      <c r="E268" s="13" t="s">
        <v>894</v>
      </c>
      <c r="F268" t="s">
        <v>417</v>
      </c>
    </row>
    <row r="270" spans="1:6" ht="18" x14ac:dyDescent="0.35">
      <c r="A270" s="213" t="s">
        <v>895</v>
      </c>
      <c r="B270" s="213"/>
      <c r="C270" s="213"/>
      <c r="D270" s="213"/>
      <c r="E270" s="213"/>
      <c r="F270" s="213"/>
    </row>
    <row r="272" spans="1:6" ht="28.8" x14ac:dyDescent="0.3">
      <c r="A272" t="s">
        <v>896</v>
      </c>
      <c r="B272" s="13" t="s">
        <v>897</v>
      </c>
      <c r="C272" s="13" t="s">
        <v>13442</v>
      </c>
      <c r="D272" s="13" t="s">
        <v>898</v>
      </c>
      <c r="E272" s="13" t="s">
        <v>899</v>
      </c>
      <c r="F272" t="s">
        <v>281</v>
      </c>
    </row>
    <row r="273" spans="1:6" x14ac:dyDescent="0.3">
      <c r="A273" t="s">
        <v>900</v>
      </c>
      <c r="B273" s="13" t="s">
        <v>901</v>
      </c>
      <c r="C273" s="13" t="s">
        <v>902</v>
      </c>
      <c r="D273" s="13" t="s">
        <v>903</v>
      </c>
      <c r="E273" s="13" t="s">
        <v>904</v>
      </c>
      <c r="F273" t="s">
        <v>281</v>
      </c>
    </row>
    <row r="274" spans="1:6" ht="28.8" x14ac:dyDescent="0.3">
      <c r="A274" t="s">
        <v>905</v>
      </c>
      <c r="B274" s="13" t="s">
        <v>906</v>
      </c>
      <c r="C274" s="13" t="s">
        <v>13443</v>
      </c>
      <c r="D274" s="13" t="s">
        <v>907</v>
      </c>
      <c r="E274" s="13" t="s">
        <v>908</v>
      </c>
      <c r="F274" t="s">
        <v>281</v>
      </c>
    </row>
    <row r="275" spans="1:6" ht="28.8" x14ac:dyDescent="0.3">
      <c r="A275" t="s">
        <v>909</v>
      </c>
      <c r="B275" s="13" t="s">
        <v>910</v>
      </c>
      <c r="C275" s="13" t="s">
        <v>13444</v>
      </c>
      <c r="D275" s="13" t="s">
        <v>911</v>
      </c>
      <c r="E275" s="13" t="s">
        <v>912</v>
      </c>
      <c r="F275" t="s">
        <v>417</v>
      </c>
    </row>
    <row r="276" spans="1:6" x14ac:dyDescent="0.3">
      <c r="A276" t="s">
        <v>913</v>
      </c>
      <c r="B276" s="13" t="s">
        <v>914</v>
      </c>
      <c r="C276" s="13" t="s">
        <v>915</v>
      </c>
      <c r="D276" s="13" t="s">
        <v>916</v>
      </c>
      <c r="E276" s="13" t="s">
        <v>917</v>
      </c>
      <c r="F276" t="s">
        <v>417</v>
      </c>
    </row>
    <row r="277" spans="1:6" x14ac:dyDescent="0.3">
      <c r="A277" t="s">
        <v>918</v>
      </c>
      <c r="B277" s="13" t="s">
        <v>919</v>
      </c>
      <c r="C277" s="13" t="s">
        <v>920</v>
      </c>
      <c r="D277" s="13" t="s">
        <v>921</v>
      </c>
      <c r="E277" s="13" t="s">
        <v>922</v>
      </c>
      <c r="F277" t="s">
        <v>281</v>
      </c>
    </row>
    <row r="278" spans="1:6" x14ac:dyDescent="0.3">
      <c r="A278" t="s">
        <v>923</v>
      </c>
      <c r="B278" s="13" t="s">
        <v>924</v>
      </c>
      <c r="C278" s="13" t="s">
        <v>925</v>
      </c>
      <c r="D278" s="13" t="s">
        <v>926</v>
      </c>
      <c r="E278" s="13" t="s">
        <v>927</v>
      </c>
      <c r="F278" t="s">
        <v>281</v>
      </c>
    </row>
    <row r="279" spans="1:6" x14ac:dyDescent="0.3">
      <c r="A279" t="s">
        <v>928</v>
      </c>
      <c r="B279" s="13" t="s">
        <v>929</v>
      </c>
      <c r="C279" s="13" t="s">
        <v>930</v>
      </c>
      <c r="D279" s="13" t="s">
        <v>931</v>
      </c>
      <c r="E279" s="13" t="s">
        <v>932</v>
      </c>
      <c r="F279" t="s">
        <v>281</v>
      </c>
    </row>
    <row r="280" spans="1:6" x14ac:dyDescent="0.3">
      <c r="A280" t="s">
        <v>933</v>
      </c>
      <c r="B280" s="13" t="s">
        <v>934</v>
      </c>
      <c r="C280" s="13" t="s">
        <v>935</v>
      </c>
      <c r="D280" s="13" t="s">
        <v>936</v>
      </c>
      <c r="E280" s="13" t="s">
        <v>937</v>
      </c>
      <c r="F280" t="s">
        <v>281</v>
      </c>
    </row>
    <row r="281" spans="1:6" x14ac:dyDescent="0.3">
      <c r="A281" t="s">
        <v>938</v>
      </c>
      <c r="B281" s="13" t="s">
        <v>939</v>
      </c>
      <c r="C281" s="13" t="s">
        <v>940</v>
      </c>
      <c r="D281" s="13" t="s">
        <v>941</v>
      </c>
      <c r="E281" s="13" t="s">
        <v>942</v>
      </c>
      <c r="F281" t="s">
        <v>417</v>
      </c>
    </row>
    <row r="282" spans="1:6" x14ac:dyDescent="0.3">
      <c r="A282" t="s">
        <v>943</v>
      </c>
      <c r="B282" s="13" t="s">
        <v>944</v>
      </c>
      <c r="C282" s="13" t="s">
        <v>945</v>
      </c>
      <c r="D282" s="13" t="s">
        <v>946</v>
      </c>
      <c r="E282" s="13" t="s">
        <v>947</v>
      </c>
      <c r="F282" t="s">
        <v>417</v>
      </c>
    </row>
    <row r="283" spans="1:6" x14ac:dyDescent="0.3">
      <c r="A283" t="s">
        <v>948</v>
      </c>
      <c r="B283" s="13" t="s">
        <v>949</v>
      </c>
      <c r="C283" s="13" t="s">
        <v>950</v>
      </c>
      <c r="D283" s="13" t="s">
        <v>951</v>
      </c>
      <c r="E283" s="13" t="s">
        <v>952</v>
      </c>
      <c r="F283" t="s">
        <v>281</v>
      </c>
    </row>
    <row r="285" spans="1:6" ht="28.8" x14ac:dyDescent="0.3">
      <c r="A285" s="153" t="s">
        <v>13445</v>
      </c>
      <c r="B285" s="153"/>
      <c r="C285" s="153"/>
      <c r="D285" s="153"/>
      <c r="E285" s="153"/>
      <c r="F285" s="153"/>
    </row>
    <row r="286" spans="1:6" ht="72" x14ac:dyDescent="0.3">
      <c r="A286" s="153" t="s">
        <v>13121</v>
      </c>
      <c r="B286" s="153" t="s">
        <v>13122</v>
      </c>
      <c r="C286" s="153" t="s">
        <v>19544</v>
      </c>
      <c r="D286" s="153" t="s">
        <v>13123</v>
      </c>
      <c r="E286" s="153" t="s">
        <v>13124</v>
      </c>
      <c r="F286" s="153" t="s">
        <v>564</v>
      </c>
    </row>
    <row r="287" spans="1:6" ht="43.2" x14ac:dyDescent="0.3">
      <c r="A287" s="153" t="s">
        <v>13125</v>
      </c>
      <c r="B287" s="153" t="s">
        <v>13126</v>
      </c>
      <c r="C287" s="153" t="s">
        <v>13127</v>
      </c>
      <c r="D287" s="153" t="s">
        <v>13128</v>
      </c>
      <c r="E287" s="153" t="s">
        <v>13129</v>
      </c>
      <c r="F287" s="153" t="s">
        <v>281</v>
      </c>
    </row>
    <row r="288" spans="1:6" ht="57.6" x14ac:dyDescent="0.3">
      <c r="A288" s="153" t="s">
        <v>13130</v>
      </c>
      <c r="B288" s="153" t="s">
        <v>13131</v>
      </c>
      <c r="C288" s="153" t="s">
        <v>13132</v>
      </c>
      <c r="D288" s="153" t="s">
        <v>13133</v>
      </c>
      <c r="E288" s="153" t="s">
        <v>13134</v>
      </c>
      <c r="F288" s="153" t="s">
        <v>281</v>
      </c>
    </row>
    <row r="289" spans="1:8" ht="43.2" x14ac:dyDescent="0.3">
      <c r="A289" s="153" t="s">
        <v>13135</v>
      </c>
      <c r="B289" s="153" t="s">
        <v>13136</v>
      </c>
      <c r="C289" s="153" t="s">
        <v>19525</v>
      </c>
      <c r="D289" s="153" t="s">
        <v>13137</v>
      </c>
      <c r="E289" s="153" t="s">
        <v>19526</v>
      </c>
      <c r="F289" s="153" t="s">
        <v>281</v>
      </c>
    </row>
    <row r="290" spans="1:8" ht="72" x14ac:dyDescent="0.3">
      <c r="A290" s="153" t="s">
        <v>13322</v>
      </c>
      <c r="B290" s="153" t="s">
        <v>13323</v>
      </c>
      <c r="C290" s="13" t="s">
        <v>19545</v>
      </c>
      <c r="D290" s="13" t="s">
        <v>13324</v>
      </c>
      <c r="E290" s="13" t="s">
        <v>13325</v>
      </c>
      <c r="F290" s="153" t="s">
        <v>564</v>
      </c>
    </row>
    <row r="291" spans="1:8" ht="72" x14ac:dyDescent="0.3">
      <c r="A291" s="153" t="s">
        <v>13362</v>
      </c>
      <c r="B291" s="153" t="s">
        <v>13363</v>
      </c>
      <c r="C291" s="13" t="s">
        <v>13364</v>
      </c>
      <c r="D291" s="13" t="s">
        <v>13365</v>
      </c>
      <c r="E291" s="13" t="s">
        <v>13366</v>
      </c>
      <c r="F291" s="153" t="s">
        <v>281</v>
      </c>
    </row>
    <row r="292" spans="1:8" ht="100.8" x14ac:dyDescent="0.3">
      <c r="A292" s="153" t="s">
        <v>14220</v>
      </c>
      <c r="B292" s="153" t="s">
        <v>14221</v>
      </c>
      <c r="C292" s="153" t="s">
        <v>14222</v>
      </c>
      <c r="D292" s="153" t="s">
        <v>14223</v>
      </c>
      <c r="E292" s="153" t="s">
        <v>14224</v>
      </c>
      <c r="F292" s="153" t="s">
        <v>348</v>
      </c>
      <c r="G292" s="153" t="s">
        <v>962</v>
      </c>
      <c r="H292" s="153" t="s">
        <v>14216</v>
      </c>
    </row>
    <row r="293" spans="1:8" ht="28.8" x14ac:dyDescent="0.3">
      <c r="A293" s="153" t="s">
        <v>13446</v>
      </c>
      <c r="B293" s="153"/>
      <c r="C293" s="153"/>
      <c r="D293" s="153"/>
      <c r="E293" s="153"/>
      <c r="F293" s="153"/>
    </row>
    <row r="294" spans="1:8" ht="28.8" x14ac:dyDescent="0.3">
      <c r="A294" s="153" t="s">
        <v>2874</v>
      </c>
      <c r="B294" s="153" t="s">
        <v>13447</v>
      </c>
      <c r="C294" s="153" t="s">
        <v>13448</v>
      </c>
      <c r="D294" s="153" t="s">
        <v>13449</v>
      </c>
      <c r="E294" s="153" t="s">
        <v>13450</v>
      </c>
      <c r="F294" s="153" t="s">
        <v>417</v>
      </c>
    </row>
    <row r="295" spans="1:8" ht="28.8" x14ac:dyDescent="0.3">
      <c r="A295" s="153" t="s">
        <v>2879</v>
      </c>
      <c r="B295" s="153" t="s">
        <v>13451</v>
      </c>
      <c r="C295" s="153" t="s">
        <v>13452</v>
      </c>
      <c r="D295" s="153" t="s">
        <v>13453</v>
      </c>
      <c r="E295" s="153" t="s">
        <v>13454</v>
      </c>
      <c r="F295" s="153" t="s">
        <v>417</v>
      </c>
    </row>
    <row r="296" spans="1:8" ht="43.2" x14ac:dyDescent="0.3">
      <c r="A296" s="153" t="s">
        <v>13455</v>
      </c>
      <c r="B296" s="153" t="s">
        <v>13456</v>
      </c>
      <c r="C296" s="153" t="s">
        <v>13457</v>
      </c>
      <c r="D296" s="153" t="s">
        <v>13458</v>
      </c>
      <c r="E296" s="153" t="s">
        <v>13459</v>
      </c>
      <c r="F296" s="153" t="s">
        <v>417</v>
      </c>
    </row>
    <row r="297" spans="1:8" ht="28.8" x14ac:dyDescent="0.3">
      <c r="A297" s="153" t="s">
        <v>13460</v>
      </c>
      <c r="B297" s="153" t="s">
        <v>13461</v>
      </c>
      <c r="C297" s="153" t="s">
        <v>13462</v>
      </c>
      <c r="D297" s="153" t="s">
        <v>13463</v>
      </c>
      <c r="E297" s="153" t="s">
        <v>13464</v>
      </c>
      <c r="F297" s="153" t="s">
        <v>564</v>
      </c>
    </row>
    <row r="298" spans="1:8" ht="43.2" x14ac:dyDescent="0.3">
      <c r="A298" s="153" t="s">
        <v>3014</v>
      </c>
      <c r="B298" s="153" t="s">
        <v>13465</v>
      </c>
      <c r="C298" s="153" t="s">
        <v>13466</v>
      </c>
      <c r="D298" s="153" t="s">
        <v>13467</v>
      </c>
      <c r="E298" s="153" t="s">
        <v>13468</v>
      </c>
      <c r="F298" s="153" t="s">
        <v>417</v>
      </c>
    </row>
    <row r="299" spans="1:8" ht="28.8" x14ac:dyDescent="0.3">
      <c r="A299" s="153" t="s">
        <v>3020</v>
      </c>
      <c r="B299" s="153" t="s">
        <v>13469</v>
      </c>
      <c r="C299" s="153" t="s">
        <v>13470</v>
      </c>
      <c r="D299" s="153" t="s">
        <v>13471</v>
      </c>
      <c r="E299" s="153" t="s">
        <v>13472</v>
      </c>
      <c r="F299" s="153" t="s">
        <v>417</v>
      </c>
    </row>
    <row r="300" spans="1:8" ht="28.8" x14ac:dyDescent="0.3">
      <c r="A300" s="153" t="s">
        <v>13473</v>
      </c>
      <c r="B300" s="153" t="s">
        <v>13474</v>
      </c>
      <c r="C300" s="153" t="s">
        <v>13475</v>
      </c>
      <c r="D300" s="153" t="s">
        <v>13476</v>
      </c>
      <c r="E300" s="153" t="s">
        <v>13477</v>
      </c>
      <c r="F300" s="153" t="s">
        <v>564</v>
      </c>
    </row>
    <row r="302" spans="1:8" ht="28.8" x14ac:dyDescent="0.3">
      <c r="A302" s="153" t="s">
        <v>13691</v>
      </c>
      <c r="B302" s="153"/>
      <c r="C302" s="153"/>
      <c r="D302" s="153"/>
      <c r="E302" s="153"/>
      <c r="F302" s="153"/>
      <c r="G302" s="153"/>
      <c r="H302" s="153"/>
    </row>
    <row r="303" spans="1:8" ht="86.4" x14ac:dyDescent="0.3">
      <c r="A303" s="153" t="s">
        <v>13692</v>
      </c>
      <c r="B303" s="153" t="s">
        <v>13693</v>
      </c>
      <c r="C303" s="153" t="s">
        <v>13694</v>
      </c>
      <c r="D303" s="153" t="s">
        <v>13695</v>
      </c>
      <c r="E303" s="153" t="s">
        <v>13696</v>
      </c>
      <c r="F303" s="153" t="s">
        <v>348</v>
      </c>
      <c r="G303" s="153"/>
      <c r="H303" s="153"/>
    </row>
    <row r="304" spans="1:8" ht="57.6" x14ac:dyDescent="0.3">
      <c r="A304" s="153" t="s">
        <v>13697</v>
      </c>
      <c r="B304" s="153" t="s">
        <v>13698</v>
      </c>
      <c r="C304" s="153" t="s">
        <v>13699</v>
      </c>
      <c r="D304" s="153" t="s">
        <v>13700</v>
      </c>
      <c r="E304" s="153" t="s">
        <v>13701</v>
      </c>
      <c r="F304" s="153" t="s">
        <v>281</v>
      </c>
      <c r="G304" s="153"/>
      <c r="H304" s="153"/>
    </row>
    <row r="305" spans="1:8" ht="57.6" x14ac:dyDescent="0.3">
      <c r="A305" s="153" t="s">
        <v>13702</v>
      </c>
      <c r="B305" s="153" t="s">
        <v>13703</v>
      </c>
      <c r="C305" s="153" t="s">
        <v>13704</v>
      </c>
      <c r="D305" s="153" t="s">
        <v>13705</v>
      </c>
      <c r="E305" s="153" t="s">
        <v>13706</v>
      </c>
      <c r="F305" s="153" t="s">
        <v>564</v>
      </c>
      <c r="G305" s="153"/>
      <c r="H305" s="153"/>
    </row>
    <row r="306" spans="1:8" ht="43.2" x14ac:dyDescent="0.3">
      <c r="A306" s="153" t="s">
        <v>13707</v>
      </c>
      <c r="B306" s="153" t="s">
        <v>13708</v>
      </c>
      <c r="C306" s="153" t="s">
        <v>13709</v>
      </c>
      <c r="D306" s="153" t="s">
        <v>13710</v>
      </c>
      <c r="E306" s="153" t="s">
        <v>13711</v>
      </c>
      <c r="F306" s="153" t="s">
        <v>417</v>
      </c>
      <c r="G306" s="153"/>
      <c r="H306" s="153"/>
    </row>
    <row r="307" spans="1:8" ht="43.2" x14ac:dyDescent="0.3">
      <c r="A307" s="153" t="s">
        <v>13712</v>
      </c>
      <c r="B307" s="153" t="s">
        <v>13713</v>
      </c>
      <c r="C307" s="153" t="s">
        <v>13714</v>
      </c>
      <c r="D307" s="153" t="s">
        <v>13715</v>
      </c>
      <c r="E307" s="153" t="s">
        <v>13716</v>
      </c>
      <c r="F307" s="153" t="s">
        <v>348</v>
      </c>
      <c r="G307" s="153"/>
      <c r="H307" s="153"/>
    </row>
    <row r="309" spans="1:8" ht="43.2" x14ac:dyDescent="0.3">
      <c r="A309" s="153" t="s">
        <v>13954</v>
      </c>
      <c r="B309" s="153"/>
      <c r="C309" s="153"/>
      <c r="D309" s="153"/>
      <c r="E309" s="153"/>
      <c r="F309" s="153"/>
      <c r="G309" s="153"/>
      <c r="H309" s="153"/>
    </row>
    <row r="310" spans="1:8" ht="230.4" x14ac:dyDescent="0.3">
      <c r="A310" s="153" t="s">
        <v>13955</v>
      </c>
      <c r="B310" s="153" t="s">
        <v>14149</v>
      </c>
      <c r="C310" s="153" t="s">
        <v>14150</v>
      </c>
      <c r="D310" s="153" t="s">
        <v>13956</v>
      </c>
      <c r="E310" s="153" t="s">
        <v>14151</v>
      </c>
      <c r="F310" s="153" t="s">
        <v>281</v>
      </c>
      <c r="G310" s="153" t="s">
        <v>988</v>
      </c>
      <c r="H310" s="153" t="s">
        <v>13957</v>
      </c>
    </row>
    <row r="311" spans="1:8" ht="187.2" x14ac:dyDescent="0.3">
      <c r="A311" s="153" t="s">
        <v>13958</v>
      </c>
      <c r="B311" s="153" t="s">
        <v>13959</v>
      </c>
      <c r="C311" s="153" t="s">
        <v>13960</v>
      </c>
      <c r="D311" s="153" t="s">
        <v>13961</v>
      </c>
      <c r="E311" s="153" t="s">
        <v>13962</v>
      </c>
      <c r="F311" s="153" t="s">
        <v>348</v>
      </c>
      <c r="G311" s="153" t="s">
        <v>962</v>
      </c>
      <c r="H311" s="153" t="s">
        <v>13963</v>
      </c>
    </row>
    <row r="312" spans="1:8" ht="144" x14ac:dyDescent="0.3">
      <c r="A312" s="153" t="s">
        <v>13964</v>
      </c>
      <c r="B312" s="153" t="s">
        <v>13965</v>
      </c>
      <c r="C312" s="153" t="s">
        <v>13966</v>
      </c>
      <c r="D312" s="153" t="s">
        <v>13967</v>
      </c>
      <c r="E312" s="153" t="s">
        <v>13968</v>
      </c>
      <c r="F312" s="153" t="s">
        <v>564</v>
      </c>
      <c r="G312" s="153" t="s">
        <v>14</v>
      </c>
      <c r="H312" s="153" t="s">
        <v>14</v>
      </c>
    </row>
    <row r="313" spans="1:8" ht="144" x14ac:dyDescent="0.3">
      <c r="A313" s="153" t="s">
        <v>13969</v>
      </c>
      <c r="B313" s="153" t="s">
        <v>14225</v>
      </c>
      <c r="C313" s="153" t="s">
        <v>14226</v>
      </c>
      <c r="D313" s="153" t="s">
        <v>14227</v>
      </c>
      <c r="E313" s="153" t="s">
        <v>14228</v>
      </c>
      <c r="F313" s="153" t="s">
        <v>348</v>
      </c>
      <c r="G313" s="153" t="s">
        <v>962</v>
      </c>
      <c r="H313" s="153" t="s">
        <v>14216</v>
      </c>
    </row>
    <row r="314" spans="1:8" ht="129.6" x14ac:dyDescent="0.3">
      <c r="A314" s="153" t="s">
        <v>13970</v>
      </c>
      <c r="B314" s="153" t="s">
        <v>13971</v>
      </c>
      <c r="C314" s="153" t="s">
        <v>13972</v>
      </c>
      <c r="D314" s="153" t="s">
        <v>13973</v>
      </c>
      <c r="E314" s="153" t="s">
        <v>13974</v>
      </c>
      <c r="F314" s="153" t="s">
        <v>417</v>
      </c>
      <c r="G314" s="153" t="s">
        <v>14</v>
      </c>
      <c r="H314" s="153" t="s">
        <v>14</v>
      </c>
    </row>
    <row r="315" spans="1:8" ht="86.4" x14ac:dyDescent="0.3">
      <c r="A315" s="153" t="s">
        <v>14168</v>
      </c>
      <c r="B315" s="153" t="s">
        <v>14169</v>
      </c>
      <c r="C315" s="153" t="s">
        <v>14170</v>
      </c>
      <c r="D315" s="153" t="s">
        <v>14171</v>
      </c>
      <c r="E315" s="153" t="s">
        <v>14172</v>
      </c>
      <c r="F315" s="153" t="s">
        <v>564</v>
      </c>
      <c r="G315" s="153" t="s">
        <v>14</v>
      </c>
      <c r="H315" s="153" t="s">
        <v>14</v>
      </c>
    </row>
    <row r="316" spans="1:8" ht="43.2" x14ac:dyDescent="0.3">
      <c r="A316" s="153" t="s">
        <v>13975</v>
      </c>
      <c r="B316" s="153"/>
      <c r="C316" s="153"/>
      <c r="D316" s="153"/>
      <c r="E316" s="153"/>
      <c r="F316" s="153"/>
      <c r="G316" s="153"/>
      <c r="H316" s="153"/>
    </row>
    <row r="317" spans="1:8" ht="28.8" x14ac:dyDescent="0.3">
      <c r="A317" s="153" t="s">
        <v>13976</v>
      </c>
      <c r="B317" s="153" t="s">
        <v>13977</v>
      </c>
      <c r="C317" s="153" t="s">
        <v>13978</v>
      </c>
      <c r="D317" s="153" t="s">
        <v>13979</v>
      </c>
      <c r="E317" s="153" t="s">
        <v>13980</v>
      </c>
      <c r="F317" s="153" t="s">
        <v>281</v>
      </c>
      <c r="G317" s="153"/>
      <c r="H317" s="153"/>
    </row>
    <row r="318" spans="1:8" ht="43.2" x14ac:dyDescent="0.3">
      <c r="A318" s="153" t="s">
        <v>13981</v>
      </c>
      <c r="B318" s="153" t="s">
        <v>13982</v>
      </c>
      <c r="C318" s="153" t="s">
        <v>13983</v>
      </c>
      <c r="D318" s="153" t="s">
        <v>13984</v>
      </c>
      <c r="E318" s="153" t="s">
        <v>13985</v>
      </c>
      <c r="F318" s="153" t="s">
        <v>281</v>
      </c>
      <c r="G318" s="153"/>
      <c r="H318" s="153"/>
    </row>
    <row r="319" spans="1:8" ht="28.8" x14ac:dyDescent="0.3">
      <c r="A319" s="153" t="s">
        <v>13986</v>
      </c>
      <c r="B319" s="153" t="s">
        <v>13987</v>
      </c>
      <c r="C319" s="153" t="s">
        <v>13988</v>
      </c>
      <c r="D319" s="153" t="s">
        <v>13989</v>
      </c>
      <c r="E319" s="153" t="s">
        <v>13990</v>
      </c>
      <c r="F319" s="153" t="s">
        <v>281</v>
      </c>
      <c r="G319" s="153"/>
      <c r="H319" s="153"/>
    </row>
    <row r="320" spans="1:8" ht="43.2" x14ac:dyDescent="0.3">
      <c r="A320" s="153" t="s">
        <v>13991</v>
      </c>
      <c r="B320" s="153" t="s">
        <v>13992</v>
      </c>
      <c r="C320" s="153" t="s">
        <v>13993</v>
      </c>
      <c r="D320" s="153" t="s">
        <v>13994</v>
      </c>
      <c r="E320" s="153" t="s">
        <v>13995</v>
      </c>
      <c r="F320" s="153" t="s">
        <v>281</v>
      </c>
      <c r="G320" s="153"/>
      <c r="H320" s="153"/>
    </row>
    <row r="321" spans="1:8" ht="57.6" x14ac:dyDescent="0.3">
      <c r="A321" s="153" t="s">
        <v>13996</v>
      </c>
      <c r="B321" s="153" t="s">
        <v>13997</v>
      </c>
      <c r="C321" s="153" t="s">
        <v>13998</v>
      </c>
      <c r="D321" s="153" t="s">
        <v>13999</v>
      </c>
      <c r="E321" s="153" t="s">
        <v>14000</v>
      </c>
      <c r="F321" s="153" t="s">
        <v>417</v>
      </c>
      <c r="G321" s="153"/>
      <c r="H321" s="153"/>
    </row>
    <row r="322" spans="1:8" ht="57.6" x14ac:dyDescent="0.3">
      <c r="A322" s="153" t="s">
        <v>14001</v>
      </c>
      <c r="B322" s="153" t="s">
        <v>14002</v>
      </c>
      <c r="C322" s="153" t="s">
        <v>14003</v>
      </c>
      <c r="D322" s="153" t="s">
        <v>14004</v>
      </c>
      <c r="E322" s="153" t="s">
        <v>14005</v>
      </c>
      <c r="F322" s="153" t="s">
        <v>281</v>
      </c>
      <c r="G322" s="153"/>
      <c r="H322" s="153"/>
    </row>
    <row r="323" spans="1:8" ht="43.2" x14ac:dyDescent="0.3">
      <c r="A323" s="153" t="s">
        <v>14006</v>
      </c>
      <c r="B323" s="153" t="s">
        <v>14007</v>
      </c>
      <c r="C323" s="153" t="s">
        <v>14008</v>
      </c>
      <c r="D323" s="153" t="s">
        <v>14009</v>
      </c>
      <c r="E323" s="153" t="s">
        <v>14010</v>
      </c>
      <c r="F323" s="153" t="s">
        <v>281</v>
      </c>
      <c r="G323" s="153"/>
      <c r="H323" s="153"/>
    </row>
    <row r="324" spans="1:8" ht="57.6" x14ac:dyDescent="0.3">
      <c r="A324" s="153" t="s">
        <v>14011</v>
      </c>
      <c r="B324" s="153" t="s">
        <v>14012</v>
      </c>
      <c r="C324" s="153" t="s">
        <v>14013</v>
      </c>
      <c r="D324" s="153" t="s">
        <v>14014</v>
      </c>
      <c r="E324" s="153" t="s">
        <v>14015</v>
      </c>
      <c r="F324" s="153" t="s">
        <v>417</v>
      </c>
      <c r="G324" s="153"/>
      <c r="H324" s="153"/>
    </row>
    <row r="325" spans="1:8" ht="72" x14ac:dyDescent="0.3">
      <c r="A325" s="153" t="s">
        <v>14016</v>
      </c>
      <c r="B325" s="153" t="s">
        <v>14017</v>
      </c>
      <c r="C325" s="153" t="s">
        <v>14018</v>
      </c>
      <c r="D325" s="153" t="s">
        <v>14019</v>
      </c>
      <c r="E325" s="153" t="s">
        <v>14020</v>
      </c>
      <c r="F325" s="153" t="s">
        <v>348</v>
      </c>
      <c r="G325" s="153" t="s">
        <v>962</v>
      </c>
      <c r="H325" s="153" t="s">
        <v>13673</v>
      </c>
    </row>
    <row r="326" spans="1:8" ht="201.6" x14ac:dyDescent="0.3">
      <c r="A326" s="153" t="s">
        <v>14021</v>
      </c>
      <c r="B326" s="153" t="s">
        <v>14163</v>
      </c>
      <c r="C326" s="153" t="s">
        <v>14164</v>
      </c>
      <c r="D326" s="153" t="s">
        <v>14165</v>
      </c>
      <c r="E326" s="153" t="s">
        <v>14166</v>
      </c>
      <c r="F326" s="153" t="s">
        <v>564</v>
      </c>
      <c r="G326" s="153" t="s">
        <v>14</v>
      </c>
      <c r="H326" s="153" t="s">
        <v>14</v>
      </c>
    </row>
    <row r="327" spans="1:8" ht="43.2" x14ac:dyDescent="0.3">
      <c r="A327" s="153" t="s">
        <v>14022</v>
      </c>
      <c r="B327" s="153" t="s">
        <v>14023</v>
      </c>
      <c r="C327" s="153" t="s">
        <v>14024</v>
      </c>
      <c r="D327" s="153" t="s">
        <v>14025</v>
      </c>
      <c r="E327" s="153" t="s">
        <v>14026</v>
      </c>
      <c r="F327" s="153" t="s">
        <v>281</v>
      </c>
      <c r="G327" s="153"/>
      <c r="H327" s="153"/>
    </row>
    <row r="328" spans="1:8" ht="43.2" x14ac:dyDescent="0.3">
      <c r="A328" s="153" t="s">
        <v>14027</v>
      </c>
      <c r="B328" s="153" t="s">
        <v>14028</v>
      </c>
      <c r="C328" s="153" t="s">
        <v>14029</v>
      </c>
      <c r="D328" s="153" t="s">
        <v>14030</v>
      </c>
      <c r="E328" s="153" t="s">
        <v>14031</v>
      </c>
      <c r="F328" s="153" t="s">
        <v>281</v>
      </c>
      <c r="G328" s="153"/>
      <c r="H328" s="153"/>
    </row>
    <row r="329" spans="1:8" ht="28.8" x14ac:dyDescent="0.3">
      <c r="A329" s="153" t="s">
        <v>14032</v>
      </c>
      <c r="B329" s="153" t="s">
        <v>14033</v>
      </c>
      <c r="C329" s="153" t="s">
        <v>14034</v>
      </c>
      <c r="D329" s="153" t="s">
        <v>14035</v>
      </c>
      <c r="E329" s="153" t="s">
        <v>14036</v>
      </c>
      <c r="F329" s="153" t="s">
        <v>417</v>
      </c>
      <c r="G329" s="153"/>
      <c r="H329" s="153"/>
    </row>
    <row r="330" spans="1:8" ht="43.2" x14ac:dyDescent="0.3">
      <c r="A330" s="153" t="s">
        <v>14037</v>
      </c>
      <c r="B330" s="153" t="s">
        <v>14038</v>
      </c>
      <c r="C330" s="153" t="s">
        <v>14039</v>
      </c>
      <c r="D330" s="153" t="s">
        <v>14040</v>
      </c>
      <c r="E330" s="153" t="s">
        <v>14041</v>
      </c>
      <c r="F330" s="153" t="s">
        <v>417</v>
      </c>
      <c r="G330" s="153"/>
      <c r="H330" s="153"/>
    </row>
    <row r="331" spans="1:8" ht="28.8" x14ac:dyDescent="0.3">
      <c r="A331" s="153" t="s">
        <v>14042</v>
      </c>
      <c r="B331" s="153" t="s">
        <v>14043</v>
      </c>
      <c r="C331" s="153" t="s">
        <v>14044</v>
      </c>
      <c r="D331" s="153" t="s">
        <v>14045</v>
      </c>
      <c r="E331" s="153" t="s">
        <v>14046</v>
      </c>
      <c r="F331" s="153" t="s">
        <v>281</v>
      </c>
      <c r="G331" s="153"/>
      <c r="H331" s="153"/>
    </row>
    <row r="332" spans="1:8" ht="43.2" x14ac:dyDescent="0.3">
      <c r="A332" s="153" t="s">
        <v>14047</v>
      </c>
      <c r="B332" s="153" t="s">
        <v>14048</v>
      </c>
      <c r="C332" s="153" t="s">
        <v>14049</v>
      </c>
      <c r="D332" s="153" t="s">
        <v>14050</v>
      </c>
      <c r="E332" s="153" t="s">
        <v>14051</v>
      </c>
      <c r="F332" s="153" t="s">
        <v>281</v>
      </c>
      <c r="G332" s="153"/>
      <c r="H332" s="153"/>
    </row>
    <row r="333" spans="1:8" ht="28.8" x14ac:dyDescent="0.3">
      <c r="A333" s="153" t="s">
        <v>14052</v>
      </c>
      <c r="B333" s="153" t="s">
        <v>14053</v>
      </c>
      <c r="C333" s="153" t="s">
        <v>14054</v>
      </c>
      <c r="D333" s="153" t="s">
        <v>14055</v>
      </c>
      <c r="E333" s="153" t="s">
        <v>14056</v>
      </c>
      <c r="F333" s="153" t="s">
        <v>281</v>
      </c>
      <c r="G333" s="153"/>
      <c r="H333" s="153"/>
    </row>
    <row r="334" spans="1:8" ht="28.8" x14ac:dyDescent="0.3">
      <c r="A334" s="153" t="s">
        <v>14057</v>
      </c>
      <c r="B334" s="153" t="s">
        <v>14058</v>
      </c>
      <c r="C334" s="153" t="s">
        <v>14059</v>
      </c>
      <c r="D334" s="153" t="s">
        <v>14060</v>
      </c>
      <c r="E334" s="153" t="s">
        <v>14061</v>
      </c>
      <c r="F334" s="153" t="s">
        <v>281</v>
      </c>
      <c r="G334" s="153"/>
      <c r="H334" s="153"/>
    </row>
    <row r="335" spans="1:8" ht="43.2" x14ac:dyDescent="0.3">
      <c r="A335" s="153" t="s">
        <v>14062</v>
      </c>
      <c r="B335" s="153" t="s">
        <v>14063</v>
      </c>
      <c r="C335" s="153" t="s">
        <v>14064</v>
      </c>
      <c r="D335" s="153" t="s">
        <v>14065</v>
      </c>
      <c r="E335" s="153" t="s">
        <v>14066</v>
      </c>
      <c r="F335" s="153" t="s">
        <v>281</v>
      </c>
      <c r="G335" s="153"/>
      <c r="H335" s="153"/>
    </row>
    <row r="336" spans="1:8" ht="28.8" x14ac:dyDescent="0.3">
      <c r="A336" s="153" t="s">
        <v>14067</v>
      </c>
      <c r="B336" s="153" t="s">
        <v>1537</v>
      </c>
      <c r="C336" s="153" t="s">
        <v>14068</v>
      </c>
      <c r="D336" s="153" t="s">
        <v>14069</v>
      </c>
      <c r="E336" s="153" t="s">
        <v>14070</v>
      </c>
      <c r="F336" s="153" t="s">
        <v>281</v>
      </c>
      <c r="G336" s="153"/>
      <c r="H336" s="153"/>
    </row>
  </sheetData>
  <mergeCells count="17">
    <mergeCell ref="A270:F270"/>
    <mergeCell ref="A58:F58"/>
    <mergeCell ref="A77:F77"/>
    <mergeCell ref="A115:F115"/>
    <mergeCell ref="A143:F143"/>
    <mergeCell ref="A160:F160"/>
    <mergeCell ref="A175:F175"/>
    <mergeCell ref="A200:F200"/>
    <mergeCell ref="A213:F213"/>
    <mergeCell ref="A229:F229"/>
    <mergeCell ref="A242:F242"/>
    <mergeCell ref="A255:F255"/>
    <mergeCell ref="A31:F31"/>
    <mergeCell ref="A1:F1"/>
    <mergeCell ref="A2:F2"/>
    <mergeCell ref="A4:F4"/>
    <mergeCell ref="A10:F10"/>
  </mergeCells>
  <conditionalFormatting sqref="F57:F283 F286">
    <cfRule type="containsText" dxfId="91" priority="1" operator="containsText" text="BLOCK">
      <formula>NOT(ISERROR(SEARCH("BLOCK",F57)))</formula>
    </cfRule>
    <cfRule type="containsText" dxfId="90" priority="2" operator="containsText" text="WARN">
      <formula>NOT(ISERROR(SEARCH("WARN",F57)))</formula>
    </cfRule>
    <cfRule type="containsText" dxfId="89" priority="3" operator="containsText" text="AUTO">
      <formula>NOT(ISERROR(SEARCH("AUTO",F57)))</formula>
    </cfRule>
    <cfRule type="containsText" dxfId="88" priority="4" operator="containsText" text="ALLOW">
      <formula>NOT(ISERROR(SEARCH("ALLOW",F57)))</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70D2-732B-4443-B037-988DBBC25F23}">
  <dimension ref="A1:J62"/>
  <sheetViews>
    <sheetView workbookViewId="0">
      <pane ySplit="14" topLeftCell="A15" activePane="bottomLeft" state="frozen"/>
      <selection pane="bottomLeft" sqref="A1:J1"/>
    </sheetView>
  </sheetViews>
  <sheetFormatPr defaultRowHeight="14.4" x14ac:dyDescent="0.3"/>
  <cols>
    <col min="1" max="1" width="31.44140625" customWidth="1"/>
    <col min="2" max="2" width="14.77734375" customWidth="1"/>
    <col min="3" max="3" width="48.109375" customWidth="1"/>
    <col min="4" max="4" width="14.77734375" customWidth="1"/>
    <col min="5" max="6" width="20.33203125" customWidth="1"/>
    <col min="7" max="7" width="40.77734375" customWidth="1"/>
    <col min="8" max="8" width="37" customWidth="1"/>
    <col min="9" max="10" width="48.109375" customWidth="1"/>
  </cols>
  <sheetData>
    <row r="1" spans="1:10" ht="25.95" customHeight="1" x14ac:dyDescent="0.4">
      <c r="A1" s="218" t="s">
        <v>14369</v>
      </c>
      <c r="B1" s="218"/>
      <c r="C1" s="218"/>
      <c r="D1" s="218"/>
      <c r="E1" s="218"/>
      <c r="F1" s="218"/>
      <c r="G1" s="218"/>
      <c r="H1" s="218"/>
      <c r="I1" s="218"/>
      <c r="J1" s="218"/>
    </row>
    <row r="2" spans="1:10" x14ac:dyDescent="0.3">
      <c r="A2" s="199" t="s">
        <v>14293</v>
      </c>
      <c r="B2" s="199"/>
      <c r="C2" s="199"/>
      <c r="D2" s="199"/>
      <c r="E2" s="199"/>
      <c r="F2" s="199"/>
      <c r="G2" s="199"/>
      <c r="H2" s="199"/>
      <c r="I2" s="199"/>
      <c r="J2" s="199"/>
    </row>
    <row r="4" spans="1:10" x14ac:dyDescent="0.3">
      <c r="A4" s="220" t="s">
        <v>1055</v>
      </c>
      <c r="B4" s="220"/>
      <c r="C4" s="220"/>
      <c r="D4" s="220"/>
      <c r="E4" s="220"/>
      <c r="F4" s="220"/>
      <c r="G4" s="220"/>
      <c r="H4" s="220"/>
      <c r="I4" s="220"/>
      <c r="J4" s="220"/>
    </row>
    <row r="5" spans="1:10" x14ac:dyDescent="0.3">
      <c r="A5" s="221" t="s">
        <v>1120</v>
      </c>
      <c r="B5" s="221" t="s">
        <v>14370</v>
      </c>
      <c r="C5" s="221" t="s">
        <v>1</v>
      </c>
      <c r="D5" s="221" t="s">
        <v>14294</v>
      </c>
      <c r="E5" s="221" t="s">
        <v>14295</v>
      </c>
    </row>
    <row r="6" spans="1:10" ht="43.2" x14ac:dyDescent="0.3">
      <c r="A6" t="s">
        <v>960</v>
      </c>
      <c r="B6" t="s">
        <v>1056</v>
      </c>
      <c r="C6" s="13" t="s">
        <v>1057</v>
      </c>
      <c r="D6" s="13" t="s">
        <v>14296</v>
      </c>
      <c r="E6" t="s">
        <v>14297</v>
      </c>
    </row>
    <row r="7" spans="1:10" ht="43.2" x14ac:dyDescent="0.3">
      <c r="A7" t="s">
        <v>986</v>
      </c>
      <c r="B7" t="s">
        <v>1058</v>
      </c>
      <c r="C7" s="13" t="s">
        <v>1059</v>
      </c>
      <c r="D7" s="13" t="s">
        <v>14298</v>
      </c>
      <c r="E7" t="s">
        <v>14299</v>
      </c>
    </row>
    <row r="8" spans="1:10" ht="43.2" x14ac:dyDescent="0.3">
      <c r="A8" t="s">
        <v>1011</v>
      </c>
      <c r="B8" t="s">
        <v>1060</v>
      </c>
      <c r="C8" s="13" t="s">
        <v>1061</v>
      </c>
      <c r="D8" s="13" t="s">
        <v>14300</v>
      </c>
      <c r="E8" t="s">
        <v>14301</v>
      </c>
    </row>
    <row r="9" spans="1:10" ht="28.8" x14ac:dyDescent="0.3">
      <c r="A9" t="s">
        <v>1025</v>
      </c>
      <c r="B9" t="s">
        <v>1062</v>
      </c>
      <c r="C9" s="13" t="s">
        <v>1063</v>
      </c>
      <c r="D9" s="13" t="s">
        <v>14302</v>
      </c>
      <c r="E9" t="s">
        <v>14303</v>
      </c>
    </row>
    <row r="10" spans="1:10" ht="28.8" x14ac:dyDescent="0.3">
      <c r="A10" t="s">
        <v>1034</v>
      </c>
      <c r="B10" t="s">
        <v>1064</v>
      </c>
      <c r="C10" s="13" t="s">
        <v>1065</v>
      </c>
      <c r="D10" s="13" t="s">
        <v>14304</v>
      </c>
      <c r="E10" t="s">
        <v>14305</v>
      </c>
    </row>
    <row r="11" spans="1:10" ht="43.2" x14ac:dyDescent="0.3">
      <c r="A11" t="s">
        <v>1043</v>
      </c>
      <c r="B11" t="s">
        <v>1066</v>
      </c>
      <c r="C11" s="13" t="s">
        <v>1067</v>
      </c>
      <c r="D11" s="13" t="s">
        <v>14306</v>
      </c>
      <c r="E11" t="s">
        <v>14307</v>
      </c>
    </row>
    <row r="13" spans="1:10" x14ac:dyDescent="0.3">
      <c r="A13" s="220" t="s">
        <v>14308</v>
      </c>
      <c r="B13" s="220"/>
      <c r="C13" s="220"/>
      <c r="D13" s="220"/>
      <c r="E13" s="220"/>
      <c r="F13" s="220"/>
      <c r="G13" s="220"/>
      <c r="H13" s="220"/>
      <c r="I13" s="220"/>
      <c r="J13" s="220"/>
    </row>
    <row r="14" spans="1:10" x14ac:dyDescent="0.3">
      <c r="A14" s="221" t="s">
        <v>953</v>
      </c>
      <c r="B14" s="221" t="s">
        <v>954</v>
      </c>
      <c r="C14" s="221" t="s">
        <v>1</v>
      </c>
      <c r="D14" s="221" t="s">
        <v>955</v>
      </c>
      <c r="E14" s="221" t="s">
        <v>956</v>
      </c>
      <c r="F14" s="221" t="s">
        <v>14309</v>
      </c>
      <c r="G14" s="221" t="s">
        <v>957</v>
      </c>
      <c r="H14" s="221" t="s">
        <v>958</v>
      </c>
      <c r="I14" s="221" t="s">
        <v>13115</v>
      </c>
      <c r="J14" s="221" t="s">
        <v>1245</v>
      </c>
    </row>
    <row r="15" spans="1:10" ht="28.8" x14ac:dyDescent="0.3">
      <c r="A15" s="227" t="s">
        <v>959</v>
      </c>
      <c r="B15" s="227" t="s">
        <v>960</v>
      </c>
      <c r="C15" s="195" t="s">
        <v>961</v>
      </c>
      <c r="D15" s="227" t="s">
        <v>962</v>
      </c>
      <c r="E15" s="227" t="s">
        <v>14310</v>
      </c>
      <c r="F15" s="227" t="s">
        <v>959</v>
      </c>
      <c r="G15" s="195" t="s">
        <v>963</v>
      </c>
      <c r="H15" s="195" t="s">
        <v>964</v>
      </c>
      <c r="I15" s="195" t="s">
        <v>13116</v>
      </c>
      <c r="J15" s="195" t="s">
        <v>14311</v>
      </c>
    </row>
    <row r="16" spans="1:10" ht="43.2" x14ac:dyDescent="0.3">
      <c r="A16" s="227" t="s">
        <v>75</v>
      </c>
      <c r="B16" s="227" t="s">
        <v>960</v>
      </c>
      <c r="C16" s="195" t="s">
        <v>965</v>
      </c>
      <c r="D16" s="227" t="s">
        <v>962</v>
      </c>
      <c r="E16" s="227" t="s">
        <v>14320</v>
      </c>
      <c r="F16" s="227" t="s">
        <v>75</v>
      </c>
      <c r="G16" s="195" t="s">
        <v>13717</v>
      </c>
      <c r="H16" s="195" t="s">
        <v>13718</v>
      </c>
      <c r="I16" s="195" t="s">
        <v>13117</v>
      </c>
      <c r="J16" s="195" t="s">
        <v>14321</v>
      </c>
    </row>
    <row r="17" spans="1:10" ht="57.6" x14ac:dyDescent="0.3">
      <c r="A17" s="227" t="s">
        <v>77</v>
      </c>
      <c r="B17" s="227" t="s">
        <v>960</v>
      </c>
      <c r="C17" s="195" t="s">
        <v>966</v>
      </c>
      <c r="D17" s="227" t="s">
        <v>962</v>
      </c>
      <c r="E17" s="227" t="s">
        <v>14316</v>
      </c>
      <c r="F17" s="227" t="s">
        <v>77</v>
      </c>
      <c r="G17" s="195" t="s">
        <v>14154</v>
      </c>
      <c r="H17" s="195" t="s">
        <v>967</v>
      </c>
      <c r="I17" s="195" t="s">
        <v>14153</v>
      </c>
      <c r="J17" s="195" t="s">
        <v>14317</v>
      </c>
    </row>
    <row r="18" spans="1:10" ht="115.2" x14ac:dyDescent="0.3">
      <c r="A18" s="227" t="s">
        <v>14371</v>
      </c>
      <c r="B18" s="227" t="s">
        <v>960</v>
      </c>
      <c r="C18" s="195" t="s">
        <v>13937</v>
      </c>
      <c r="D18" s="227" t="s">
        <v>962</v>
      </c>
      <c r="E18" s="227" t="s">
        <v>14312</v>
      </c>
      <c r="F18" s="227" t="s">
        <v>68</v>
      </c>
      <c r="G18" s="195" t="s">
        <v>13938</v>
      </c>
      <c r="H18" s="195" t="s">
        <v>968</v>
      </c>
      <c r="I18" s="195" t="s">
        <v>13939</v>
      </c>
      <c r="J18" s="195" t="s">
        <v>14313</v>
      </c>
    </row>
    <row r="19" spans="1:10" ht="72" x14ac:dyDescent="0.3">
      <c r="A19" s="227" t="s">
        <v>73</v>
      </c>
      <c r="B19" s="227" t="s">
        <v>960</v>
      </c>
      <c r="C19" s="195" t="s">
        <v>969</v>
      </c>
      <c r="D19" s="227" t="s">
        <v>962</v>
      </c>
      <c r="E19" s="227" t="s">
        <v>14314</v>
      </c>
      <c r="F19" s="227" t="s">
        <v>73</v>
      </c>
      <c r="G19" s="195" t="s">
        <v>14156</v>
      </c>
      <c r="H19" s="195" t="s">
        <v>970</v>
      </c>
      <c r="I19" s="195" t="s">
        <v>14155</v>
      </c>
      <c r="J19" s="195" t="s">
        <v>14315</v>
      </c>
    </row>
    <row r="20" spans="1:10" ht="28.8" x14ac:dyDescent="0.3">
      <c r="A20" s="227" t="s">
        <v>64</v>
      </c>
      <c r="B20" s="227" t="s">
        <v>960</v>
      </c>
      <c r="C20" s="195" t="s">
        <v>971</v>
      </c>
      <c r="D20" s="227" t="s">
        <v>962</v>
      </c>
      <c r="E20" s="227" t="s">
        <v>14324</v>
      </c>
      <c r="F20" s="227" t="s">
        <v>64</v>
      </c>
      <c r="G20" s="195" t="s">
        <v>972</v>
      </c>
      <c r="H20" s="195" t="s">
        <v>973</v>
      </c>
      <c r="I20" s="195" t="s">
        <v>13118</v>
      </c>
      <c r="J20" s="195" t="s">
        <v>14325</v>
      </c>
    </row>
    <row r="21" spans="1:10" ht="86.4" x14ac:dyDescent="0.3">
      <c r="A21" s="227" t="s">
        <v>66</v>
      </c>
      <c r="B21" s="227" t="s">
        <v>960</v>
      </c>
      <c r="C21" s="195" t="s">
        <v>974</v>
      </c>
      <c r="D21" s="227" t="s">
        <v>962</v>
      </c>
      <c r="E21" s="227" t="s">
        <v>14328</v>
      </c>
      <c r="F21" s="227" t="s">
        <v>66</v>
      </c>
      <c r="G21" s="195" t="s">
        <v>14158</v>
      </c>
      <c r="H21" s="195" t="s">
        <v>975</v>
      </c>
      <c r="I21" s="195" t="s">
        <v>14157</v>
      </c>
      <c r="J21" s="195" t="s">
        <v>14329</v>
      </c>
    </row>
    <row r="22" spans="1:10" ht="57.6" x14ac:dyDescent="0.3">
      <c r="A22" s="227" t="s">
        <v>976</v>
      </c>
      <c r="B22" s="227" t="s">
        <v>960</v>
      </c>
      <c r="C22" s="195" t="s">
        <v>977</v>
      </c>
      <c r="D22" s="227" t="s">
        <v>962</v>
      </c>
      <c r="E22" s="227" t="s">
        <v>14322</v>
      </c>
      <c r="F22" s="227" t="s">
        <v>976</v>
      </c>
      <c r="G22" s="195" t="s">
        <v>14160</v>
      </c>
      <c r="H22" s="195" t="s">
        <v>978</v>
      </c>
      <c r="I22" s="195" t="s">
        <v>14159</v>
      </c>
      <c r="J22" s="195" t="s">
        <v>14323</v>
      </c>
    </row>
    <row r="23" spans="1:10" ht="28.8" x14ac:dyDescent="0.3">
      <c r="A23" s="227" t="s">
        <v>80</v>
      </c>
      <c r="B23" s="227" t="s">
        <v>960</v>
      </c>
      <c r="C23" s="195" t="s">
        <v>979</v>
      </c>
      <c r="D23" s="227" t="s">
        <v>962</v>
      </c>
      <c r="E23" s="227" t="s">
        <v>14318</v>
      </c>
      <c r="F23" s="227" t="s">
        <v>80</v>
      </c>
      <c r="G23" s="195" t="s">
        <v>980</v>
      </c>
      <c r="H23" s="195" t="s">
        <v>981</v>
      </c>
      <c r="I23" s="195" t="s">
        <v>13119</v>
      </c>
      <c r="J23" s="195" t="s">
        <v>14319</v>
      </c>
    </row>
    <row r="24" spans="1:10" ht="57.6" x14ac:dyDescent="0.3">
      <c r="A24" s="227" t="s">
        <v>982</v>
      </c>
      <c r="B24" s="227" t="s">
        <v>960</v>
      </c>
      <c r="C24" s="195" t="s">
        <v>983</v>
      </c>
      <c r="D24" s="227" t="s">
        <v>962</v>
      </c>
      <c r="E24" s="227" t="s">
        <v>14326</v>
      </c>
      <c r="F24" s="227" t="s">
        <v>61</v>
      </c>
      <c r="G24" s="195" t="s">
        <v>14162</v>
      </c>
      <c r="H24" s="195" t="s">
        <v>984</v>
      </c>
      <c r="I24" s="195" t="s">
        <v>14161</v>
      </c>
      <c r="J24" s="195" t="s">
        <v>14327</v>
      </c>
    </row>
    <row r="25" spans="1:10" x14ac:dyDescent="0.3">
      <c r="A25" s="228" t="s">
        <v>985</v>
      </c>
      <c r="B25" s="228" t="s">
        <v>986</v>
      </c>
      <c r="C25" s="229" t="s">
        <v>987</v>
      </c>
      <c r="D25" s="228" t="s">
        <v>988</v>
      </c>
      <c r="E25" s="228" t="s">
        <v>989</v>
      </c>
      <c r="F25" s="228" t="s">
        <v>985</v>
      </c>
      <c r="G25" s="229" t="s">
        <v>990</v>
      </c>
      <c r="H25" s="229" t="s">
        <v>991</v>
      </c>
      <c r="I25" s="229" t="s">
        <v>13120</v>
      </c>
      <c r="J25" s="229" t="s">
        <v>14330</v>
      </c>
    </row>
    <row r="26" spans="1:10" x14ac:dyDescent="0.3">
      <c r="A26" s="228" t="s">
        <v>992</v>
      </c>
      <c r="B26" s="228" t="s">
        <v>986</v>
      </c>
      <c r="C26" s="229" t="s">
        <v>993</v>
      </c>
      <c r="D26" s="228" t="s">
        <v>988</v>
      </c>
      <c r="E26" s="228" t="s">
        <v>989</v>
      </c>
      <c r="F26" s="228" t="s">
        <v>992</v>
      </c>
      <c r="G26" s="229" t="s">
        <v>994</v>
      </c>
      <c r="H26" s="229" t="s">
        <v>995</v>
      </c>
      <c r="I26" s="229"/>
      <c r="J26" s="229" t="s">
        <v>14331</v>
      </c>
    </row>
    <row r="27" spans="1:10" x14ac:dyDescent="0.3">
      <c r="A27" s="228" t="s">
        <v>996</v>
      </c>
      <c r="B27" s="228" t="s">
        <v>986</v>
      </c>
      <c r="C27" s="229" t="s">
        <v>997</v>
      </c>
      <c r="D27" s="228" t="s">
        <v>988</v>
      </c>
      <c r="E27" s="228" t="s">
        <v>989</v>
      </c>
      <c r="F27" s="228" t="s">
        <v>1389</v>
      </c>
      <c r="G27" s="229" t="s">
        <v>998</v>
      </c>
      <c r="H27" s="229" t="s">
        <v>999</v>
      </c>
      <c r="I27" s="229"/>
      <c r="J27" s="229" t="s">
        <v>14336</v>
      </c>
    </row>
    <row r="28" spans="1:10" x14ac:dyDescent="0.3">
      <c r="A28" s="228" t="s">
        <v>1000</v>
      </c>
      <c r="B28" s="228" t="s">
        <v>986</v>
      </c>
      <c r="C28" s="229" t="s">
        <v>1001</v>
      </c>
      <c r="D28" s="228" t="s">
        <v>988</v>
      </c>
      <c r="E28" s="228" t="s">
        <v>989</v>
      </c>
      <c r="F28" s="228" t="s">
        <v>1389</v>
      </c>
      <c r="G28" s="229" t="s">
        <v>1002</v>
      </c>
      <c r="H28" s="229" t="s">
        <v>13551</v>
      </c>
      <c r="I28" s="229"/>
      <c r="J28" s="229" t="s">
        <v>14337</v>
      </c>
    </row>
    <row r="29" spans="1:10" x14ac:dyDescent="0.3">
      <c r="A29" s="228" t="s">
        <v>1003</v>
      </c>
      <c r="B29" s="228" t="s">
        <v>986</v>
      </c>
      <c r="C29" s="229" t="s">
        <v>1004</v>
      </c>
      <c r="D29" s="228" t="s">
        <v>988</v>
      </c>
      <c r="E29" s="228" t="s">
        <v>989</v>
      </c>
      <c r="F29" s="228" t="s">
        <v>14</v>
      </c>
      <c r="G29" s="229" t="s">
        <v>1005</v>
      </c>
      <c r="H29" s="229" t="s">
        <v>1006</v>
      </c>
      <c r="I29" s="229"/>
      <c r="J29" s="229"/>
    </row>
    <row r="30" spans="1:10" x14ac:dyDescent="0.3">
      <c r="A30" s="228" t="s">
        <v>14332</v>
      </c>
      <c r="B30" s="228" t="s">
        <v>986</v>
      </c>
      <c r="C30" s="229" t="s">
        <v>14333</v>
      </c>
      <c r="D30" s="228" t="s">
        <v>988</v>
      </c>
      <c r="E30" s="228" t="s">
        <v>989</v>
      </c>
      <c r="F30" s="228" t="s">
        <v>14332</v>
      </c>
      <c r="G30" s="229"/>
      <c r="H30" s="229"/>
      <c r="I30" s="229"/>
      <c r="J30" s="229"/>
    </row>
    <row r="31" spans="1:10" x14ac:dyDescent="0.3">
      <c r="A31" s="228" t="s">
        <v>14334</v>
      </c>
      <c r="B31" s="228" t="s">
        <v>986</v>
      </c>
      <c r="C31" s="229" t="s">
        <v>14335</v>
      </c>
      <c r="D31" s="228" t="s">
        <v>988</v>
      </c>
      <c r="E31" s="228" t="s">
        <v>989</v>
      </c>
      <c r="F31" s="228" t="s">
        <v>14334</v>
      </c>
      <c r="G31" s="229"/>
      <c r="H31" s="229"/>
      <c r="I31" s="229"/>
      <c r="J31" s="229"/>
    </row>
    <row r="32" spans="1:10" x14ac:dyDescent="0.3">
      <c r="A32" s="230" t="s">
        <v>83</v>
      </c>
      <c r="B32" s="230" t="s">
        <v>1011</v>
      </c>
      <c r="C32" s="194" t="s">
        <v>1007</v>
      </c>
      <c r="D32" s="230" t="s">
        <v>988</v>
      </c>
      <c r="E32" s="230" t="s">
        <v>989</v>
      </c>
      <c r="F32" s="230" t="s">
        <v>14342</v>
      </c>
      <c r="G32" s="194" t="s">
        <v>1008</v>
      </c>
      <c r="H32" s="194" t="s">
        <v>1009</v>
      </c>
      <c r="I32" s="194"/>
      <c r="J32" s="194" t="s">
        <v>14343</v>
      </c>
    </row>
    <row r="33" spans="1:10" ht="28.8" x14ac:dyDescent="0.3">
      <c r="A33" s="230" t="s">
        <v>1010</v>
      </c>
      <c r="B33" s="230" t="s">
        <v>1011</v>
      </c>
      <c r="C33" s="194" t="s">
        <v>1012</v>
      </c>
      <c r="D33" s="230" t="s">
        <v>988</v>
      </c>
      <c r="E33" s="230" t="s">
        <v>989</v>
      </c>
      <c r="F33" s="230" t="s">
        <v>14338</v>
      </c>
      <c r="G33" s="194" t="s">
        <v>1013</v>
      </c>
      <c r="H33" s="194" t="s">
        <v>13552</v>
      </c>
      <c r="I33" s="194"/>
      <c r="J33" s="194" t="s">
        <v>14339</v>
      </c>
    </row>
    <row r="34" spans="1:10" x14ac:dyDescent="0.3">
      <c r="A34" s="230" t="s">
        <v>1014</v>
      </c>
      <c r="B34" s="230" t="s">
        <v>1011</v>
      </c>
      <c r="C34" s="194" t="s">
        <v>1015</v>
      </c>
      <c r="D34" s="230" t="s">
        <v>988</v>
      </c>
      <c r="E34" s="230" t="s">
        <v>989</v>
      </c>
      <c r="F34" s="230" t="s">
        <v>14340</v>
      </c>
      <c r="G34" s="194" t="s">
        <v>1016</v>
      </c>
      <c r="H34" s="194" t="s">
        <v>1017</v>
      </c>
      <c r="I34" s="194"/>
      <c r="J34" s="194" t="s">
        <v>14341</v>
      </c>
    </row>
    <row r="35" spans="1:10" x14ac:dyDescent="0.3">
      <c r="A35" s="230" t="s">
        <v>14372</v>
      </c>
      <c r="B35" s="230" t="s">
        <v>1011</v>
      </c>
      <c r="C35" s="194" t="s">
        <v>1018</v>
      </c>
      <c r="D35" s="230" t="s">
        <v>988</v>
      </c>
      <c r="E35" s="230" t="s">
        <v>989</v>
      </c>
      <c r="F35" s="230" t="s">
        <v>14344</v>
      </c>
      <c r="G35" s="194" t="s">
        <v>1019</v>
      </c>
      <c r="H35" s="194" t="s">
        <v>1020</v>
      </c>
      <c r="I35" s="194"/>
      <c r="J35" s="194" t="s">
        <v>14345</v>
      </c>
    </row>
    <row r="36" spans="1:10" x14ac:dyDescent="0.3">
      <c r="A36" s="230" t="s">
        <v>1021</v>
      </c>
      <c r="B36" s="230" t="s">
        <v>1011</v>
      </c>
      <c r="C36" s="194" t="s">
        <v>1022</v>
      </c>
      <c r="D36" s="230" t="s">
        <v>988</v>
      </c>
      <c r="E36" s="230" t="s">
        <v>989</v>
      </c>
      <c r="F36" s="230" t="s">
        <v>14</v>
      </c>
      <c r="G36" s="194" t="s">
        <v>1023</v>
      </c>
      <c r="H36" s="194" t="s">
        <v>1024</v>
      </c>
      <c r="I36" s="194"/>
      <c r="J36" s="194"/>
    </row>
    <row r="37" spans="1:10" x14ac:dyDescent="0.3">
      <c r="A37" s="231" t="s">
        <v>591</v>
      </c>
      <c r="B37" s="231" t="s">
        <v>1025</v>
      </c>
      <c r="C37" s="232" t="s">
        <v>1026</v>
      </c>
      <c r="D37" s="231" t="s">
        <v>988</v>
      </c>
      <c r="E37" s="231" t="s">
        <v>1027</v>
      </c>
      <c r="F37" s="231" t="s">
        <v>14</v>
      </c>
      <c r="G37" s="232" t="s">
        <v>1028</v>
      </c>
      <c r="H37" s="232" t="s">
        <v>1029</v>
      </c>
      <c r="I37" s="232"/>
      <c r="J37" s="232"/>
    </row>
    <row r="38" spans="1:10" x14ac:dyDescent="0.3">
      <c r="A38" s="231" t="s">
        <v>1030</v>
      </c>
      <c r="B38" s="231" t="s">
        <v>1025</v>
      </c>
      <c r="C38" s="232" t="s">
        <v>1031</v>
      </c>
      <c r="D38" s="231" t="s">
        <v>988</v>
      </c>
      <c r="E38" s="231" t="s">
        <v>1027</v>
      </c>
      <c r="F38" s="231" t="s">
        <v>14</v>
      </c>
      <c r="G38" s="232" t="s">
        <v>1032</v>
      </c>
      <c r="H38" s="232" t="s">
        <v>1033</v>
      </c>
      <c r="I38" s="232"/>
      <c r="J38" s="232"/>
    </row>
    <row r="39" spans="1:10" x14ac:dyDescent="0.3">
      <c r="A39" s="231" t="s">
        <v>14346</v>
      </c>
      <c r="B39" s="231" t="s">
        <v>1025</v>
      </c>
      <c r="C39" s="232" t="s">
        <v>14373</v>
      </c>
      <c r="D39" s="231" t="s">
        <v>988</v>
      </c>
      <c r="E39" s="231" t="s">
        <v>1027</v>
      </c>
      <c r="F39" s="231" t="s">
        <v>14346</v>
      </c>
      <c r="G39" s="232"/>
      <c r="H39" s="232"/>
      <c r="I39" s="232"/>
      <c r="J39" s="232" t="s">
        <v>14347</v>
      </c>
    </row>
    <row r="40" spans="1:10" x14ac:dyDescent="0.3">
      <c r="A40" s="231" t="s">
        <v>14348</v>
      </c>
      <c r="B40" s="231" t="s">
        <v>1025</v>
      </c>
      <c r="C40" s="232" t="s">
        <v>14349</v>
      </c>
      <c r="D40" s="231" t="s">
        <v>988</v>
      </c>
      <c r="E40" s="231" t="s">
        <v>1027</v>
      </c>
      <c r="F40" s="231" t="s">
        <v>14348</v>
      </c>
      <c r="G40" s="232"/>
      <c r="H40" s="232"/>
      <c r="I40" s="232"/>
      <c r="J40" s="232"/>
    </row>
    <row r="41" spans="1:10" x14ac:dyDescent="0.3">
      <c r="A41" s="233" t="s">
        <v>567</v>
      </c>
      <c r="B41" s="233" t="s">
        <v>1034</v>
      </c>
      <c r="C41" s="188" t="s">
        <v>1839</v>
      </c>
      <c r="D41" s="233" t="s">
        <v>988</v>
      </c>
      <c r="E41" s="233" t="s">
        <v>1035</v>
      </c>
      <c r="F41" s="233" t="s">
        <v>14</v>
      </c>
      <c r="G41" s="188" t="s">
        <v>1036</v>
      </c>
      <c r="H41" s="188" t="s">
        <v>1037</v>
      </c>
      <c r="I41" s="188"/>
      <c r="J41" s="188"/>
    </row>
    <row r="42" spans="1:10" ht="28.8" x14ac:dyDescent="0.3">
      <c r="A42" s="233" t="s">
        <v>1038</v>
      </c>
      <c r="B42" s="233" t="s">
        <v>1034</v>
      </c>
      <c r="C42" s="188" t="s">
        <v>1039</v>
      </c>
      <c r="D42" s="233" t="s">
        <v>988</v>
      </c>
      <c r="E42" s="233" t="s">
        <v>1035</v>
      </c>
      <c r="F42" s="233" t="s">
        <v>14</v>
      </c>
      <c r="G42" s="188" t="s">
        <v>1040</v>
      </c>
      <c r="H42" s="188" t="s">
        <v>1041</v>
      </c>
      <c r="I42" s="188"/>
      <c r="J42" s="188"/>
    </row>
    <row r="43" spans="1:10" x14ac:dyDescent="0.3">
      <c r="A43" s="233" t="s">
        <v>14350</v>
      </c>
      <c r="B43" s="233" t="s">
        <v>1034</v>
      </c>
      <c r="C43" s="188" t="s">
        <v>14351</v>
      </c>
      <c r="D43" s="233" t="s">
        <v>988</v>
      </c>
      <c r="E43" s="233" t="s">
        <v>1035</v>
      </c>
      <c r="F43" s="233" t="s">
        <v>14350</v>
      </c>
      <c r="G43" s="188"/>
      <c r="H43" s="188"/>
      <c r="I43" s="188"/>
      <c r="J43" s="188"/>
    </row>
    <row r="44" spans="1:10" x14ac:dyDescent="0.3">
      <c r="A44" s="233" t="s">
        <v>14352</v>
      </c>
      <c r="B44" s="233" t="s">
        <v>1034</v>
      </c>
      <c r="C44" s="188" t="s">
        <v>14354</v>
      </c>
      <c r="D44" s="233" t="s">
        <v>988</v>
      </c>
      <c r="E44" s="233" t="s">
        <v>1035</v>
      </c>
      <c r="F44" s="233" t="s">
        <v>14353</v>
      </c>
      <c r="G44" s="188"/>
      <c r="H44" s="188"/>
      <c r="I44" s="188"/>
      <c r="J44" s="188"/>
    </row>
    <row r="45" spans="1:10" x14ac:dyDescent="0.3">
      <c r="A45" s="234" t="s">
        <v>1042</v>
      </c>
      <c r="B45" s="234" t="s">
        <v>1043</v>
      </c>
      <c r="C45" s="235" t="s">
        <v>1044</v>
      </c>
      <c r="D45" s="234" t="s">
        <v>988</v>
      </c>
      <c r="E45" s="234" t="s">
        <v>989</v>
      </c>
      <c r="F45" s="234" t="s">
        <v>14</v>
      </c>
      <c r="G45" s="235" t="s">
        <v>1045</v>
      </c>
      <c r="H45" s="235" t="s">
        <v>1046</v>
      </c>
      <c r="I45" s="235"/>
      <c r="J45" s="235"/>
    </row>
    <row r="46" spans="1:10" x14ac:dyDescent="0.3">
      <c r="A46" s="234" t="s">
        <v>1047</v>
      </c>
      <c r="B46" s="234" t="s">
        <v>1043</v>
      </c>
      <c r="C46" s="235" t="s">
        <v>1048</v>
      </c>
      <c r="D46" s="234" t="s">
        <v>988</v>
      </c>
      <c r="E46" s="234" t="s">
        <v>989</v>
      </c>
      <c r="F46" s="234" t="s">
        <v>14</v>
      </c>
      <c r="G46" s="235" t="s">
        <v>1049</v>
      </c>
      <c r="H46" s="235" t="s">
        <v>1050</v>
      </c>
      <c r="I46" s="235"/>
      <c r="J46" s="235"/>
    </row>
    <row r="47" spans="1:10" x14ac:dyDescent="0.3">
      <c r="A47" s="234" t="s">
        <v>1051</v>
      </c>
      <c r="B47" s="234" t="s">
        <v>1043</v>
      </c>
      <c r="C47" s="235" t="s">
        <v>1052</v>
      </c>
      <c r="D47" s="234" t="s">
        <v>988</v>
      </c>
      <c r="E47" s="234" t="s">
        <v>989</v>
      </c>
      <c r="F47" s="234" t="s">
        <v>14</v>
      </c>
      <c r="G47" s="235" t="s">
        <v>1053</v>
      </c>
      <c r="H47" s="235" t="s">
        <v>1054</v>
      </c>
      <c r="I47" s="235"/>
      <c r="J47" s="235"/>
    </row>
    <row r="48" spans="1:10" x14ac:dyDescent="0.3">
      <c r="A48" s="234" t="s">
        <v>14355</v>
      </c>
      <c r="B48" s="234" t="s">
        <v>1043</v>
      </c>
      <c r="C48" s="235" t="s">
        <v>14356</v>
      </c>
      <c r="D48" s="234" t="s">
        <v>988</v>
      </c>
      <c r="E48" s="234" t="s">
        <v>989</v>
      </c>
      <c r="F48" s="234" t="s">
        <v>14355</v>
      </c>
      <c r="G48" s="235"/>
      <c r="H48" s="235"/>
      <c r="I48" s="235"/>
      <c r="J48" s="235"/>
    </row>
    <row r="49" spans="1:10" x14ac:dyDescent="0.3">
      <c r="A49" s="234" t="s">
        <v>1389</v>
      </c>
      <c r="B49" s="234" t="s">
        <v>1043</v>
      </c>
      <c r="C49" s="235" t="s">
        <v>14357</v>
      </c>
      <c r="D49" s="234" t="s">
        <v>988</v>
      </c>
      <c r="E49" s="234" t="s">
        <v>989</v>
      </c>
      <c r="F49" s="234" t="s">
        <v>1389</v>
      </c>
      <c r="G49" s="235"/>
      <c r="H49" s="235"/>
      <c r="I49" s="235"/>
      <c r="J49" s="235"/>
    </row>
    <row r="50" spans="1:10" x14ac:dyDescent="0.3">
      <c r="A50" s="234" t="s">
        <v>14358</v>
      </c>
      <c r="B50" s="234" t="s">
        <v>1043</v>
      </c>
      <c r="C50" s="235" t="s">
        <v>14360</v>
      </c>
      <c r="D50" s="234" t="s">
        <v>988</v>
      </c>
      <c r="E50" s="234" t="s">
        <v>989</v>
      </c>
      <c r="F50" s="234" t="s">
        <v>14359</v>
      </c>
      <c r="G50" s="235"/>
      <c r="H50" s="235"/>
      <c r="I50" s="235"/>
      <c r="J50" s="235"/>
    </row>
    <row r="52" spans="1:10" x14ac:dyDescent="0.3">
      <c r="A52" s="220" t="s">
        <v>14361</v>
      </c>
      <c r="B52" s="220"/>
      <c r="C52" s="220"/>
      <c r="D52" s="220"/>
      <c r="E52" s="220"/>
      <c r="F52" s="220"/>
      <c r="G52" s="220"/>
      <c r="H52" s="220"/>
      <c r="I52" s="220"/>
      <c r="J52" s="220"/>
    </row>
    <row r="53" spans="1:10" x14ac:dyDescent="0.3">
      <c r="A53" s="221" t="s">
        <v>954</v>
      </c>
      <c r="B53" s="221" t="s">
        <v>1398</v>
      </c>
    </row>
    <row r="54" spans="1:10" x14ac:dyDescent="0.3">
      <c r="A54" t="s">
        <v>14362</v>
      </c>
      <c r="B54">
        <f>COUNTIF($B$15:$B$50,"TXN")</f>
        <v>10</v>
      </c>
    </row>
    <row r="55" spans="1:10" x14ac:dyDescent="0.3">
      <c r="A55" t="s">
        <v>14363</v>
      </c>
      <c r="B55">
        <f>COUNTIF($B$15:$B$50,"REF")</f>
        <v>7</v>
      </c>
    </row>
    <row r="56" spans="1:10" x14ac:dyDescent="0.3">
      <c r="A56" t="s">
        <v>14364</v>
      </c>
      <c r="B56">
        <f>COUNTIF($B$15:$B$50,"OPS")</f>
        <v>5</v>
      </c>
    </row>
    <row r="57" spans="1:10" x14ac:dyDescent="0.3">
      <c r="A57" t="s">
        <v>14365</v>
      </c>
      <c r="B57">
        <f>COUNTIF($B$15:$B$50,"AUD")</f>
        <v>4</v>
      </c>
    </row>
    <row r="58" spans="1:10" x14ac:dyDescent="0.3">
      <c r="A58" t="s">
        <v>14366</v>
      </c>
      <c r="B58">
        <f>COUNTIF($B$15:$B$50,"DRV")</f>
        <v>4</v>
      </c>
    </row>
    <row r="59" spans="1:10" x14ac:dyDescent="0.3">
      <c r="A59" t="s">
        <v>14367</v>
      </c>
      <c r="B59">
        <f>COUNTIF($B$15:$B$50,"CFG")</f>
        <v>6</v>
      </c>
    </row>
    <row r="60" spans="1:10" x14ac:dyDescent="0.3">
      <c r="A60" s="39" t="s">
        <v>4458</v>
      </c>
      <c r="B60" s="39">
        <f>SUM(B54:B59)</f>
        <v>36</v>
      </c>
    </row>
    <row r="62" spans="1:10" x14ac:dyDescent="0.3">
      <c r="A62" s="226" t="s">
        <v>14374</v>
      </c>
    </row>
  </sheetData>
  <mergeCells count="5">
    <mergeCell ref="A1:J1"/>
    <mergeCell ref="A2:J2"/>
    <mergeCell ref="A4:J4"/>
    <mergeCell ref="A13:J13"/>
    <mergeCell ref="A52:J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178A-36B5-4777-92CA-E3D0B196B02D}">
  <dimension ref="A1:I330"/>
  <sheetViews>
    <sheetView workbookViewId="0">
      <selection sqref="A1:G1"/>
    </sheetView>
  </sheetViews>
  <sheetFormatPr defaultRowHeight="14.4" x14ac:dyDescent="0.3"/>
  <cols>
    <col min="1" max="1" width="31.44140625" customWidth="1"/>
    <col min="2" max="2" width="20.33203125" customWidth="1"/>
    <col min="3" max="9" width="29.6640625" customWidth="1"/>
  </cols>
  <sheetData>
    <row r="1" spans="1:9" ht="23.4" x14ac:dyDescent="0.3">
      <c r="A1" s="276" t="s">
        <v>15008</v>
      </c>
      <c r="B1" s="274"/>
      <c r="C1" s="274"/>
      <c r="D1" s="274"/>
      <c r="E1" s="274"/>
      <c r="F1" s="274"/>
      <c r="G1" s="274"/>
    </row>
    <row r="2" spans="1:9" x14ac:dyDescent="0.3">
      <c r="A2" s="277" t="s">
        <v>15009</v>
      </c>
      <c r="B2" s="275"/>
      <c r="C2" s="275"/>
      <c r="D2" s="275"/>
      <c r="E2" s="275"/>
      <c r="F2" s="275"/>
      <c r="G2" s="275"/>
    </row>
    <row r="3" spans="1:9" x14ac:dyDescent="0.3">
      <c r="A3" s="278" t="s">
        <v>15010</v>
      </c>
      <c r="B3" s="275"/>
      <c r="C3" s="275"/>
      <c r="D3" s="275"/>
      <c r="E3" s="275"/>
      <c r="F3" s="275"/>
      <c r="G3" s="275"/>
    </row>
    <row r="5" spans="1:9" x14ac:dyDescent="0.3">
      <c r="A5" s="279" t="s">
        <v>15007</v>
      </c>
      <c r="B5" s="279"/>
      <c r="C5" s="279"/>
      <c r="D5" s="279"/>
      <c r="E5" s="279"/>
      <c r="F5" s="279"/>
      <c r="G5" s="279"/>
      <c r="H5" s="153"/>
      <c r="I5" s="153"/>
    </row>
    <row r="6" spans="1:9" x14ac:dyDescent="0.3">
      <c r="A6" s="280" t="s">
        <v>13582</v>
      </c>
      <c r="B6" s="280" t="s">
        <v>1507</v>
      </c>
      <c r="C6" s="280" t="s">
        <v>15006</v>
      </c>
      <c r="D6" s="153"/>
      <c r="E6" s="153"/>
      <c r="F6" s="153"/>
      <c r="G6" s="153"/>
      <c r="H6" s="153"/>
      <c r="I6" s="153"/>
    </row>
    <row r="7" spans="1:9" x14ac:dyDescent="0.3">
      <c r="A7" s="153" t="s">
        <v>15005</v>
      </c>
      <c r="B7" s="153">
        <v>8</v>
      </c>
      <c r="C7" s="153" t="s">
        <v>15011</v>
      </c>
      <c r="D7" s="153"/>
      <c r="E7" s="153"/>
      <c r="F7" s="153"/>
      <c r="G7" s="153"/>
      <c r="H7" s="153"/>
      <c r="I7" s="153"/>
    </row>
    <row r="8" spans="1:9" x14ac:dyDescent="0.3">
      <c r="A8" s="153" t="s">
        <v>15004</v>
      </c>
      <c r="B8" s="153">
        <v>84</v>
      </c>
      <c r="C8" s="153" t="s">
        <v>15003</v>
      </c>
      <c r="D8" s="153"/>
      <c r="E8" s="153"/>
      <c r="F8" s="153"/>
      <c r="G8" s="153"/>
      <c r="H8" s="153"/>
      <c r="I8" s="153"/>
    </row>
    <row r="9" spans="1:9" x14ac:dyDescent="0.3">
      <c r="A9" s="153" t="s">
        <v>15002</v>
      </c>
      <c r="B9" s="153">
        <v>80</v>
      </c>
      <c r="C9" s="153" t="s">
        <v>15001</v>
      </c>
      <c r="D9" s="153"/>
      <c r="E9" s="153"/>
      <c r="F9" s="153"/>
      <c r="G9" s="153"/>
      <c r="H9" s="153"/>
      <c r="I9" s="153"/>
    </row>
    <row r="10" spans="1:9" ht="28.8" x14ac:dyDescent="0.3">
      <c r="A10" s="153" t="s">
        <v>15000</v>
      </c>
      <c r="B10" s="153" t="s">
        <v>14999</v>
      </c>
      <c r="C10" s="153" t="s">
        <v>14998</v>
      </c>
      <c r="D10" s="153"/>
      <c r="E10" s="153"/>
      <c r="F10" s="153"/>
      <c r="G10" s="153"/>
      <c r="H10" s="153"/>
      <c r="I10" s="153"/>
    </row>
    <row r="11" spans="1:9" x14ac:dyDescent="0.3">
      <c r="A11" s="153" t="s">
        <v>14355</v>
      </c>
      <c r="B11" s="153" t="s">
        <v>14997</v>
      </c>
      <c r="C11" s="153" t="s">
        <v>14996</v>
      </c>
      <c r="D11" s="153"/>
      <c r="E11" s="153"/>
      <c r="F11" s="153"/>
      <c r="G11" s="153"/>
      <c r="H11" s="153"/>
      <c r="I11" s="153"/>
    </row>
    <row r="12" spans="1:9" x14ac:dyDescent="0.3">
      <c r="A12" s="153"/>
      <c r="B12" s="153"/>
      <c r="C12" s="153"/>
      <c r="D12" s="153"/>
      <c r="E12" s="153"/>
      <c r="F12" s="153"/>
      <c r="G12" s="153"/>
      <c r="H12" s="153"/>
      <c r="I12" s="153"/>
    </row>
    <row r="13" spans="1:9" x14ac:dyDescent="0.3">
      <c r="A13" s="279" t="s">
        <v>14995</v>
      </c>
      <c r="B13" s="279"/>
      <c r="C13" s="279"/>
      <c r="D13" s="279"/>
      <c r="E13" s="279"/>
      <c r="F13" s="279"/>
      <c r="G13" s="279"/>
      <c r="H13" s="153"/>
      <c r="I13" s="153"/>
    </row>
    <row r="14" spans="1:9" x14ac:dyDescent="0.3">
      <c r="A14" s="280" t="s">
        <v>15012</v>
      </c>
      <c r="B14" s="153"/>
      <c r="C14" s="153"/>
      <c r="D14" s="153"/>
      <c r="E14" s="153"/>
      <c r="F14" s="153"/>
      <c r="G14" s="153"/>
      <c r="H14" s="153"/>
      <c r="I14" s="153"/>
    </row>
    <row r="15" spans="1:9" x14ac:dyDescent="0.3">
      <c r="A15" s="153" t="s">
        <v>1158</v>
      </c>
      <c r="B15" s="153"/>
      <c r="C15" s="153"/>
      <c r="D15" s="153"/>
      <c r="E15" s="153"/>
      <c r="F15" s="153"/>
      <c r="G15" s="153"/>
      <c r="H15" s="153"/>
      <c r="I15" s="153"/>
    </row>
    <row r="16" spans="1:9" x14ac:dyDescent="0.3">
      <c r="A16" s="153" t="s">
        <v>14994</v>
      </c>
      <c r="B16" s="153"/>
      <c r="C16" s="153"/>
      <c r="D16" s="153"/>
      <c r="E16" s="153"/>
      <c r="F16" s="153"/>
      <c r="G16" s="153"/>
      <c r="H16" s="153"/>
      <c r="I16" s="153"/>
    </row>
    <row r="17" spans="1:9" x14ac:dyDescent="0.3">
      <c r="A17" s="153" t="s">
        <v>14993</v>
      </c>
      <c r="B17" s="153"/>
      <c r="C17" s="153"/>
      <c r="D17" s="153"/>
      <c r="E17" s="153"/>
      <c r="F17" s="153"/>
      <c r="G17" s="153"/>
      <c r="H17" s="153"/>
      <c r="I17" s="153"/>
    </row>
    <row r="18" spans="1:9" x14ac:dyDescent="0.3">
      <c r="A18" s="153" t="s">
        <v>14992</v>
      </c>
      <c r="B18" s="153"/>
      <c r="C18" s="153"/>
      <c r="D18" s="153"/>
      <c r="E18" s="153"/>
      <c r="F18" s="153"/>
      <c r="G18" s="153"/>
      <c r="H18" s="153"/>
      <c r="I18" s="153"/>
    </row>
    <row r="19" spans="1:9" x14ac:dyDescent="0.3">
      <c r="A19" s="153" t="s">
        <v>14991</v>
      </c>
      <c r="B19" s="153"/>
      <c r="C19" s="153"/>
      <c r="D19" s="153"/>
      <c r="E19" s="153"/>
      <c r="F19" s="153"/>
      <c r="G19" s="153"/>
      <c r="H19" s="153"/>
      <c r="I19" s="153"/>
    </row>
    <row r="20" spans="1:9" x14ac:dyDescent="0.3">
      <c r="A20" s="153" t="s">
        <v>1159</v>
      </c>
      <c r="B20" s="153"/>
      <c r="C20" s="153"/>
      <c r="D20" s="153"/>
      <c r="E20" s="153"/>
      <c r="F20" s="153"/>
      <c r="G20" s="153"/>
      <c r="H20" s="153"/>
      <c r="I20" s="153"/>
    </row>
    <row r="21" spans="1:9" x14ac:dyDescent="0.3">
      <c r="A21" s="153" t="s">
        <v>14990</v>
      </c>
      <c r="B21" s="153"/>
      <c r="C21" s="153"/>
      <c r="D21" s="153"/>
      <c r="E21" s="153"/>
      <c r="F21" s="153"/>
      <c r="G21" s="153"/>
      <c r="H21" s="153"/>
      <c r="I21" s="153"/>
    </row>
    <row r="22" spans="1:9" x14ac:dyDescent="0.3">
      <c r="A22" s="153" t="s">
        <v>152</v>
      </c>
      <c r="B22" s="153"/>
      <c r="C22" s="153"/>
      <c r="D22" s="153"/>
      <c r="E22" s="153"/>
      <c r="F22" s="153"/>
      <c r="G22" s="153"/>
      <c r="H22" s="153"/>
      <c r="I22" s="153"/>
    </row>
    <row r="23" spans="1:9" x14ac:dyDescent="0.3">
      <c r="A23" s="153"/>
      <c r="B23" s="153"/>
      <c r="C23" s="153"/>
      <c r="D23" s="153"/>
      <c r="E23" s="153"/>
      <c r="F23" s="153"/>
      <c r="G23" s="153"/>
      <c r="H23" s="153"/>
      <c r="I23" s="153"/>
    </row>
    <row r="24" spans="1:9" x14ac:dyDescent="0.3">
      <c r="A24" s="279" t="s">
        <v>14989</v>
      </c>
      <c r="B24" s="279"/>
      <c r="C24" s="279"/>
      <c r="D24" s="279"/>
      <c r="E24" s="279"/>
      <c r="F24" s="279"/>
      <c r="G24" s="279"/>
      <c r="H24" s="153"/>
      <c r="I24" s="153"/>
    </row>
    <row r="25" spans="1:9" x14ac:dyDescent="0.3">
      <c r="A25" s="280" t="s">
        <v>15013</v>
      </c>
      <c r="B25" s="280" t="s">
        <v>1120</v>
      </c>
      <c r="C25" s="280" t="s">
        <v>15014</v>
      </c>
      <c r="D25" s="280" t="s">
        <v>1</v>
      </c>
      <c r="E25" s="280" t="s">
        <v>14986</v>
      </c>
      <c r="F25" s="280" t="s">
        <v>14987</v>
      </c>
      <c r="G25" s="280" t="s">
        <v>1141</v>
      </c>
      <c r="H25" s="153"/>
      <c r="I25" s="153"/>
    </row>
    <row r="26" spans="1:9" x14ac:dyDescent="0.3">
      <c r="A26" s="153" t="s">
        <v>1142</v>
      </c>
      <c r="B26" s="153" t="s">
        <v>1143</v>
      </c>
      <c r="C26" s="153" t="s">
        <v>1143</v>
      </c>
      <c r="D26" s="153" t="s">
        <v>14985</v>
      </c>
      <c r="E26" s="153" t="s">
        <v>14979</v>
      </c>
      <c r="F26" s="153">
        <v>1</v>
      </c>
      <c r="G26" s="153" t="s">
        <v>988</v>
      </c>
      <c r="H26" s="153"/>
      <c r="I26" s="153"/>
    </row>
    <row r="27" spans="1:9" x14ac:dyDescent="0.3">
      <c r="A27" s="153" t="s">
        <v>1078</v>
      </c>
      <c r="B27" s="153" t="s">
        <v>14638</v>
      </c>
      <c r="C27" s="153" t="s">
        <v>1144</v>
      </c>
      <c r="D27" s="153" t="s">
        <v>14984</v>
      </c>
      <c r="E27" s="153" t="s">
        <v>1499</v>
      </c>
      <c r="F27" s="153">
        <v>2</v>
      </c>
      <c r="G27" s="153" t="s">
        <v>962</v>
      </c>
      <c r="H27" s="153"/>
      <c r="I27" s="153"/>
    </row>
    <row r="28" spans="1:9" x14ac:dyDescent="0.3">
      <c r="A28" s="153" t="s">
        <v>1145</v>
      </c>
      <c r="B28" s="153" t="s">
        <v>1081</v>
      </c>
      <c r="C28" s="153" t="s">
        <v>1081</v>
      </c>
      <c r="D28" s="153" t="s">
        <v>14983</v>
      </c>
      <c r="E28" s="153" t="s">
        <v>1499</v>
      </c>
      <c r="F28" s="153">
        <v>3</v>
      </c>
      <c r="G28" s="153" t="s">
        <v>962</v>
      </c>
      <c r="H28" s="153"/>
      <c r="I28" s="153"/>
    </row>
    <row r="29" spans="1:9" ht="28.8" x14ac:dyDescent="0.3">
      <c r="A29" s="153" t="s">
        <v>14982</v>
      </c>
      <c r="B29" s="153" t="s">
        <v>14631</v>
      </c>
      <c r="C29" s="153" t="s">
        <v>1146</v>
      </c>
      <c r="D29" s="153" t="s">
        <v>14981</v>
      </c>
      <c r="E29" s="153" t="s">
        <v>1499</v>
      </c>
      <c r="F29" s="153">
        <v>4</v>
      </c>
      <c r="G29" s="153" t="s">
        <v>962</v>
      </c>
      <c r="H29" s="153"/>
      <c r="I29" s="153"/>
    </row>
    <row r="30" spans="1:9" x14ac:dyDescent="0.3">
      <c r="A30" s="153" t="s">
        <v>1147</v>
      </c>
      <c r="B30" s="153" t="s">
        <v>14980</v>
      </c>
      <c r="C30" s="153" t="s">
        <v>1148</v>
      </c>
      <c r="D30" s="153" t="s">
        <v>1149</v>
      </c>
      <c r="E30" s="153" t="s">
        <v>14979</v>
      </c>
      <c r="F30" s="153">
        <v>5</v>
      </c>
      <c r="G30" s="153" t="s">
        <v>1150</v>
      </c>
      <c r="H30" s="153"/>
      <c r="I30" s="153"/>
    </row>
    <row r="31" spans="1:9" x14ac:dyDescent="0.3">
      <c r="A31" s="153" t="s">
        <v>1151</v>
      </c>
      <c r="B31" s="153" t="s">
        <v>1152</v>
      </c>
      <c r="C31" s="153" t="s">
        <v>1152</v>
      </c>
      <c r="D31" s="153" t="s">
        <v>14978</v>
      </c>
      <c r="E31" s="153" t="s">
        <v>14979</v>
      </c>
      <c r="F31" s="153">
        <v>6</v>
      </c>
      <c r="G31" s="153" t="s">
        <v>962</v>
      </c>
      <c r="H31" s="153"/>
      <c r="I31" s="153"/>
    </row>
    <row r="32" spans="1:9" x14ac:dyDescent="0.3">
      <c r="A32" s="153"/>
      <c r="B32" s="153"/>
      <c r="C32" s="153"/>
      <c r="D32" s="153"/>
      <c r="E32" s="153"/>
      <c r="F32" s="153"/>
      <c r="G32" s="153"/>
      <c r="H32" s="153"/>
      <c r="I32" s="153"/>
    </row>
    <row r="33" spans="1:9" x14ac:dyDescent="0.3">
      <c r="A33" s="279" t="s">
        <v>14977</v>
      </c>
      <c r="B33" s="279"/>
      <c r="C33" s="279"/>
      <c r="D33" s="279"/>
      <c r="E33" s="279"/>
      <c r="F33" s="279"/>
      <c r="G33" s="279"/>
      <c r="H33" s="153"/>
      <c r="I33" s="153"/>
    </row>
    <row r="34" spans="1:9" x14ac:dyDescent="0.3">
      <c r="A34" s="280" t="s">
        <v>1119</v>
      </c>
      <c r="B34" s="280" t="s">
        <v>1120</v>
      </c>
      <c r="C34" s="280" t="s">
        <v>14976</v>
      </c>
      <c r="D34" s="280" t="s">
        <v>14975</v>
      </c>
      <c r="E34" s="280" t="s">
        <v>14974</v>
      </c>
      <c r="F34" s="280" t="s">
        <v>14973</v>
      </c>
      <c r="G34" s="280" t="s">
        <v>15015</v>
      </c>
      <c r="H34" s="280" t="s">
        <v>1121</v>
      </c>
      <c r="I34" s="280" t="s">
        <v>14295</v>
      </c>
    </row>
    <row r="35" spans="1:9" x14ac:dyDescent="0.3">
      <c r="A35" s="153" t="s">
        <v>1122</v>
      </c>
      <c r="B35" s="153" t="s">
        <v>1123</v>
      </c>
      <c r="C35" s="153">
        <v>3</v>
      </c>
      <c r="D35" s="153">
        <v>2</v>
      </c>
      <c r="E35" s="153">
        <v>1</v>
      </c>
      <c r="F35" s="153" t="s">
        <v>14972</v>
      </c>
      <c r="G35" s="153" t="s">
        <v>1509</v>
      </c>
      <c r="H35" s="153" t="s">
        <v>1124</v>
      </c>
      <c r="I35" s="153" t="s">
        <v>14971</v>
      </c>
    </row>
    <row r="36" spans="1:9" ht="28.8" x14ac:dyDescent="0.3">
      <c r="A36" s="153" t="s">
        <v>1125</v>
      </c>
      <c r="B36" s="153" t="s">
        <v>1126</v>
      </c>
      <c r="C36" s="153">
        <v>5</v>
      </c>
      <c r="D36" s="153">
        <v>3</v>
      </c>
      <c r="E36" s="153">
        <v>2</v>
      </c>
      <c r="F36" s="153" t="s">
        <v>14970</v>
      </c>
      <c r="G36" s="153" t="s">
        <v>1509</v>
      </c>
      <c r="H36" s="153" t="s">
        <v>1127</v>
      </c>
      <c r="I36" s="153" t="s">
        <v>14969</v>
      </c>
    </row>
    <row r="37" spans="1:9" ht="28.8" x14ac:dyDescent="0.3">
      <c r="A37" s="153" t="s">
        <v>1128</v>
      </c>
      <c r="B37" s="153" t="s">
        <v>1129</v>
      </c>
      <c r="C37" s="153">
        <v>10</v>
      </c>
      <c r="D37" s="153">
        <v>5</v>
      </c>
      <c r="E37" s="153">
        <v>4</v>
      </c>
      <c r="F37" s="153" t="s">
        <v>14968</v>
      </c>
      <c r="G37" s="153" t="s">
        <v>1514</v>
      </c>
      <c r="H37" s="153" t="s">
        <v>1130</v>
      </c>
      <c r="I37" s="153" t="s">
        <v>14967</v>
      </c>
    </row>
    <row r="38" spans="1:9" x14ac:dyDescent="0.3">
      <c r="A38" s="153"/>
      <c r="B38" s="153"/>
      <c r="C38" s="153"/>
      <c r="D38" s="153"/>
      <c r="E38" s="153"/>
      <c r="F38" s="153"/>
      <c r="G38" s="153"/>
      <c r="H38" s="153"/>
      <c r="I38" s="153"/>
    </row>
    <row r="39" spans="1:9" x14ac:dyDescent="0.3">
      <c r="A39" s="279" t="s">
        <v>14966</v>
      </c>
      <c r="B39" s="279"/>
      <c r="C39" s="279"/>
      <c r="D39" s="279"/>
      <c r="E39" s="279"/>
      <c r="F39" s="279"/>
      <c r="G39" s="279"/>
      <c r="H39" s="153"/>
      <c r="I39" s="153"/>
    </row>
    <row r="40" spans="1:9" x14ac:dyDescent="0.3">
      <c r="A40" s="280" t="s">
        <v>14732</v>
      </c>
      <c r="B40" s="280" t="s">
        <v>1120</v>
      </c>
      <c r="C40" s="280" t="s">
        <v>1</v>
      </c>
      <c r="D40" s="280" t="s">
        <v>14295</v>
      </c>
      <c r="E40" s="153"/>
      <c r="F40" s="153"/>
      <c r="G40" s="153"/>
      <c r="H40" s="153"/>
      <c r="I40" s="153"/>
    </row>
    <row r="41" spans="1:9" x14ac:dyDescent="0.3">
      <c r="A41" s="153" t="s">
        <v>14697</v>
      </c>
      <c r="B41" s="153" t="s">
        <v>14965</v>
      </c>
      <c r="C41" s="153" t="s">
        <v>14964</v>
      </c>
      <c r="D41" s="153" t="s">
        <v>14963</v>
      </c>
      <c r="E41" s="153"/>
      <c r="F41" s="153"/>
      <c r="G41" s="153"/>
      <c r="H41" s="153"/>
      <c r="I41" s="153"/>
    </row>
    <row r="42" spans="1:9" ht="28.8" x14ac:dyDescent="0.3">
      <c r="A42" s="153" t="s">
        <v>1125</v>
      </c>
      <c r="B42" s="153" t="s">
        <v>1126</v>
      </c>
      <c r="C42" s="153" t="s">
        <v>14962</v>
      </c>
      <c r="D42" s="153" t="s">
        <v>14961</v>
      </c>
      <c r="E42" s="153"/>
      <c r="F42" s="153"/>
      <c r="G42" s="153"/>
      <c r="H42" s="153"/>
      <c r="I42" s="153"/>
    </row>
    <row r="43" spans="1:9" x14ac:dyDescent="0.3">
      <c r="A43" s="153" t="s">
        <v>14689</v>
      </c>
      <c r="B43" s="153" t="s">
        <v>1129</v>
      </c>
      <c r="C43" s="153" t="s">
        <v>14960</v>
      </c>
      <c r="D43" s="153" t="s">
        <v>14959</v>
      </c>
      <c r="E43" s="153"/>
      <c r="F43" s="153"/>
      <c r="G43" s="153"/>
      <c r="H43" s="153"/>
      <c r="I43" s="153"/>
    </row>
    <row r="44" spans="1:9" x14ac:dyDescent="0.3">
      <c r="A44" s="153"/>
      <c r="B44" s="153"/>
      <c r="C44" s="153"/>
      <c r="D44" s="153"/>
      <c r="E44" s="153"/>
      <c r="F44" s="153"/>
      <c r="G44" s="153"/>
      <c r="H44" s="153"/>
      <c r="I44" s="153"/>
    </row>
    <row r="45" spans="1:9" x14ac:dyDescent="0.3">
      <c r="A45" s="279" t="s">
        <v>14958</v>
      </c>
      <c r="B45" s="279"/>
      <c r="C45" s="279"/>
      <c r="D45" s="279"/>
      <c r="E45" s="279"/>
      <c r="F45" s="279"/>
      <c r="G45" s="279"/>
      <c r="H45" s="153"/>
      <c r="I45" s="153"/>
    </row>
    <row r="46" spans="1:9" x14ac:dyDescent="0.3">
      <c r="A46" s="280" t="s">
        <v>1131</v>
      </c>
      <c r="B46" s="280" t="s">
        <v>1120</v>
      </c>
      <c r="C46" s="280" t="s">
        <v>1</v>
      </c>
      <c r="D46" s="280" t="s">
        <v>14957</v>
      </c>
      <c r="E46" s="280" t="s">
        <v>6476</v>
      </c>
      <c r="F46" s="280" t="s">
        <v>15016</v>
      </c>
      <c r="G46" s="153"/>
      <c r="H46" s="153"/>
      <c r="I46" s="153"/>
    </row>
    <row r="47" spans="1:9" ht="28.8" x14ac:dyDescent="0.3">
      <c r="A47" s="153" t="s">
        <v>14588</v>
      </c>
      <c r="B47" s="153" t="s">
        <v>1852</v>
      </c>
      <c r="C47" s="153" t="s">
        <v>14954</v>
      </c>
      <c r="D47" s="153" t="s">
        <v>14956</v>
      </c>
      <c r="E47" s="153" t="s">
        <v>14955</v>
      </c>
      <c r="F47" s="153" t="s">
        <v>1133</v>
      </c>
      <c r="G47" s="153"/>
      <c r="H47" s="153"/>
      <c r="I47" s="153"/>
    </row>
    <row r="48" spans="1:9" ht="28.8" x14ac:dyDescent="0.3">
      <c r="A48" s="153" t="s">
        <v>14697</v>
      </c>
      <c r="B48" s="153" t="s">
        <v>1868</v>
      </c>
      <c r="C48" s="153" t="s">
        <v>14952</v>
      </c>
      <c r="D48" s="153" t="s">
        <v>14597</v>
      </c>
      <c r="E48" s="153" t="s">
        <v>14953</v>
      </c>
      <c r="F48" s="153" t="s">
        <v>1135</v>
      </c>
      <c r="G48" s="153"/>
      <c r="H48" s="153"/>
      <c r="I48" s="153"/>
    </row>
    <row r="49" spans="1:9" x14ac:dyDescent="0.3">
      <c r="A49" s="153" t="s">
        <v>1125</v>
      </c>
      <c r="B49" s="153" t="s">
        <v>1873</v>
      </c>
      <c r="C49" s="153" t="s">
        <v>14949</v>
      </c>
      <c r="D49" s="153" t="s">
        <v>14951</v>
      </c>
      <c r="E49" s="153" t="s">
        <v>14950</v>
      </c>
      <c r="F49" s="153" t="s">
        <v>1137</v>
      </c>
      <c r="G49" s="153"/>
      <c r="H49" s="153"/>
      <c r="I49" s="153"/>
    </row>
    <row r="50" spans="1:9" x14ac:dyDescent="0.3">
      <c r="A50" s="153" t="s">
        <v>14689</v>
      </c>
      <c r="B50" s="153" t="s">
        <v>14948</v>
      </c>
      <c r="C50" s="153" t="s">
        <v>14946</v>
      </c>
      <c r="D50" s="153" t="s">
        <v>14947</v>
      </c>
      <c r="E50" s="153" t="s">
        <v>14618</v>
      </c>
      <c r="F50" s="153" t="s">
        <v>1139</v>
      </c>
      <c r="G50" s="153"/>
      <c r="H50" s="153"/>
      <c r="I50" s="153"/>
    </row>
    <row r="51" spans="1:9" x14ac:dyDescent="0.3">
      <c r="A51" s="153"/>
      <c r="B51" s="153"/>
      <c r="C51" s="153"/>
      <c r="D51" s="153"/>
      <c r="E51" s="153"/>
      <c r="F51" s="153"/>
      <c r="G51" s="153"/>
      <c r="H51" s="153"/>
      <c r="I51" s="153"/>
    </row>
    <row r="52" spans="1:9" x14ac:dyDescent="0.3">
      <c r="A52" s="279" t="s">
        <v>14945</v>
      </c>
      <c r="B52" s="279"/>
      <c r="C52" s="279"/>
      <c r="D52" s="279"/>
      <c r="E52" s="279"/>
      <c r="F52" s="279"/>
      <c r="G52" s="279"/>
      <c r="H52" s="153"/>
      <c r="I52" s="153"/>
    </row>
    <row r="53" spans="1:9" x14ac:dyDescent="0.3">
      <c r="A53" s="280" t="s">
        <v>1068</v>
      </c>
      <c r="B53" s="280" t="s">
        <v>2</v>
      </c>
      <c r="C53" s="280" t="s">
        <v>1</v>
      </c>
      <c r="D53" s="280" t="s">
        <v>1069</v>
      </c>
      <c r="E53" s="153"/>
      <c r="F53" s="153"/>
      <c r="G53" s="153"/>
      <c r="H53" s="153"/>
      <c r="I53" s="153"/>
    </row>
    <row r="54" spans="1:9" x14ac:dyDescent="0.3">
      <c r="A54" s="153" t="s">
        <v>1070</v>
      </c>
      <c r="B54" s="153" t="s">
        <v>1071</v>
      </c>
      <c r="C54" s="153" t="s">
        <v>1072</v>
      </c>
      <c r="D54" s="153" t="s">
        <v>1073</v>
      </c>
      <c r="E54" s="153"/>
      <c r="F54" s="153"/>
      <c r="G54" s="153"/>
      <c r="H54" s="153"/>
      <c r="I54" s="153"/>
    </row>
    <row r="55" spans="1:9" x14ac:dyDescent="0.3">
      <c r="A55" s="153" t="s">
        <v>1074</v>
      </c>
      <c r="B55" s="153" t="s">
        <v>1075</v>
      </c>
      <c r="C55" s="153" t="s">
        <v>1076</v>
      </c>
      <c r="D55" s="153" t="s">
        <v>1077</v>
      </c>
      <c r="E55" s="153"/>
      <c r="F55" s="153"/>
      <c r="G55" s="153"/>
      <c r="H55" s="153"/>
      <c r="I55" s="153"/>
    </row>
    <row r="56" spans="1:9" ht="28.8" x14ac:dyDescent="0.3">
      <c r="A56" s="153" t="s">
        <v>1078</v>
      </c>
      <c r="B56" s="153" t="s">
        <v>1075</v>
      </c>
      <c r="C56" s="153" t="s">
        <v>1079</v>
      </c>
      <c r="D56" s="153" t="s">
        <v>1080</v>
      </c>
      <c r="E56" s="153"/>
      <c r="F56" s="153"/>
      <c r="G56" s="153"/>
      <c r="H56" s="153"/>
      <c r="I56" s="153"/>
    </row>
    <row r="57" spans="1:9" ht="28.8" x14ac:dyDescent="0.3">
      <c r="A57" s="153" t="s">
        <v>1081</v>
      </c>
      <c r="B57" s="153" t="s">
        <v>1075</v>
      </c>
      <c r="C57" s="153" t="s">
        <v>1082</v>
      </c>
      <c r="D57" s="153" t="s">
        <v>1083</v>
      </c>
      <c r="E57" s="153"/>
      <c r="F57" s="153"/>
      <c r="G57" s="153"/>
      <c r="H57" s="153"/>
      <c r="I57" s="153"/>
    </row>
    <row r="58" spans="1:9" ht="28.8" x14ac:dyDescent="0.3">
      <c r="A58" s="153" t="s">
        <v>1084</v>
      </c>
      <c r="B58" s="153" t="s">
        <v>1085</v>
      </c>
      <c r="C58" s="153" t="s">
        <v>1086</v>
      </c>
      <c r="D58" s="153" t="s">
        <v>13936</v>
      </c>
      <c r="E58" s="153"/>
      <c r="F58" s="153"/>
      <c r="G58" s="153"/>
      <c r="H58" s="153"/>
      <c r="I58" s="153"/>
    </row>
    <row r="59" spans="1:9" ht="28.8" x14ac:dyDescent="0.3">
      <c r="A59" s="153" t="s">
        <v>13935</v>
      </c>
      <c r="B59" s="153" t="s">
        <v>1085</v>
      </c>
      <c r="C59" s="153" t="s">
        <v>1088</v>
      </c>
      <c r="D59" s="153" t="s">
        <v>1089</v>
      </c>
      <c r="E59" s="153"/>
      <c r="F59" s="153"/>
      <c r="G59" s="153"/>
      <c r="H59" s="153"/>
      <c r="I59" s="153"/>
    </row>
    <row r="60" spans="1:9" ht="28.8" x14ac:dyDescent="0.3">
      <c r="A60" s="153" t="s">
        <v>1090</v>
      </c>
      <c r="B60" s="153" t="s">
        <v>1085</v>
      </c>
      <c r="C60" s="153" t="s">
        <v>1091</v>
      </c>
      <c r="D60" s="153" t="s">
        <v>1092</v>
      </c>
      <c r="E60" s="153"/>
      <c r="F60" s="153"/>
      <c r="G60" s="153"/>
      <c r="H60" s="153"/>
      <c r="I60" s="153"/>
    </row>
    <row r="61" spans="1:9" x14ac:dyDescent="0.3">
      <c r="A61" s="153" t="s">
        <v>1093</v>
      </c>
      <c r="B61" s="153" t="s">
        <v>1094</v>
      </c>
      <c r="C61" s="153" t="s">
        <v>1095</v>
      </c>
      <c r="D61" s="153" t="s">
        <v>1096</v>
      </c>
      <c r="E61" s="153"/>
      <c r="F61" s="153"/>
      <c r="G61" s="153"/>
      <c r="H61" s="153"/>
      <c r="I61" s="153"/>
    </row>
    <row r="62" spans="1:9" ht="28.8" x14ac:dyDescent="0.3">
      <c r="A62" s="153" t="s">
        <v>1097</v>
      </c>
      <c r="B62" s="153" t="s">
        <v>1094</v>
      </c>
      <c r="C62" s="153" t="s">
        <v>1098</v>
      </c>
      <c r="D62" s="153" t="s">
        <v>1099</v>
      </c>
      <c r="E62" s="153"/>
      <c r="F62" s="153"/>
      <c r="G62" s="153"/>
      <c r="H62" s="153"/>
      <c r="I62" s="153"/>
    </row>
    <row r="63" spans="1:9" x14ac:dyDescent="0.3">
      <c r="A63" s="153" t="s">
        <v>1100</v>
      </c>
      <c r="B63" s="153" t="s">
        <v>1101</v>
      </c>
      <c r="C63" s="153" t="s">
        <v>1102</v>
      </c>
      <c r="D63" s="153" t="s">
        <v>1103</v>
      </c>
      <c r="E63" s="153"/>
      <c r="F63" s="153"/>
      <c r="G63" s="153"/>
      <c r="H63" s="153"/>
      <c r="I63" s="153"/>
    </row>
    <row r="64" spans="1:9" x14ac:dyDescent="0.3">
      <c r="A64" s="153" t="s">
        <v>1104</v>
      </c>
      <c r="B64" s="153" t="s">
        <v>1101</v>
      </c>
      <c r="C64" s="153" t="s">
        <v>1105</v>
      </c>
      <c r="D64" s="153" t="s">
        <v>1103</v>
      </c>
      <c r="E64" s="153"/>
      <c r="F64" s="153"/>
      <c r="G64" s="153"/>
      <c r="H64" s="153"/>
      <c r="I64" s="153"/>
    </row>
    <row r="65" spans="1:9" x14ac:dyDescent="0.3">
      <c r="A65" s="153" t="s">
        <v>1106</v>
      </c>
      <c r="B65" s="153" t="s">
        <v>1107</v>
      </c>
      <c r="C65" s="153" t="s">
        <v>1108</v>
      </c>
      <c r="D65" s="153" t="s">
        <v>1109</v>
      </c>
      <c r="E65" s="153"/>
      <c r="F65" s="153"/>
      <c r="G65" s="153"/>
      <c r="H65" s="153"/>
      <c r="I65" s="153"/>
    </row>
    <row r="66" spans="1:9" x14ac:dyDescent="0.3">
      <c r="A66" s="153" t="s">
        <v>1110</v>
      </c>
      <c r="B66" s="153" t="s">
        <v>1107</v>
      </c>
      <c r="C66" s="153" t="s">
        <v>1111</v>
      </c>
      <c r="D66" s="153" t="s">
        <v>1112</v>
      </c>
      <c r="E66" s="153"/>
      <c r="F66" s="153"/>
      <c r="G66" s="153"/>
      <c r="H66" s="153"/>
      <c r="I66" s="153"/>
    </row>
    <row r="67" spans="1:9" x14ac:dyDescent="0.3">
      <c r="A67" s="153" t="s">
        <v>1113</v>
      </c>
      <c r="B67" s="153" t="s">
        <v>1107</v>
      </c>
      <c r="C67" s="153" t="s">
        <v>1114</v>
      </c>
      <c r="D67" s="153" t="s">
        <v>1115</v>
      </c>
      <c r="E67" s="153"/>
      <c r="F67" s="153"/>
      <c r="G67" s="153"/>
      <c r="H67" s="153"/>
      <c r="I67" s="153"/>
    </row>
    <row r="68" spans="1:9" x14ac:dyDescent="0.3">
      <c r="A68" s="153" t="s">
        <v>1116</v>
      </c>
      <c r="B68" s="153" t="s">
        <v>1107</v>
      </c>
      <c r="C68" s="153" t="s">
        <v>1117</v>
      </c>
      <c r="D68" s="153" t="s">
        <v>1118</v>
      </c>
      <c r="E68" s="153"/>
      <c r="F68" s="153"/>
      <c r="G68" s="153"/>
      <c r="H68" s="153"/>
      <c r="I68" s="153"/>
    </row>
    <row r="69" spans="1:9" x14ac:dyDescent="0.3">
      <c r="A69" s="279" t="s">
        <v>15017</v>
      </c>
      <c r="B69" s="279"/>
      <c r="C69" s="279"/>
      <c r="D69" s="279"/>
      <c r="E69" s="279"/>
      <c r="F69" s="279"/>
      <c r="G69" s="279"/>
      <c r="H69" s="153"/>
      <c r="I69" s="153"/>
    </row>
    <row r="70" spans="1:9" x14ac:dyDescent="0.3">
      <c r="A70" s="281" t="s">
        <v>15018</v>
      </c>
      <c r="B70" s="281"/>
      <c r="C70" s="281"/>
      <c r="D70" s="281"/>
      <c r="E70" s="281"/>
      <c r="F70" s="153"/>
      <c r="G70" s="153"/>
      <c r="H70" s="153"/>
      <c r="I70" s="153"/>
    </row>
    <row r="71" spans="1:9" x14ac:dyDescent="0.3">
      <c r="A71" s="280" t="s">
        <v>14940</v>
      </c>
      <c r="B71" s="280" t="s">
        <v>1154</v>
      </c>
      <c r="C71" s="280" t="s">
        <v>14368</v>
      </c>
      <c r="D71" s="280" t="s">
        <v>19048</v>
      </c>
      <c r="E71" s="280" t="s">
        <v>14938</v>
      </c>
      <c r="F71" s="153"/>
      <c r="G71" s="153"/>
      <c r="H71" s="153"/>
      <c r="I71" s="153"/>
    </row>
    <row r="72" spans="1:9" x14ac:dyDescent="0.3">
      <c r="A72" s="282" t="s">
        <v>19049</v>
      </c>
      <c r="B72" s="153" t="s">
        <v>14689</v>
      </c>
      <c r="C72" s="153" t="s">
        <v>19050</v>
      </c>
      <c r="D72" s="153" t="s">
        <v>15083</v>
      </c>
      <c r="E72" s="153" t="s">
        <v>14628</v>
      </c>
      <c r="F72" s="153"/>
      <c r="G72" s="153"/>
      <c r="H72" s="153"/>
      <c r="I72" s="153"/>
    </row>
    <row r="73" spans="1:9" x14ac:dyDescent="0.3">
      <c r="A73" s="282" t="s">
        <v>19051</v>
      </c>
      <c r="B73" s="153" t="s">
        <v>1125</v>
      </c>
      <c r="C73" s="153" t="s">
        <v>19052</v>
      </c>
      <c r="D73" s="153" t="s">
        <v>14932</v>
      </c>
      <c r="E73" s="153" t="s">
        <v>14628</v>
      </c>
      <c r="F73" s="153"/>
      <c r="G73" s="153"/>
      <c r="H73" s="153"/>
      <c r="I73" s="153"/>
    </row>
    <row r="74" spans="1:9" ht="28.8" x14ac:dyDescent="0.3">
      <c r="A74" s="282" t="s">
        <v>19053</v>
      </c>
      <c r="B74" s="153" t="s">
        <v>14697</v>
      </c>
      <c r="C74" s="153" t="s">
        <v>19054</v>
      </c>
      <c r="D74" s="153" t="s">
        <v>19361</v>
      </c>
      <c r="E74" s="153" t="s">
        <v>14624</v>
      </c>
      <c r="F74" s="153"/>
      <c r="G74" s="153"/>
      <c r="H74" s="153"/>
      <c r="I74" s="153"/>
    </row>
    <row r="75" spans="1:9" x14ac:dyDescent="0.3">
      <c r="A75" s="153" t="s">
        <v>19055</v>
      </c>
      <c r="B75" s="153" t="s">
        <v>14588</v>
      </c>
      <c r="C75" s="153" t="s">
        <v>19056</v>
      </c>
      <c r="D75" s="153" t="s">
        <v>15066</v>
      </c>
      <c r="E75" s="153" t="s">
        <v>17305</v>
      </c>
      <c r="F75" s="153"/>
      <c r="G75" s="153"/>
      <c r="H75" s="153"/>
      <c r="I75" s="153"/>
    </row>
    <row r="76" spans="1:9" x14ac:dyDescent="0.3">
      <c r="A76" s="153" t="s">
        <v>19057</v>
      </c>
      <c r="B76" s="153" t="s">
        <v>17299</v>
      </c>
      <c r="C76" s="153" t="s">
        <v>19058</v>
      </c>
      <c r="D76" s="153" t="s">
        <v>15059</v>
      </c>
      <c r="E76" s="153" t="s">
        <v>19059</v>
      </c>
      <c r="F76" s="153"/>
      <c r="G76" s="153"/>
      <c r="H76" s="153"/>
      <c r="I76" s="153"/>
    </row>
    <row r="77" spans="1:9" x14ac:dyDescent="0.3">
      <c r="A77" s="153"/>
      <c r="B77" s="153"/>
      <c r="C77" s="153"/>
      <c r="D77" s="153"/>
      <c r="E77" s="153"/>
      <c r="F77" s="153"/>
      <c r="G77" s="153"/>
      <c r="H77" s="153"/>
      <c r="I77" s="153"/>
    </row>
    <row r="78" spans="1:9" x14ac:dyDescent="0.3">
      <c r="A78" s="281" t="s">
        <v>15019</v>
      </c>
      <c r="B78" s="281"/>
      <c r="C78" s="281"/>
      <c r="D78" s="281"/>
      <c r="E78" s="281"/>
      <c r="F78" s="153"/>
      <c r="G78" s="153"/>
      <c r="H78" s="153"/>
      <c r="I78" s="153"/>
    </row>
    <row r="79" spans="1:9" x14ac:dyDescent="0.3">
      <c r="A79" s="280" t="s">
        <v>14732</v>
      </c>
      <c r="B79" s="280" t="s">
        <v>14731</v>
      </c>
      <c r="C79" s="280" t="s">
        <v>1</v>
      </c>
      <c r="D79" s="280" t="s">
        <v>14747</v>
      </c>
      <c r="E79" s="153"/>
      <c r="F79" s="153"/>
      <c r="G79" s="153"/>
      <c r="H79" s="153"/>
      <c r="I79" s="153"/>
    </row>
    <row r="80" spans="1:9" ht="28.8" x14ac:dyDescent="0.3">
      <c r="A80" s="153" t="s">
        <v>14746</v>
      </c>
      <c r="B80" s="153">
        <v>1</v>
      </c>
      <c r="C80" s="153" t="s">
        <v>14745</v>
      </c>
      <c r="D80" s="153" t="s">
        <v>14577</v>
      </c>
      <c r="E80" s="153"/>
      <c r="F80" s="153"/>
      <c r="G80" s="153"/>
      <c r="H80" s="153"/>
      <c r="I80" s="153"/>
    </row>
    <row r="81" spans="1:9" x14ac:dyDescent="0.3">
      <c r="A81" s="153" t="s">
        <v>14744</v>
      </c>
      <c r="B81" s="153">
        <v>2</v>
      </c>
      <c r="C81" s="153" t="s">
        <v>14742</v>
      </c>
      <c r="D81" s="153" t="s">
        <v>14743</v>
      </c>
      <c r="E81" s="153"/>
      <c r="F81" s="153"/>
      <c r="G81" s="153"/>
      <c r="H81" s="153"/>
      <c r="I81" s="153"/>
    </row>
    <row r="82" spans="1:9" x14ac:dyDescent="0.3">
      <c r="A82" s="153" t="s">
        <v>14741</v>
      </c>
      <c r="B82" s="153">
        <v>3</v>
      </c>
      <c r="C82" s="153" t="s">
        <v>14739</v>
      </c>
      <c r="D82" s="153" t="s">
        <v>14740</v>
      </c>
      <c r="E82" s="153"/>
      <c r="F82" s="153"/>
      <c r="G82" s="153"/>
      <c r="H82" s="153"/>
      <c r="I82" s="153"/>
    </row>
    <row r="83" spans="1:9" x14ac:dyDescent="0.3">
      <c r="A83" s="153" t="s">
        <v>14738</v>
      </c>
      <c r="B83" s="153">
        <v>4</v>
      </c>
      <c r="C83" s="153" t="s">
        <v>14736</v>
      </c>
      <c r="D83" s="153" t="s">
        <v>14737</v>
      </c>
      <c r="E83" s="153"/>
      <c r="F83" s="153"/>
      <c r="G83" s="153"/>
      <c r="H83" s="153"/>
      <c r="I83" s="153"/>
    </row>
    <row r="84" spans="1:9" ht="28.8" x14ac:dyDescent="0.3">
      <c r="A84" s="153" t="s">
        <v>14735</v>
      </c>
      <c r="B84" s="153">
        <v>5</v>
      </c>
      <c r="C84" s="153" t="s">
        <v>14733</v>
      </c>
      <c r="D84" s="153" t="s">
        <v>14734</v>
      </c>
      <c r="E84" s="153"/>
      <c r="F84" s="153"/>
      <c r="G84" s="153"/>
      <c r="H84" s="153"/>
      <c r="I84" s="153"/>
    </row>
    <row r="85" spans="1:9" x14ac:dyDescent="0.3">
      <c r="A85" s="153"/>
      <c r="B85" s="153"/>
      <c r="C85" s="153"/>
      <c r="D85" s="153"/>
      <c r="E85" s="153"/>
      <c r="F85" s="153"/>
      <c r="G85" s="153"/>
      <c r="H85" s="153"/>
      <c r="I85" s="153"/>
    </row>
    <row r="86" spans="1:9" x14ac:dyDescent="0.3">
      <c r="A86" s="281" t="s">
        <v>15020</v>
      </c>
      <c r="B86" s="281"/>
      <c r="C86" s="281"/>
      <c r="D86" s="281"/>
      <c r="E86" s="281"/>
      <c r="F86" s="153"/>
      <c r="G86" s="153"/>
      <c r="H86" s="153"/>
      <c r="I86" s="153"/>
    </row>
    <row r="87" spans="1:9" x14ac:dyDescent="0.3">
      <c r="A87" s="280" t="s">
        <v>14732</v>
      </c>
      <c r="B87" s="280" t="s">
        <v>14731</v>
      </c>
      <c r="C87" s="280" t="s">
        <v>1</v>
      </c>
      <c r="D87" s="280" t="s">
        <v>14730</v>
      </c>
      <c r="E87" s="153"/>
      <c r="F87" s="153"/>
      <c r="G87" s="153"/>
      <c r="H87" s="153"/>
      <c r="I87" s="153"/>
    </row>
    <row r="88" spans="1:9" ht="28.8" x14ac:dyDescent="0.3">
      <c r="A88" s="153" t="s">
        <v>14729</v>
      </c>
      <c r="B88" s="153">
        <v>1</v>
      </c>
      <c r="C88" s="153" t="s">
        <v>14727</v>
      </c>
      <c r="D88" s="153" t="s">
        <v>14728</v>
      </c>
      <c r="E88" s="153"/>
      <c r="F88" s="153"/>
      <c r="G88" s="153"/>
      <c r="H88" s="153"/>
      <c r="I88" s="153"/>
    </row>
    <row r="89" spans="1:9" ht="28.8" x14ac:dyDescent="0.3">
      <c r="A89" s="153" t="s">
        <v>14726</v>
      </c>
      <c r="B89" s="153">
        <v>2</v>
      </c>
      <c r="C89" s="153" t="s">
        <v>14724</v>
      </c>
      <c r="D89" s="153" t="s">
        <v>14725</v>
      </c>
      <c r="E89" s="153"/>
      <c r="F89" s="153"/>
      <c r="G89" s="153"/>
      <c r="H89" s="153"/>
      <c r="I89" s="153"/>
    </row>
    <row r="90" spans="1:9" ht="28.8" x14ac:dyDescent="0.3">
      <c r="A90" s="153" t="s">
        <v>14723</v>
      </c>
      <c r="B90" s="153">
        <v>3</v>
      </c>
      <c r="C90" s="153" t="s">
        <v>14721</v>
      </c>
      <c r="D90" s="153" t="s">
        <v>14722</v>
      </c>
      <c r="E90" s="153"/>
      <c r="F90" s="153"/>
      <c r="G90" s="153"/>
      <c r="H90" s="153"/>
      <c r="I90" s="153"/>
    </row>
    <row r="91" spans="1:9" ht="28.8" x14ac:dyDescent="0.3">
      <c r="A91" s="153" t="s">
        <v>14720</v>
      </c>
      <c r="B91" s="153">
        <v>4</v>
      </c>
      <c r="C91" s="153" t="s">
        <v>14718</v>
      </c>
      <c r="D91" s="153" t="s">
        <v>14719</v>
      </c>
      <c r="E91" s="153"/>
      <c r="F91" s="153"/>
      <c r="G91" s="153"/>
      <c r="H91" s="153"/>
      <c r="I91" s="153"/>
    </row>
    <row r="92" spans="1:9" ht="28.8" x14ac:dyDescent="0.3">
      <c r="A92" s="153" t="s">
        <v>14717</v>
      </c>
      <c r="B92" s="153">
        <v>5</v>
      </c>
      <c r="C92" s="153" t="s">
        <v>14715</v>
      </c>
      <c r="D92" s="153" t="s">
        <v>14716</v>
      </c>
      <c r="E92" s="153"/>
      <c r="F92" s="153"/>
      <c r="G92" s="153"/>
      <c r="H92" s="153"/>
      <c r="I92" s="153"/>
    </row>
    <row r="93" spans="1:9" x14ac:dyDescent="0.3">
      <c r="A93" s="153"/>
      <c r="B93" s="153"/>
      <c r="C93" s="153"/>
      <c r="D93" s="153"/>
      <c r="E93" s="153"/>
      <c r="F93" s="153"/>
      <c r="G93" s="153"/>
      <c r="H93" s="153"/>
      <c r="I93" s="153"/>
    </row>
    <row r="94" spans="1:9" x14ac:dyDescent="0.3">
      <c r="A94" s="281" t="s">
        <v>15021</v>
      </c>
      <c r="B94" s="281"/>
      <c r="C94" s="281"/>
      <c r="D94" s="281"/>
      <c r="E94" s="281"/>
      <c r="F94" s="153"/>
      <c r="G94" s="153"/>
      <c r="H94" s="153"/>
      <c r="I94" s="153"/>
    </row>
    <row r="95" spans="1:9" x14ac:dyDescent="0.3">
      <c r="A95" s="280" t="s">
        <v>14941</v>
      </c>
      <c r="B95" s="280" t="s">
        <v>14940</v>
      </c>
      <c r="C95" s="280" t="s">
        <v>14939</v>
      </c>
      <c r="D95" s="280" t="s">
        <v>6476</v>
      </c>
      <c r="E95" s="153"/>
      <c r="F95" s="153"/>
      <c r="G95" s="153"/>
      <c r="H95" s="153"/>
      <c r="I95" s="153"/>
    </row>
    <row r="96" spans="1:9" x14ac:dyDescent="0.3">
      <c r="A96" s="153" t="s">
        <v>14937</v>
      </c>
      <c r="B96" s="153" t="s">
        <v>14936</v>
      </c>
      <c r="C96" s="153" t="s">
        <v>14901</v>
      </c>
      <c r="D96" s="153" t="s">
        <v>14935</v>
      </c>
      <c r="E96" s="153"/>
      <c r="F96" s="153"/>
      <c r="G96" s="153"/>
      <c r="H96" s="153"/>
      <c r="I96" s="153"/>
    </row>
    <row r="97" spans="1:9" x14ac:dyDescent="0.3">
      <c r="A97" s="153" t="s">
        <v>14934</v>
      </c>
      <c r="B97" s="153" t="s">
        <v>14933</v>
      </c>
      <c r="C97" s="153" t="s">
        <v>14899</v>
      </c>
      <c r="D97" s="153" t="s">
        <v>14932</v>
      </c>
      <c r="E97" s="153"/>
      <c r="F97" s="153"/>
      <c r="G97" s="153"/>
      <c r="H97" s="153"/>
      <c r="I97" s="153"/>
    </row>
    <row r="98" spans="1:9" x14ac:dyDescent="0.3">
      <c r="A98" s="153" t="s">
        <v>14931</v>
      </c>
      <c r="B98" s="153" t="s">
        <v>14930</v>
      </c>
      <c r="C98" s="153" t="s">
        <v>14929</v>
      </c>
      <c r="D98" s="153" t="s">
        <v>14928</v>
      </c>
      <c r="E98" s="153"/>
      <c r="F98" s="153"/>
      <c r="G98" s="153"/>
      <c r="H98" s="153"/>
      <c r="I98" s="153"/>
    </row>
    <row r="99" spans="1:9" x14ac:dyDescent="0.3">
      <c r="A99" s="153" t="s">
        <v>14927</v>
      </c>
      <c r="B99" s="153" t="s">
        <v>14926</v>
      </c>
      <c r="C99" s="153" t="s">
        <v>14897</v>
      </c>
      <c r="D99" s="153" t="s">
        <v>14925</v>
      </c>
      <c r="E99" s="153"/>
      <c r="F99" s="153"/>
      <c r="G99" s="153"/>
      <c r="H99" s="153"/>
      <c r="I99" s="153"/>
    </row>
    <row r="100" spans="1:9" x14ac:dyDescent="0.3">
      <c r="A100" s="153" t="s">
        <v>14924</v>
      </c>
      <c r="B100" s="153" t="s">
        <v>14923</v>
      </c>
      <c r="C100" s="153" t="s">
        <v>14922</v>
      </c>
      <c r="D100" s="153" t="s">
        <v>14921</v>
      </c>
      <c r="E100" s="153"/>
      <c r="F100" s="153"/>
      <c r="G100" s="153"/>
      <c r="H100" s="153"/>
      <c r="I100" s="153"/>
    </row>
    <row r="101" spans="1:9" x14ac:dyDescent="0.3">
      <c r="A101" s="153"/>
      <c r="B101" s="153"/>
      <c r="C101" s="153"/>
      <c r="D101" s="153"/>
      <c r="E101" s="153"/>
      <c r="F101" s="153"/>
      <c r="G101" s="153"/>
      <c r="H101" s="153"/>
      <c r="I101" s="153"/>
    </row>
    <row r="102" spans="1:9" x14ac:dyDescent="0.3">
      <c r="A102" s="281" t="s">
        <v>15022</v>
      </c>
      <c r="B102" s="281"/>
      <c r="C102" s="281"/>
      <c r="D102" s="281"/>
      <c r="E102" s="281"/>
      <c r="F102" s="153"/>
      <c r="G102" s="153"/>
      <c r="H102" s="153"/>
      <c r="I102" s="153"/>
    </row>
    <row r="103" spans="1:9" x14ac:dyDescent="0.3">
      <c r="A103" s="280" t="s">
        <v>1397</v>
      </c>
      <c r="B103" s="280" t="s">
        <v>14825</v>
      </c>
      <c r="C103" s="280" t="s">
        <v>14824</v>
      </c>
      <c r="D103" s="280" t="s">
        <v>14823</v>
      </c>
      <c r="E103" s="153"/>
      <c r="F103" s="153"/>
      <c r="G103" s="153"/>
      <c r="H103" s="153"/>
      <c r="I103" s="153"/>
    </row>
    <row r="104" spans="1:9" ht="28.8" x14ac:dyDescent="0.3">
      <c r="A104" s="153" t="s">
        <v>14822</v>
      </c>
      <c r="B104" s="283">
        <v>0.18</v>
      </c>
      <c r="C104" s="153" t="s">
        <v>14812</v>
      </c>
      <c r="D104" s="153" t="s">
        <v>14821</v>
      </c>
      <c r="E104" s="153"/>
      <c r="F104" s="153"/>
      <c r="G104" s="153"/>
      <c r="H104" s="153"/>
      <c r="I104" s="153"/>
    </row>
    <row r="105" spans="1:9" ht="28.8" x14ac:dyDescent="0.3">
      <c r="A105" s="153" t="s">
        <v>14820</v>
      </c>
      <c r="B105" s="283">
        <v>0.26</v>
      </c>
      <c r="C105" s="153" t="s">
        <v>14819</v>
      </c>
      <c r="D105" s="153" t="s">
        <v>14818</v>
      </c>
      <c r="E105" s="153"/>
      <c r="F105" s="153"/>
      <c r="G105" s="153"/>
      <c r="H105" s="153"/>
      <c r="I105" s="153"/>
    </row>
    <row r="106" spans="1:9" ht="28.8" x14ac:dyDescent="0.3">
      <c r="A106" s="153" t="s">
        <v>14817</v>
      </c>
      <c r="B106" s="283">
        <v>0.08</v>
      </c>
      <c r="C106" s="153" t="s">
        <v>14815</v>
      </c>
      <c r="D106" s="153" t="s">
        <v>14816</v>
      </c>
      <c r="E106" s="153"/>
      <c r="F106" s="153"/>
      <c r="G106" s="153"/>
      <c r="H106" s="153"/>
      <c r="I106" s="153"/>
    </row>
    <row r="107" spans="1:9" ht="28.8" x14ac:dyDescent="0.3">
      <c r="A107" s="153" t="s">
        <v>14778</v>
      </c>
      <c r="B107" s="283">
        <v>0.04</v>
      </c>
      <c r="C107" s="153" t="s">
        <v>14815</v>
      </c>
      <c r="D107" s="153" t="s">
        <v>14814</v>
      </c>
      <c r="E107" s="153"/>
      <c r="F107" s="153"/>
      <c r="G107" s="153"/>
      <c r="H107" s="153"/>
      <c r="I107" s="153"/>
    </row>
    <row r="108" spans="1:9" ht="28.8" x14ac:dyDescent="0.3">
      <c r="A108" s="153" t="s">
        <v>14813</v>
      </c>
      <c r="B108" s="283">
        <v>0.14000000000000001</v>
      </c>
      <c r="C108" s="153" t="s">
        <v>14812</v>
      </c>
      <c r="D108" s="153" t="s">
        <v>14811</v>
      </c>
      <c r="E108" s="153"/>
      <c r="F108" s="153"/>
      <c r="G108" s="153"/>
      <c r="H108" s="153"/>
      <c r="I108" s="153"/>
    </row>
    <row r="109" spans="1:9" ht="28.8" x14ac:dyDescent="0.3">
      <c r="A109" s="153" t="s">
        <v>14810</v>
      </c>
      <c r="B109" s="283">
        <v>0.09</v>
      </c>
      <c r="C109" s="153" t="s">
        <v>14809</v>
      </c>
      <c r="D109" s="153" t="s">
        <v>14808</v>
      </c>
      <c r="E109" s="153"/>
      <c r="F109" s="153"/>
      <c r="G109" s="153"/>
      <c r="H109" s="153"/>
      <c r="I109" s="153"/>
    </row>
    <row r="110" spans="1:9" ht="28.8" x14ac:dyDescent="0.3">
      <c r="A110" s="153" t="s">
        <v>14807</v>
      </c>
      <c r="B110" s="283">
        <v>0.1</v>
      </c>
      <c r="C110" s="153" t="s">
        <v>14802</v>
      </c>
      <c r="D110" s="153" t="s">
        <v>14806</v>
      </c>
      <c r="E110" s="153"/>
      <c r="F110" s="153"/>
      <c r="G110" s="153"/>
      <c r="H110" s="153"/>
      <c r="I110" s="153"/>
    </row>
    <row r="111" spans="1:9" ht="28.8" x14ac:dyDescent="0.3">
      <c r="A111" s="153" t="s">
        <v>14805</v>
      </c>
      <c r="B111" s="283">
        <v>0.04</v>
      </c>
      <c r="C111" s="153" t="s">
        <v>14799</v>
      </c>
      <c r="D111" s="153" t="s">
        <v>14804</v>
      </c>
      <c r="E111" s="153"/>
      <c r="F111" s="153"/>
      <c r="G111" s="153"/>
      <c r="H111" s="153"/>
      <c r="I111" s="153"/>
    </row>
    <row r="112" spans="1:9" x14ac:dyDescent="0.3">
      <c r="A112" s="153" t="s">
        <v>14803</v>
      </c>
      <c r="B112" s="283">
        <v>0.05</v>
      </c>
      <c r="C112" s="153" t="s">
        <v>14802</v>
      </c>
      <c r="D112" s="153" t="s">
        <v>14801</v>
      </c>
      <c r="E112" s="153"/>
      <c r="F112" s="153"/>
      <c r="G112" s="153"/>
      <c r="H112" s="153"/>
      <c r="I112" s="153"/>
    </row>
    <row r="113" spans="1:9" x14ac:dyDescent="0.3">
      <c r="A113" s="153" t="s">
        <v>14800</v>
      </c>
      <c r="B113" s="283">
        <v>0.02</v>
      </c>
      <c r="C113" s="153" t="s">
        <v>14799</v>
      </c>
      <c r="D113" s="153" t="s">
        <v>14798</v>
      </c>
      <c r="E113" s="153"/>
      <c r="F113" s="153"/>
      <c r="G113" s="153"/>
      <c r="H113" s="153"/>
      <c r="I113" s="153"/>
    </row>
    <row r="114" spans="1:9" x14ac:dyDescent="0.3">
      <c r="A114" s="249" t="s">
        <v>4458</v>
      </c>
      <c r="B114" s="284">
        <f>SUM(B104:B113)</f>
        <v>1</v>
      </c>
      <c r="C114" s="249" t="s">
        <v>15023</v>
      </c>
      <c r="D114" s="249" t="s">
        <v>14797</v>
      </c>
      <c r="E114" s="153"/>
      <c r="F114" s="153"/>
      <c r="G114" s="153"/>
      <c r="H114" s="153"/>
      <c r="I114" s="153"/>
    </row>
    <row r="115" spans="1:9" x14ac:dyDescent="0.3">
      <c r="A115" s="153"/>
      <c r="B115" s="153"/>
      <c r="C115" s="153"/>
      <c r="D115" s="153"/>
      <c r="E115" s="153"/>
      <c r="F115" s="153"/>
      <c r="G115" s="153"/>
      <c r="H115" s="153"/>
      <c r="I115" s="153"/>
    </row>
    <row r="116" spans="1:9" x14ac:dyDescent="0.3">
      <c r="A116" s="279" t="s">
        <v>15024</v>
      </c>
      <c r="B116" s="279"/>
      <c r="C116" s="279"/>
      <c r="D116" s="279"/>
      <c r="E116" s="279"/>
      <c r="F116" s="279"/>
      <c r="G116" s="279"/>
      <c r="H116" s="153"/>
      <c r="I116" s="153"/>
    </row>
    <row r="117" spans="1:9" x14ac:dyDescent="0.3">
      <c r="A117" s="281" t="s">
        <v>15025</v>
      </c>
      <c r="B117" s="281"/>
      <c r="C117" s="281"/>
      <c r="D117" s="281"/>
      <c r="E117" s="281"/>
      <c r="F117" s="153"/>
      <c r="G117" s="153"/>
      <c r="H117" s="153"/>
      <c r="I117" s="153"/>
    </row>
    <row r="118" spans="1:9" x14ac:dyDescent="0.3">
      <c r="A118" s="280" t="s">
        <v>2</v>
      </c>
      <c r="B118" s="280" t="s">
        <v>1</v>
      </c>
      <c r="C118" s="280" t="s">
        <v>1162</v>
      </c>
      <c r="D118" s="153"/>
      <c r="E118" s="153"/>
      <c r="F118" s="153"/>
      <c r="G118" s="153"/>
      <c r="H118" s="153"/>
      <c r="I118" s="153"/>
    </row>
    <row r="119" spans="1:9" ht="28.8" x14ac:dyDescent="0.3">
      <c r="A119" s="153" t="s">
        <v>1163</v>
      </c>
      <c r="B119" s="153" t="s">
        <v>1164</v>
      </c>
      <c r="C119" s="153" t="s">
        <v>1165</v>
      </c>
      <c r="D119" s="153"/>
      <c r="E119" s="153"/>
      <c r="F119" s="153"/>
      <c r="G119" s="153"/>
      <c r="H119" s="153"/>
      <c r="I119" s="153"/>
    </row>
    <row r="120" spans="1:9" ht="28.8" x14ac:dyDescent="0.3">
      <c r="A120" s="153" t="s">
        <v>1166</v>
      </c>
      <c r="B120" s="153" t="s">
        <v>1167</v>
      </c>
      <c r="C120" s="153" t="s">
        <v>1168</v>
      </c>
      <c r="D120" s="153"/>
      <c r="E120" s="153"/>
      <c r="F120" s="153"/>
      <c r="G120" s="153"/>
      <c r="H120" s="153"/>
      <c r="I120" s="153"/>
    </row>
    <row r="121" spans="1:9" ht="28.8" x14ac:dyDescent="0.3">
      <c r="A121" s="153" t="s">
        <v>1169</v>
      </c>
      <c r="B121" s="153" t="s">
        <v>1170</v>
      </c>
      <c r="C121" s="153" t="s">
        <v>1171</v>
      </c>
      <c r="D121" s="153"/>
      <c r="E121" s="153"/>
      <c r="F121" s="153"/>
      <c r="G121" s="153"/>
      <c r="H121" s="153"/>
      <c r="I121" s="153"/>
    </row>
    <row r="122" spans="1:9" ht="43.2" x14ac:dyDescent="0.3">
      <c r="A122" s="153" t="s">
        <v>1172</v>
      </c>
      <c r="B122" s="153" t="s">
        <v>1173</v>
      </c>
      <c r="C122" s="153" t="s">
        <v>1174</v>
      </c>
      <c r="D122" s="153"/>
      <c r="E122" s="153"/>
      <c r="F122" s="153"/>
      <c r="G122" s="153"/>
      <c r="H122" s="153"/>
      <c r="I122" s="153"/>
    </row>
    <row r="123" spans="1:9" x14ac:dyDescent="0.3">
      <c r="A123" s="153"/>
      <c r="B123" s="153"/>
      <c r="C123" s="153"/>
      <c r="D123" s="153"/>
      <c r="E123" s="153"/>
      <c r="F123" s="153"/>
      <c r="G123" s="153"/>
      <c r="H123" s="153"/>
      <c r="I123" s="153"/>
    </row>
    <row r="124" spans="1:9" x14ac:dyDescent="0.3">
      <c r="A124" s="281" t="s">
        <v>15026</v>
      </c>
      <c r="B124" s="281"/>
      <c r="C124" s="281"/>
      <c r="D124" s="281"/>
      <c r="E124" s="281"/>
      <c r="F124" s="153"/>
      <c r="G124" s="153"/>
      <c r="H124" s="153"/>
      <c r="I124" s="153"/>
    </row>
    <row r="125" spans="1:9" x14ac:dyDescent="0.3">
      <c r="A125" s="280" t="s">
        <v>2</v>
      </c>
      <c r="B125" s="280" t="s">
        <v>1120</v>
      </c>
      <c r="C125" s="280" t="s">
        <v>14913</v>
      </c>
      <c r="D125" s="280" t="s">
        <v>14912</v>
      </c>
      <c r="E125" s="153"/>
      <c r="F125" s="153"/>
      <c r="G125" s="153"/>
      <c r="H125" s="153"/>
      <c r="I125" s="153"/>
    </row>
    <row r="126" spans="1:9" x14ac:dyDescent="0.3">
      <c r="A126" s="153" t="s">
        <v>14910</v>
      </c>
      <c r="B126" s="153" t="s">
        <v>14624</v>
      </c>
      <c r="C126" s="153" t="s">
        <v>14909</v>
      </c>
      <c r="D126" s="153">
        <v>48</v>
      </c>
      <c r="E126" s="153"/>
      <c r="F126" s="153"/>
      <c r="G126" s="153"/>
      <c r="H126" s="153"/>
      <c r="I126" s="153"/>
    </row>
    <row r="127" spans="1:9" x14ac:dyDescent="0.3">
      <c r="A127" s="153" t="s">
        <v>14907</v>
      </c>
      <c r="B127" s="153" t="s">
        <v>14908</v>
      </c>
      <c r="C127" s="153" t="s">
        <v>14907</v>
      </c>
      <c r="D127" s="153">
        <v>24</v>
      </c>
      <c r="E127" s="153"/>
      <c r="F127" s="153"/>
      <c r="G127" s="153"/>
      <c r="H127" s="153"/>
      <c r="I127" s="153"/>
    </row>
    <row r="128" spans="1:9" x14ac:dyDescent="0.3">
      <c r="A128" s="153" t="s">
        <v>19031</v>
      </c>
      <c r="B128" s="153" t="s">
        <v>19351</v>
      </c>
      <c r="C128" s="153" t="s">
        <v>19034</v>
      </c>
      <c r="D128" s="153">
        <v>24</v>
      </c>
      <c r="E128" s="153"/>
      <c r="F128" s="153"/>
      <c r="G128" s="153"/>
      <c r="H128" s="153"/>
      <c r="I128" s="153"/>
    </row>
    <row r="129" spans="1:9" x14ac:dyDescent="0.3">
      <c r="A129" s="153" t="s">
        <v>19035</v>
      </c>
      <c r="B129" s="153" t="s">
        <v>19352</v>
      </c>
      <c r="C129" s="153" t="s">
        <v>19038</v>
      </c>
      <c r="D129" s="153">
        <v>4</v>
      </c>
      <c r="E129" s="153"/>
      <c r="F129" s="153"/>
      <c r="G129" s="153"/>
      <c r="H129" s="153"/>
      <c r="I129" s="153"/>
    </row>
    <row r="130" spans="1:9" x14ac:dyDescent="0.3">
      <c r="A130" s="153"/>
      <c r="B130" s="153"/>
      <c r="C130" s="153"/>
      <c r="D130" s="153"/>
      <c r="E130" s="153"/>
      <c r="F130" s="153"/>
      <c r="G130" s="153"/>
      <c r="H130" s="153"/>
      <c r="I130" s="153"/>
    </row>
    <row r="131" spans="1:9" x14ac:dyDescent="0.3">
      <c r="A131" s="281" t="s">
        <v>15027</v>
      </c>
      <c r="B131" s="281"/>
      <c r="C131" s="281"/>
      <c r="D131" s="281"/>
      <c r="E131" s="281"/>
      <c r="F131" s="153"/>
      <c r="G131" s="153"/>
      <c r="H131" s="153"/>
      <c r="I131" s="153"/>
    </row>
    <row r="132" spans="1:9" x14ac:dyDescent="0.3">
      <c r="A132" s="280" t="s">
        <v>2</v>
      </c>
      <c r="B132" s="280" t="s">
        <v>1120</v>
      </c>
      <c r="C132" s="280" t="s">
        <v>14913</v>
      </c>
      <c r="D132" s="280" t="s">
        <v>14911</v>
      </c>
      <c r="E132" s="153"/>
      <c r="F132" s="153"/>
      <c r="G132" s="153"/>
      <c r="H132" s="153"/>
      <c r="I132" s="153"/>
    </row>
    <row r="133" spans="1:9" x14ac:dyDescent="0.3">
      <c r="A133" s="153" t="s">
        <v>17690</v>
      </c>
      <c r="B133" s="153" t="s">
        <v>14904</v>
      </c>
      <c r="C133" s="153" t="s">
        <v>14919</v>
      </c>
      <c r="D133" s="153">
        <v>1</v>
      </c>
      <c r="E133" s="153"/>
      <c r="F133" s="153"/>
      <c r="G133" s="153"/>
      <c r="H133" s="153"/>
      <c r="I133" s="153"/>
    </row>
    <row r="134" spans="1:9" x14ac:dyDescent="0.3">
      <c r="A134" s="153" t="s">
        <v>14918</v>
      </c>
      <c r="B134" s="153" t="s">
        <v>7356</v>
      </c>
      <c r="C134" s="153" t="s">
        <v>14635</v>
      </c>
      <c r="D134" s="153">
        <v>2</v>
      </c>
      <c r="E134" s="153"/>
      <c r="F134" s="153"/>
      <c r="G134" s="153"/>
      <c r="H134" s="153"/>
      <c r="I134" s="153"/>
    </row>
    <row r="135" spans="1:9" x14ac:dyDescent="0.3">
      <c r="A135" s="153" t="s">
        <v>14917</v>
      </c>
      <c r="B135" s="153" t="s">
        <v>14916</v>
      </c>
      <c r="C135" s="153" t="s">
        <v>1548</v>
      </c>
      <c r="D135" s="153">
        <v>3</v>
      </c>
      <c r="E135" s="153"/>
      <c r="F135" s="153"/>
      <c r="G135" s="153"/>
      <c r="H135" s="153"/>
      <c r="I135" s="153"/>
    </row>
    <row r="136" spans="1:9" x14ac:dyDescent="0.3">
      <c r="A136" s="153" t="s">
        <v>19322</v>
      </c>
      <c r="B136" s="153" t="s">
        <v>1011</v>
      </c>
      <c r="C136" s="153" t="s">
        <v>19324</v>
      </c>
      <c r="D136" s="153">
        <v>5</v>
      </c>
      <c r="E136" s="153"/>
      <c r="F136" s="153"/>
      <c r="G136" s="153"/>
      <c r="H136" s="153"/>
      <c r="I136" s="153"/>
    </row>
    <row r="137" spans="1:9" x14ac:dyDescent="0.3">
      <c r="A137" s="153" t="s">
        <v>14915</v>
      </c>
      <c r="B137" s="153" t="s">
        <v>14914</v>
      </c>
      <c r="C137" s="153" t="s">
        <v>14644</v>
      </c>
      <c r="D137" s="153">
        <v>4</v>
      </c>
      <c r="E137" s="153"/>
      <c r="F137" s="153"/>
      <c r="G137" s="153"/>
      <c r="H137" s="153"/>
      <c r="I137" s="153"/>
    </row>
    <row r="138" spans="1:9" x14ac:dyDescent="0.3">
      <c r="A138" s="153"/>
      <c r="B138" s="153"/>
      <c r="C138" s="153"/>
      <c r="D138" s="153"/>
      <c r="E138" s="153"/>
      <c r="F138" s="153"/>
      <c r="G138" s="153"/>
      <c r="H138" s="153"/>
      <c r="I138" s="153"/>
    </row>
    <row r="139" spans="1:9" x14ac:dyDescent="0.3">
      <c r="A139" s="279" t="s">
        <v>14906</v>
      </c>
      <c r="B139" s="279"/>
      <c r="C139" s="279"/>
      <c r="D139" s="279"/>
      <c r="E139" s="279"/>
      <c r="F139" s="279"/>
      <c r="G139" s="279"/>
      <c r="H139" s="153"/>
      <c r="I139" s="153"/>
    </row>
    <row r="140" spans="1:9" x14ac:dyDescent="0.3">
      <c r="A140" s="280" t="s">
        <v>2</v>
      </c>
      <c r="B140" s="280" t="s">
        <v>1</v>
      </c>
      <c r="C140" s="280" t="s">
        <v>1176</v>
      </c>
      <c r="D140" s="153"/>
      <c r="E140" s="153"/>
      <c r="F140" s="153"/>
      <c r="G140" s="153"/>
      <c r="H140" s="153"/>
      <c r="I140" s="153"/>
    </row>
    <row r="141" spans="1:9" ht="43.2" x14ac:dyDescent="0.3">
      <c r="A141" s="153" t="s">
        <v>1177</v>
      </c>
      <c r="B141" s="153" t="s">
        <v>15028</v>
      </c>
      <c r="C141" s="153" t="s">
        <v>1178</v>
      </c>
      <c r="D141" s="153"/>
      <c r="E141" s="153"/>
      <c r="F141" s="153"/>
      <c r="G141" s="153"/>
      <c r="H141" s="153"/>
      <c r="I141" s="153"/>
    </row>
    <row r="142" spans="1:9" ht="43.2" x14ac:dyDescent="0.3">
      <c r="A142" s="153" t="s">
        <v>1179</v>
      </c>
      <c r="B142" s="153" t="s">
        <v>15029</v>
      </c>
      <c r="C142" s="153" t="s">
        <v>1180</v>
      </c>
      <c r="D142" s="153"/>
      <c r="E142" s="153"/>
      <c r="F142" s="153"/>
      <c r="G142" s="153"/>
      <c r="H142" s="153"/>
      <c r="I142" s="153"/>
    </row>
    <row r="143" spans="1:9" ht="28.8" x14ac:dyDescent="0.3">
      <c r="A143" s="153" t="s">
        <v>14905</v>
      </c>
      <c r="B143" s="153" t="s">
        <v>17617</v>
      </c>
      <c r="C143" s="153" t="s">
        <v>19520</v>
      </c>
      <c r="D143" s="153"/>
      <c r="E143" s="153"/>
      <c r="F143" s="153"/>
      <c r="G143" s="153"/>
      <c r="H143" s="153"/>
      <c r="I143" s="153"/>
    </row>
    <row r="144" spans="1:9" ht="28.8" x14ac:dyDescent="0.3">
      <c r="A144" s="153" t="s">
        <v>14853</v>
      </c>
      <c r="B144" s="153" t="s">
        <v>17619</v>
      </c>
      <c r="C144" s="153" t="s">
        <v>19521</v>
      </c>
      <c r="D144" s="153"/>
      <c r="E144" s="153"/>
      <c r="F144" s="153"/>
      <c r="G144" s="153"/>
      <c r="H144" s="153"/>
      <c r="I144" s="153"/>
    </row>
    <row r="145" spans="1:9" ht="28.8" x14ac:dyDescent="0.3">
      <c r="A145" s="153" t="s">
        <v>1427</v>
      </c>
      <c r="B145" s="153" t="s">
        <v>17621</v>
      </c>
      <c r="C145" s="153" t="s">
        <v>19522</v>
      </c>
      <c r="D145" s="153"/>
      <c r="E145" s="153"/>
      <c r="F145" s="153"/>
      <c r="G145" s="153"/>
      <c r="H145" s="153"/>
      <c r="I145" s="153"/>
    </row>
    <row r="146" spans="1:9" x14ac:dyDescent="0.3">
      <c r="A146" s="153"/>
      <c r="B146" s="153"/>
      <c r="C146" s="153"/>
      <c r="D146" s="153"/>
      <c r="E146" s="153"/>
      <c r="F146" s="153"/>
      <c r="G146" s="153"/>
      <c r="H146" s="153"/>
      <c r="I146" s="153"/>
    </row>
    <row r="147" spans="1:9" x14ac:dyDescent="0.3">
      <c r="A147" s="281" t="s">
        <v>15030</v>
      </c>
      <c r="B147" s="281"/>
      <c r="C147" s="281"/>
      <c r="D147" s="281"/>
      <c r="E147" s="281"/>
      <c r="F147" s="153"/>
      <c r="G147" s="153"/>
      <c r="H147" s="153"/>
      <c r="I147" s="153"/>
    </row>
    <row r="148" spans="1:9" x14ac:dyDescent="0.3">
      <c r="A148" s="280" t="s">
        <v>1068</v>
      </c>
      <c r="B148" s="280" t="s">
        <v>14368</v>
      </c>
      <c r="C148" s="280" t="s">
        <v>1</v>
      </c>
      <c r="D148" s="153"/>
      <c r="E148" s="153"/>
      <c r="F148" s="153"/>
      <c r="G148" s="153"/>
      <c r="H148" s="153"/>
      <c r="I148" s="153"/>
    </row>
    <row r="149" spans="1:9" ht="28.8" x14ac:dyDescent="0.3">
      <c r="A149" s="153" t="s">
        <v>14902</v>
      </c>
      <c r="B149" s="153" t="s">
        <v>14901</v>
      </c>
      <c r="C149" s="153" t="s">
        <v>14900</v>
      </c>
      <c r="D149" s="153"/>
      <c r="E149" s="153"/>
      <c r="F149" s="153"/>
      <c r="G149" s="153"/>
      <c r="H149" s="153"/>
      <c r="I149" s="153"/>
    </row>
    <row r="150" spans="1:9" x14ac:dyDescent="0.3">
      <c r="A150" s="153" t="s">
        <v>1332</v>
      </c>
      <c r="B150" s="153" t="s">
        <v>14899</v>
      </c>
      <c r="C150" s="153" t="s">
        <v>14898</v>
      </c>
      <c r="D150" s="153"/>
      <c r="E150" s="153"/>
      <c r="F150" s="153"/>
      <c r="G150" s="153"/>
      <c r="H150" s="153"/>
      <c r="I150" s="153"/>
    </row>
    <row r="151" spans="1:9" x14ac:dyDescent="0.3">
      <c r="A151" s="153" t="s">
        <v>1106</v>
      </c>
      <c r="B151" s="153" t="s">
        <v>14897</v>
      </c>
      <c r="C151" s="153" t="s">
        <v>14896</v>
      </c>
      <c r="D151" s="153"/>
      <c r="E151" s="153"/>
      <c r="F151" s="153"/>
      <c r="G151" s="153"/>
      <c r="H151" s="153"/>
      <c r="I151" s="153"/>
    </row>
    <row r="152" spans="1:9" x14ac:dyDescent="0.3">
      <c r="A152" s="153" t="s">
        <v>1232</v>
      </c>
      <c r="B152" s="153" t="s">
        <v>14895</v>
      </c>
      <c r="C152" s="153" t="s">
        <v>14894</v>
      </c>
      <c r="D152" s="153"/>
      <c r="E152" s="153"/>
      <c r="F152" s="153"/>
      <c r="G152" s="153"/>
      <c r="H152" s="153"/>
      <c r="I152" s="153"/>
    </row>
    <row r="153" spans="1:9" x14ac:dyDescent="0.3">
      <c r="A153" s="153" t="s">
        <v>989</v>
      </c>
      <c r="B153" s="153" t="s">
        <v>19523</v>
      </c>
      <c r="C153" s="153" t="s">
        <v>19524</v>
      </c>
      <c r="D153" s="153"/>
      <c r="E153" s="153"/>
      <c r="F153" s="153"/>
      <c r="G153" s="153"/>
      <c r="H153" s="153"/>
      <c r="I153" s="153"/>
    </row>
    <row r="154" spans="1:9" x14ac:dyDescent="0.3">
      <c r="A154" s="153"/>
      <c r="B154" s="153"/>
      <c r="C154" s="153"/>
      <c r="D154" s="153"/>
      <c r="E154" s="153"/>
      <c r="F154" s="153"/>
      <c r="G154" s="153"/>
      <c r="H154" s="153"/>
      <c r="I154" s="153"/>
    </row>
    <row r="155" spans="1:9" x14ac:dyDescent="0.3">
      <c r="A155" s="279" t="s">
        <v>15031</v>
      </c>
      <c r="B155" s="279"/>
      <c r="C155" s="279"/>
      <c r="D155" s="279"/>
      <c r="E155" s="279"/>
      <c r="F155" s="279"/>
      <c r="G155" s="279"/>
      <c r="H155" s="153"/>
      <c r="I155" s="153"/>
    </row>
    <row r="156" spans="1:9" x14ac:dyDescent="0.3">
      <c r="A156" s="280" t="s">
        <v>1462</v>
      </c>
      <c r="B156" s="280" t="s">
        <v>1463</v>
      </c>
      <c r="C156" s="280" t="s">
        <v>1496</v>
      </c>
      <c r="D156" s="153"/>
      <c r="E156" s="153"/>
      <c r="F156" s="153"/>
      <c r="G156" s="153"/>
      <c r="H156" s="153"/>
      <c r="I156" s="153"/>
    </row>
    <row r="157" spans="1:9" ht="86.4" x14ac:dyDescent="0.3">
      <c r="A157" s="153" t="s">
        <v>1468</v>
      </c>
      <c r="B157" s="153" t="s">
        <v>1497</v>
      </c>
      <c r="C157" s="153" t="s">
        <v>1498</v>
      </c>
      <c r="D157" s="153"/>
      <c r="E157" s="153"/>
      <c r="F157" s="153"/>
      <c r="G157" s="153"/>
      <c r="H157" s="153"/>
      <c r="I157" s="153"/>
    </row>
    <row r="158" spans="1:9" ht="43.2" x14ac:dyDescent="0.3">
      <c r="A158" s="153" t="s">
        <v>1499</v>
      </c>
      <c r="B158" s="153" t="s">
        <v>1500</v>
      </c>
      <c r="C158" s="153" t="s">
        <v>1501</v>
      </c>
      <c r="D158" s="153"/>
      <c r="E158" s="153"/>
      <c r="F158" s="153"/>
      <c r="G158" s="153"/>
      <c r="H158" s="153"/>
      <c r="I158" s="153"/>
    </row>
    <row r="159" spans="1:9" x14ac:dyDescent="0.3">
      <c r="A159" s="153"/>
      <c r="B159" s="153"/>
      <c r="C159" s="153"/>
      <c r="D159" s="153"/>
      <c r="E159" s="153"/>
      <c r="F159" s="153"/>
      <c r="G159" s="153"/>
      <c r="H159" s="153"/>
      <c r="I159" s="153"/>
    </row>
    <row r="160" spans="1:9" x14ac:dyDescent="0.3">
      <c r="A160" s="279" t="s">
        <v>15032</v>
      </c>
      <c r="B160" s="279"/>
      <c r="C160" s="279"/>
      <c r="D160" s="279"/>
      <c r="E160" s="279"/>
      <c r="F160" s="279"/>
      <c r="G160" s="279"/>
      <c r="H160" s="153"/>
      <c r="I160" s="153"/>
    </row>
    <row r="161" spans="1:9" x14ac:dyDescent="0.3">
      <c r="A161" s="280" t="s">
        <v>1502</v>
      </c>
      <c r="B161" s="280" t="s">
        <v>2</v>
      </c>
      <c r="C161" s="280" t="s">
        <v>14845</v>
      </c>
      <c r="D161" s="280" t="s">
        <v>14620</v>
      </c>
      <c r="E161" s="280" t="s">
        <v>14844</v>
      </c>
      <c r="F161" s="153"/>
      <c r="G161" s="153"/>
      <c r="H161" s="153"/>
      <c r="I161" s="153"/>
    </row>
    <row r="162" spans="1:9" x14ac:dyDescent="0.3">
      <c r="A162" s="153" t="s">
        <v>1503</v>
      </c>
      <c r="B162" s="153" t="s">
        <v>14843</v>
      </c>
      <c r="C162" s="153" t="s">
        <v>1504</v>
      </c>
      <c r="D162" s="153" t="s">
        <v>14968</v>
      </c>
      <c r="E162" s="153" t="s">
        <v>14842</v>
      </c>
      <c r="F162" s="153"/>
      <c r="G162" s="153"/>
      <c r="H162" s="153"/>
      <c r="I162" s="153"/>
    </row>
    <row r="163" spans="1:9" x14ac:dyDescent="0.3">
      <c r="A163" s="153" t="s">
        <v>14841</v>
      </c>
      <c r="B163" s="153" t="s">
        <v>14828</v>
      </c>
      <c r="C163" s="153" t="s">
        <v>14840</v>
      </c>
      <c r="D163" s="153" t="s">
        <v>14836</v>
      </c>
      <c r="E163" s="153" t="s">
        <v>14834</v>
      </c>
      <c r="F163" s="153"/>
      <c r="G163" s="153"/>
      <c r="H163" s="153"/>
      <c r="I163" s="153"/>
    </row>
    <row r="164" spans="1:9" x14ac:dyDescent="0.3">
      <c r="A164" s="153" t="s">
        <v>14839</v>
      </c>
      <c r="B164" s="153" t="s">
        <v>14828</v>
      </c>
      <c r="C164" s="153" t="s">
        <v>14838</v>
      </c>
      <c r="D164" s="153" t="s">
        <v>14836</v>
      </c>
      <c r="E164" s="153" t="s">
        <v>14834</v>
      </c>
      <c r="F164" s="153"/>
      <c r="G164" s="153"/>
      <c r="H164" s="153"/>
      <c r="I164" s="153"/>
    </row>
    <row r="165" spans="1:9" x14ac:dyDescent="0.3">
      <c r="A165" s="153" t="s">
        <v>14837</v>
      </c>
      <c r="B165" s="153" t="s">
        <v>14828</v>
      </c>
      <c r="C165" s="153" t="s">
        <v>14835</v>
      </c>
      <c r="D165" s="153" t="s">
        <v>14836</v>
      </c>
      <c r="E165" s="153" t="s">
        <v>14834</v>
      </c>
      <c r="F165" s="153"/>
      <c r="G165" s="153"/>
      <c r="H165" s="153"/>
      <c r="I165" s="153"/>
    </row>
    <row r="166" spans="1:9" x14ac:dyDescent="0.3">
      <c r="A166" s="153" t="s">
        <v>14833</v>
      </c>
      <c r="B166" s="153" t="s">
        <v>14602</v>
      </c>
      <c r="C166" s="153" t="s">
        <v>14831</v>
      </c>
      <c r="D166" s="153" t="s">
        <v>14832</v>
      </c>
      <c r="E166" s="153" t="s">
        <v>14830</v>
      </c>
      <c r="F166" s="153"/>
      <c r="G166" s="153"/>
      <c r="H166" s="153"/>
      <c r="I166" s="153"/>
    </row>
    <row r="167" spans="1:9" x14ac:dyDescent="0.3">
      <c r="A167" s="153" t="s">
        <v>14829</v>
      </c>
      <c r="B167" s="153" t="s">
        <v>14828</v>
      </c>
      <c r="C167" s="153" t="s">
        <v>14827</v>
      </c>
      <c r="D167" s="153" t="s">
        <v>14602</v>
      </c>
      <c r="E167" s="153" t="s">
        <v>14826</v>
      </c>
      <c r="F167" s="153"/>
      <c r="G167" s="153"/>
      <c r="H167" s="153"/>
      <c r="I167" s="153"/>
    </row>
    <row r="168" spans="1:9" x14ac:dyDescent="0.3">
      <c r="A168" s="153"/>
      <c r="B168" s="153"/>
      <c r="C168" s="153"/>
      <c r="D168" s="153"/>
      <c r="E168" s="153"/>
      <c r="F168" s="153"/>
      <c r="G168" s="153"/>
      <c r="H168" s="153"/>
      <c r="I168" s="153"/>
    </row>
    <row r="169" spans="1:9" x14ac:dyDescent="0.3">
      <c r="A169" s="279" t="s">
        <v>15033</v>
      </c>
      <c r="B169" s="279"/>
      <c r="C169" s="279"/>
      <c r="D169" s="279"/>
      <c r="E169" s="279"/>
      <c r="F169" s="279"/>
      <c r="G169" s="279"/>
      <c r="H169" s="153"/>
      <c r="I169" s="153"/>
    </row>
    <row r="170" spans="1:9" x14ac:dyDescent="0.3">
      <c r="A170" s="280" t="s">
        <v>1506</v>
      </c>
      <c r="B170" s="280" t="s">
        <v>1507</v>
      </c>
      <c r="C170" s="280" t="s">
        <v>1</v>
      </c>
      <c r="D170" s="153"/>
      <c r="E170" s="153"/>
      <c r="F170" s="153"/>
      <c r="G170" s="153"/>
      <c r="H170" s="153"/>
      <c r="I170" s="153"/>
    </row>
    <row r="171" spans="1:9" ht="28.8" x14ac:dyDescent="0.3">
      <c r="A171" s="153" t="s">
        <v>1508</v>
      </c>
      <c r="B171" s="153" t="s">
        <v>1509</v>
      </c>
      <c r="C171" s="153" t="s">
        <v>1510</v>
      </c>
      <c r="D171" s="153"/>
      <c r="E171" s="153"/>
      <c r="F171" s="153"/>
      <c r="G171" s="153"/>
      <c r="H171" s="153"/>
      <c r="I171" s="153"/>
    </row>
    <row r="172" spans="1:9" ht="28.8" x14ac:dyDescent="0.3">
      <c r="A172" s="153" t="s">
        <v>1511</v>
      </c>
      <c r="B172" s="153" t="s">
        <v>1509</v>
      </c>
      <c r="C172" s="153" t="s">
        <v>1512</v>
      </c>
      <c r="D172" s="153"/>
      <c r="E172" s="153"/>
      <c r="F172" s="153"/>
      <c r="G172" s="153"/>
      <c r="H172" s="153"/>
      <c r="I172" s="153"/>
    </row>
    <row r="173" spans="1:9" ht="28.8" x14ac:dyDescent="0.3">
      <c r="A173" s="153" t="s">
        <v>1513</v>
      </c>
      <c r="B173" s="153" t="s">
        <v>1514</v>
      </c>
      <c r="C173" s="153" t="s">
        <v>1515</v>
      </c>
      <c r="D173" s="153"/>
      <c r="E173" s="153"/>
      <c r="F173" s="153"/>
      <c r="G173" s="153"/>
      <c r="H173" s="153"/>
      <c r="I173" s="153"/>
    </row>
    <row r="174" spans="1:9" ht="28.8" x14ac:dyDescent="0.3">
      <c r="A174" s="153" t="s">
        <v>1516</v>
      </c>
      <c r="B174" s="283">
        <v>0.75</v>
      </c>
      <c r="C174" s="153" t="s">
        <v>1517</v>
      </c>
      <c r="D174" s="153"/>
      <c r="E174" s="153"/>
      <c r="F174" s="153"/>
      <c r="G174" s="153"/>
      <c r="H174" s="153"/>
      <c r="I174" s="153"/>
    </row>
    <row r="175" spans="1:9" ht="28.8" x14ac:dyDescent="0.3">
      <c r="A175" s="153" t="s">
        <v>1518</v>
      </c>
      <c r="B175" s="153" t="s">
        <v>1519</v>
      </c>
      <c r="C175" s="153" t="s">
        <v>1520</v>
      </c>
      <c r="D175" s="153"/>
      <c r="E175" s="153"/>
      <c r="F175" s="153"/>
      <c r="G175" s="153"/>
      <c r="H175" s="153"/>
      <c r="I175" s="153"/>
    </row>
    <row r="176" spans="1:9" ht="28.8" x14ac:dyDescent="0.3">
      <c r="A176" s="153" t="s">
        <v>1521</v>
      </c>
      <c r="B176" s="153" t="s">
        <v>1522</v>
      </c>
      <c r="C176" s="153" t="s">
        <v>1523</v>
      </c>
      <c r="D176" s="153"/>
      <c r="E176" s="153"/>
      <c r="F176" s="153"/>
      <c r="G176" s="153"/>
      <c r="H176" s="153"/>
      <c r="I176" s="153"/>
    </row>
    <row r="177" spans="1:9" ht="28.8" x14ac:dyDescent="0.3">
      <c r="A177" s="153" t="s">
        <v>1524</v>
      </c>
      <c r="B177" s="153" t="s">
        <v>1525</v>
      </c>
      <c r="C177" s="153" t="s">
        <v>1526</v>
      </c>
      <c r="D177" s="153"/>
      <c r="E177" s="153"/>
      <c r="F177" s="153"/>
      <c r="G177" s="153"/>
      <c r="H177" s="153"/>
      <c r="I177" s="153"/>
    </row>
    <row r="178" spans="1:9" ht="28.8" x14ac:dyDescent="0.3">
      <c r="A178" s="153" t="s">
        <v>1527</v>
      </c>
      <c r="B178" s="153" t="s">
        <v>1528</v>
      </c>
      <c r="C178" s="153" t="s">
        <v>1529</v>
      </c>
      <c r="D178" s="153"/>
      <c r="E178" s="153"/>
      <c r="F178" s="153"/>
      <c r="G178" s="153"/>
      <c r="H178" s="153"/>
      <c r="I178" s="153"/>
    </row>
    <row r="179" spans="1:9" x14ac:dyDescent="0.3">
      <c r="A179" s="153"/>
      <c r="B179" s="153"/>
      <c r="C179" s="153"/>
      <c r="D179" s="153"/>
      <c r="E179" s="153"/>
      <c r="F179" s="153"/>
      <c r="G179" s="153"/>
      <c r="H179" s="153"/>
      <c r="I179" s="153"/>
    </row>
    <row r="180" spans="1:9" x14ac:dyDescent="0.3">
      <c r="A180" s="153"/>
      <c r="B180" s="153"/>
      <c r="C180" s="153"/>
      <c r="D180" s="153"/>
      <c r="E180" s="153"/>
      <c r="F180" s="153"/>
      <c r="G180" s="153"/>
      <c r="H180" s="153"/>
      <c r="I180" s="153"/>
    </row>
    <row r="181" spans="1:9" x14ac:dyDescent="0.3">
      <c r="A181" s="279" t="s">
        <v>15034</v>
      </c>
      <c r="B181" s="279"/>
      <c r="C181" s="279"/>
      <c r="D181" s="279"/>
      <c r="E181" s="279"/>
      <c r="F181" s="279"/>
      <c r="G181" s="279"/>
      <c r="H181" s="153"/>
      <c r="I181" s="153"/>
    </row>
    <row r="182" spans="1:9" x14ac:dyDescent="0.3">
      <c r="A182" s="280" t="s">
        <v>14893</v>
      </c>
      <c r="B182" s="280" t="s">
        <v>1120</v>
      </c>
      <c r="C182" s="280" t="s">
        <v>14892</v>
      </c>
      <c r="D182" s="280" t="s">
        <v>14891</v>
      </c>
      <c r="E182" s="153"/>
      <c r="F182" s="153"/>
      <c r="G182" s="153"/>
      <c r="H182" s="153"/>
      <c r="I182" s="153"/>
    </row>
    <row r="183" spans="1:9" x14ac:dyDescent="0.3">
      <c r="A183" s="153" t="s">
        <v>14890</v>
      </c>
      <c r="B183" s="153" t="s">
        <v>14889</v>
      </c>
      <c r="C183" s="153" t="s">
        <v>14888</v>
      </c>
      <c r="D183" s="153" t="s">
        <v>14887</v>
      </c>
      <c r="E183" s="153"/>
      <c r="F183" s="153"/>
      <c r="G183" s="153"/>
      <c r="H183" s="153"/>
      <c r="I183" s="153"/>
    </row>
    <row r="184" spans="1:9" x14ac:dyDescent="0.3">
      <c r="A184" s="153" t="s">
        <v>14886</v>
      </c>
      <c r="B184" s="153" t="s">
        <v>14885</v>
      </c>
      <c r="C184" s="153" t="s">
        <v>14689</v>
      </c>
      <c r="D184" s="153" t="s">
        <v>14884</v>
      </c>
      <c r="E184" s="153"/>
      <c r="F184" s="153"/>
      <c r="G184" s="153"/>
      <c r="H184" s="153"/>
      <c r="I184" s="153"/>
    </row>
    <row r="185" spans="1:9" x14ac:dyDescent="0.3">
      <c r="A185" s="153" t="s">
        <v>14883</v>
      </c>
      <c r="B185" s="153" t="s">
        <v>14882</v>
      </c>
      <c r="C185" s="153" t="s">
        <v>14602</v>
      </c>
      <c r="D185" s="153" t="s">
        <v>14881</v>
      </c>
      <c r="E185" s="153"/>
      <c r="F185" s="153"/>
      <c r="G185" s="153"/>
      <c r="H185" s="153"/>
      <c r="I185" s="153"/>
    </row>
    <row r="186" spans="1:9" x14ac:dyDescent="0.3">
      <c r="A186" s="153" t="s">
        <v>14880</v>
      </c>
      <c r="B186" s="153" t="s">
        <v>14879</v>
      </c>
      <c r="C186" s="153" t="s">
        <v>14689</v>
      </c>
      <c r="D186" s="153" t="s">
        <v>14878</v>
      </c>
      <c r="E186" s="153"/>
      <c r="F186" s="153"/>
      <c r="G186" s="153"/>
      <c r="H186" s="153"/>
      <c r="I186" s="153"/>
    </row>
    <row r="187" spans="1:9" x14ac:dyDescent="0.3">
      <c r="A187" s="153" t="s">
        <v>14877</v>
      </c>
      <c r="B187" s="153" t="s">
        <v>14876</v>
      </c>
      <c r="C187" s="153" t="s">
        <v>14689</v>
      </c>
      <c r="D187" s="153" t="s">
        <v>14875</v>
      </c>
      <c r="E187" s="153"/>
      <c r="F187" s="153"/>
      <c r="G187" s="153"/>
      <c r="H187" s="153"/>
      <c r="I187" s="153"/>
    </row>
    <row r="188" spans="1:9" x14ac:dyDescent="0.3">
      <c r="A188" s="153"/>
      <c r="B188" s="153"/>
      <c r="C188" s="153"/>
      <c r="D188" s="153"/>
      <c r="E188" s="153"/>
      <c r="F188" s="153"/>
      <c r="G188" s="153"/>
      <c r="H188" s="153"/>
      <c r="I188" s="153"/>
    </row>
    <row r="189" spans="1:9" x14ac:dyDescent="0.3">
      <c r="A189" s="279" t="s">
        <v>15035</v>
      </c>
      <c r="B189" s="279"/>
      <c r="C189" s="279"/>
      <c r="D189" s="279"/>
      <c r="E189" s="279"/>
      <c r="F189" s="279"/>
      <c r="G189" s="279"/>
      <c r="H189" s="153"/>
      <c r="I189" s="153"/>
    </row>
    <row r="190" spans="1:9" x14ac:dyDescent="0.3">
      <c r="A190" s="280" t="s">
        <v>14874</v>
      </c>
      <c r="B190" s="280" t="s">
        <v>1120</v>
      </c>
      <c r="C190" s="280" t="s">
        <v>14873</v>
      </c>
      <c r="D190" s="280" t="s">
        <v>14872</v>
      </c>
      <c r="E190" s="280" t="s">
        <v>14871</v>
      </c>
      <c r="F190" s="153"/>
      <c r="G190" s="153"/>
      <c r="H190" s="153"/>
      <c r="I190" s="153"/>
    </row>
    <row r="191" spans="1:9" x14ac:dyDescent="0.3">
      <c r="A191" s="153" t="s">
        <v>14870</v>
      </c>
      <c r="B191" s="153" t="s">
        <v>14869</v>
      </c>
      <c r="C191" s="153" t="s">
        <v>962</v>
      </c>
      <c r="D191" s="153" t="s">
        <v>962</v>
      </c>
      <c r="E191" s="153" t="s">
        <v>962</v>
      </c>
      <c r="F191" s="153"/>
      <c r="G191" s="153"/>
      <c r="H191" s="153"/>
      <c r="I191" s="153"/>
    </row>
    <row r="192" spans="1:9" x14ac:dyDescent="0.3">
      <c r="A192" s="153" t="s">
        <v>14628</v>
      </c>
      <c r="B192" s="153" t="s">
        <v>14868</v>
      </c>
      <c r="C192" s="153" t="s">
        <v>962</v>
      </c>
      <c r="D192" s="153" t="s">
        <v>962</v>
      </c>
      <c r="E192" s="153" t="s">
        <v>1196</v>
      </c>
      <c r="F192" s="153"/>
      <c r="G192" s="153"/>
      <c r="H192" s="153"/>
      <c r="I192" s="153"/>
    </row>
    <row r="193" spans="1:9" x14ac:dyDescent="0.3">
      <c r="A193" s="153" t="s">
        <v>14867</v>
      </c>
      <c r="B193" s="153" t="s">
        <v>14866</v>
      </c>
      <c r="C193" s="153" t="s">
        <v>962</v>
      </c>
      <c r="D193" s="153" t="s">
        <v>962</v>
      </c>
      <c r="E193" s="153" t="s">
        <v>988</v>
      </c>
      <c r="F193" s="153"/>
      <c r="G193" s="153"/>
      <c r="H193" s="153"/>
      <c r="I193" s="153"/>
    </row>
    <row r="194" spans="1:9" x14ac:dyDescent="0.3">
      <c r="A194" s="153" t="s">
        <v>14644</v>
      </c>
      <c r="B194" s="153" t="s">
        <v>14865</v>
      </c>
      <c r="C194" s="153" t="s">
        <v>988</v>
      </c>
      <c r="D194" s="153" t="s">
        <v>962</v>
      </c>
      <c r="E194" s="153" t="s">
        <v>988</v>
      </c>
      <c r="F194" s="153"/>
      <c r="G194" s="153"/>
      <c r="H194" s="153"/>
      <c r="I194" s="153"/>
    </row>
    <row r="195" spans="1:9" x14ac:dyDescent="0.3">
      <c r="A195" s="153" t="s">
        <v>14648</v>
      </c>
      <c r="B195" s="153" t="s">
        <v>14864</v>
      </c>
      <c r="C195" s="153" t="s">
        <v>962</v>
      </c>
      <c r="D195" s="153" t="s">
        <v>962</v>
      </c>
      <c r="E195" s="153" t="s">
        <v>988</v>
      </c>
      <c r="F195" s="153"/>
      <c r="G195" s="153"/>
      <c r="H195" s="153"/>
      <c r="I195" s="153"/>
    </row>
    <row r="196" spans="1:9" x14ac:dyDescent="0.3">
      <c r="A196" s="153" t="s">
        <v>14863</v>
      </c>
      <c r="B196" s="153" t="s">
        <v>14862</v>
      </c>
      <c r="C196" s="153" t="s">
        <v>962</v>
      </c>
      <c r="D196" s="153" t="s">
        <v>988</v>
      </c>
      <c r="E196" s="153" t="s">
        <v>988</v>
      </c>
      <c r="F196" s="153"/>
      <c r="G196" s="153"/>
      <c r="H196" s="153"/>
      <c r="I196" s="153"/>
    </row>
    <row r="197" spans="1:9" x14ac:dyDescent="0.3">
      <c r="A197" s="153" t="s">
        <v>14652</v>
      </c>
      <c r="B197" s="153" t="s">
        <v>1143</v>
      </c>
      <c r="C197" s="153" t="s">
        <v>1196</v>
      </c>
      <c r="D197" s="153" t="s">
        <v>988</v>
      </c>
      <c r="E197" s="153" t="s">
        <v>988</v>
      </c>
      <c r="F197" s="153"/>
      <c r="G197" s="153"/>
      <c r="H197" s="153"/>
      <c r="I197" s="153"/>
    </row>
    <row r="198" spans="1:9" x14ac:dyDescent="0.3">
      <c r="A198" s="153" t="s">
        <v>14861</v>
      </c>
      <c r="B198" s="153" t="s">
        <v>14638</v>
      </c>
      <c r="C198" s="153" t="s">
        <v>988</v>
      </c>
      <c r="D198" s="153" t="s">
        <v>988</v>
      </c>
      <c r="E198" s="153" t="s">
        <v>988</v>
      </c>
      <c r="F198" s="153"/>
      <c r="G198" s="153"/>
      <c r="H198" s="153"/>
      <c r="I198" s="153"/>
    </row>
    <row r="199" spans="1:9" x14ac:dyDescent="0.3">
      <c r="A199" s="153" t="s">
        <v>14860</v>
      </c>
      <c r="B199" s="153" t="s">
        <v>14859</v>
      </c>
      <c r="C199" s="153" t="s">
        <v>988</v>
      </c>
      <c r="D199" s="153" t="s">
        <v>988</v>
      </c>
      <c r="E199" s="153" t="s">
        <v>988</v>
      </c>
      <c r="F199" s="153"/>
      <c r="G199" s="153"/>
      <c r="H199" s="153"/>
      <c r="I199" s="153"/>
    </row>
    <row r="200" spans="1:9" x14ac:dyDescent="0.3">
      <c r="A200" s="153" t="s">
        <v>1174</v>
      </c>
      <c r="B200" s="153" t="s">
        <v>14624</v>
      </c>
      <c r="C200" s="153" t="s">
        <v>988</v>
      </c>
      <c r="D200" s="153" t="s">
        <v>962</v>
      </c>
      <c r="E200" s="153" t="s">
        <v>988</v>
      </c>
      <c r="F200" s="153"/>
      <c r="G200" s="153"/>
      <c r="H200" s="153"/>
      <c r="I200" s="153"/>
    </row>
    <row r="201" spans="1:9" x14ac:dyDescent="0.3">
      <c r="A201" s="153" t="s">
        <v>19130</v>
      </c>
      <c r="B201" s="153" t="s">
        <v>19353</v>
      </c>
      <c r="C201" s="153" t="s">
        <v>988</v>
      </c>
      <c r="D201" s="153" t="s">
        <v>988</v>
      </c>
      <c r="E201" s="153" t="s">
        <v>988</v>
      </c>
      <c r="F201" s="153"/>
      <c r="G201" s="153"/>
      <c r="H201" s="153"/>
      <c r="I201" s="153"/>
    </row>
    <row r="202" spans="1:9" x14ac:dyDescent="0.3">
      <c r="A202" s="153" t="s">
        <v>1548</v>
      </c>
      <c r="B202" s="153" t="s">
        <v>19354</v>
      </c>
      <c r="C202" s="153" t="s">
        <v>988</v>
      </c>
      <c r="D202" s="153" t="s">
        <v>962</v>
      </c>
      <c r="E202" s="153" t="s">
        <v>988</v>
      </c>
      <c r="F202" s="153"/>
      <c r="G202" s="153"/>
      <c r="H202" s="153"/>
      <c r="I202" s="153"/>
    </row>
    <row r="203" spans="1:9" x14ac:dyDescent="0.3">
      <c r="A203" s="153" t="s">
        <v>14907</v>
      </c>
      <c r="B203" s="153" t="s">
        <v>14908</v>
      </c>
      <c r="C203" s="153" t="s">
        <v>988</v>
      </c>
      <c r="D203" s="153" t="s">
        <v>962</v>
      </c>
      <c r="E203" s="153" t="s">
        <v>988</v>
      </c>
      <c r="F203" s="153"/>
      <c r="G203" s="153"/>
      <c r="H203" s="153"/>
      <c r="I203" s="153"/>
    </row>
    <row r="204" spans="1:9" x14ac:dyDescent="0.3">
      <c r="A204" s="153" t="s">
        <v>19355</v>
      </c>
      <c r="B204" s="153" t="s">
        <v>19355</v>
      </c>
      <c r="C204" s="153" t="s">
        <v>988</v>
      </c>
      <c r="D204" s="153" t="s">
        <v>962</v>
      </c>
      <c r="E204" s="153" t="s">
        <v>988</v>
      </c>
      <c r="F204" s="153"/>
      <c r="G204" s="153"/>
      <c r="H204" s="153"/>
      <c r="I204" s="153"/>
    </row>
    <row r="205" spans="1:9" x14ac:dyDescent="0.3">
      <c r="A205" s="153" t="s">
        <v>19356</v>
      </c>
      <c r="B205" s="153" t="s">
        <v>19357</v>
      </c>
      <c r="C205" s="153" t="s">
        <v>988</v>
      </c>
      <c r="D205" s="153" t="s">
        <v>962</v>
      </c>
      <c r="E205" s="153" t="s">
        <v>1196</v>
      </c>
      <c r="F205" s="153"/>
      <c r="G205" s="153"/>
      <c r="H205" s="153"/>
      <c r="I205" s="153"/>
    </row>
    <row r="206" spans="1:9" x14ac:dyDescent="0.3">
      <c r="A206" s="153" t="s">
        <v>19358</v>
      </c>
      <c r="B206" s="153" t="s">
        <v>19359</v>
      </c>
      <c r="C206" s="153" t="s">
        <v>988</v>
      </c>
      <c r="D206" s="153" t="s">
        <v>988</v>
      </c>
      <c r="E206" s="153" t="s">
        <v>988</v>
      </c>
      <c r="F206" s="153"/>
      <c r="G206" s="153"/>
      <c r="H206" s="153"/>
      <c r="I206" s="153"/>
    </row>
    <row r="207" spans="1:9" x14ac:dyDescent="0.3">
      <c r="A207" s="153"/>
      <c r="B207" s="153"/>
      <c r="C207" s="153"/>
      <c r="D207" s="153"/>
      <c r="E207" s="153"/>
      <c r="F207" s="153"/>
      <c r="G207" s="153"/>
      <c r="H207" s="153"/>
      <c r="I207" s="153"/>
    </row>
    <row r="208" spans="1:9" x14ac:dyDescent="0.3">
      <c r="A208" s="279" t="s">
        <v>15036</v>
      </c>
      <c r="B208" s="279"/>
      <c r="C208" s="279"/>
      <c r="D208" s="279"/>
      <c r="E208" s="279"/>
      <c r="F208" s="279"/>
      <c r="G208" s="279"/>
      <c r="H208" s="153"/>
      <c r="I208" s="153"/>
    </row>
    <row r="209" spans="1:9" x14ac:dyDescent="0.3">
      <c r="A209" s="280" t="s">
        <v>1397</v>
      </c>
      <c r="B209" s="280" t="s">
        <v>1120</v>
      </c>
      <c r="C209" s="280" t="s">
        <v>275</v>
      </c>
      <c r="D209" s="280" t="s">
        <v>1</v>
      </c>
      <c r="E209" s="153"/>
      <c r="F209" s="153"/>
      <c r="G209" s="153"/>
      <c r="H209" s="153"/>
      <c r="I209" s="153"/>
    </row>
    <row r="210" spans="1:9" x14ac:dyDescent="0.3">
      <c r="A210" s="153" t="s">
        <v>14858</v>
      </c>
      <c r="B210" s="153" t="s">
        <v>14857</v>
      </c>
      <c r="C210" s="153" t="s">
        <v>14697</v>
      </c>
      <c r="D210" s="153" t="s">
        <v>14856</v>
      </c>
      <c r="E210" s="153"/>
      <c r="F210" s="153"/>
      <c r="G210" s="153"/>
      <c r="H210" s="153"/>
      <c r="I210" s="153"/>
    </row>
    <row r="211" spans="1:9" x14ac:dyDescent="0.3">
      <c r="A211" s="153" t="s">
        <v>1066</v>
      </c>
      <c r="B211" s="153" t="s">
        <v>14855</v>
      </c>
      <c r="C211" s="153" t="s">
        <v>1125</v>
      </c>
      <c r="D211" s="153" t="s">
        <v>14854</v>
      </c>
      <c r="E211" s="153"/>
      <c r="F211" s="153"/>
      <c r="G211" s="153"/>
      <c r="H211" s="153"/>
      <c r="I211" s="153"/>
    </row>
    <row r="212" spans="1:9" ht="28.8" x14ac:dyDescent="0.3">
      <c r="A212" s="153" t="s">
        <v>14853</v>
      </c>
      <c r="B212" s="153" t="s">
        <v>14852</v>
      </c>
      <c r="C212" s="153" t="s">
        <v>14697</v>
      </c>
      <c r="D212" s="153" t="s">
        <v>14851</v>
      </c>
      <c r="E212" s="153"/>
      <c r="F212" s="153"/>
      <c r="G212" s="153"/>
      <c r="H212" s="153"/>
      <c r="I212" s="153"/>
    </row>
    <row r="213" spans="1:9" x14ac:dyDescent="0.3">
      <c r="A213" s="153" t="s">
        <v>1427</v>
      </c>
      <c r="B213" s="153" t="s">
        <v>14850</v>
      </c>
      <c r="C213" s="153" t="s">
        <v>14697</v>
      </c>
      <c r="D213" s="153" t="s">
        <v>14849</v>
      </c>
      <c r="E213" s="153"/>
      <c r="F213" s="153"/>
      <c r="G213" s="153"/>
      <c r="H213" s="153"/>
      <c r="I213" s="153"/>
    </row>
    <row r="214" spans="1:9" x14ac:dyDescent="0.3">
      <c r="A214" s="153" t="s">
        <v>152</v>
      </c>
      <c r="B214" s="153" t="s">
        <v>7356</v>
      </c>
      <c r="C214" s="153" t="s">
        <v>14588</v>
      </c>
      <c r="D214" s="153" t="s">
        <v>14848</v>
      </c>
      <c r="E214" s="153"/>
      <c r="F214" s="153"/>
      <c r="G214" s="153"/>
      <c r="H214" s="153"/>
      <c r="I214" s="153"/>
    </row>
    <row r="215" spans="1:9" x14ac:dyDescent="0.3">
      <c r="A215" s="153" t="s">
        <v>1120</v>
      </c>
      <c r="B215" s="153" t="s">
        <v>14847</v>
      </c>
      <c r="C215" s="153" t="s">
        <v>1125</v>
      </c>
      <c r="D215" s="153" t="s">
        <v>14846</v>
      </c>
      <c r="E215" s="153"/>
      <c r="F215" s="153"/>
      <c r="G215" s="153"/>
      <c r="H215" s="153"/>
      <c r="I215" s="153"/>
    </row>
    <row r="216" spans="1:9" x14ac:dyDescent="0.3">
      <c r="A216" s="153"/>
      <c r="B216" s="153"/>
      <c r="C216" s="153"/>
      <c r="D216" s="153"/>
      <c r="E216" s="153"/>
      <c r="F216" s="153"/>
      <c r="G216" s="153"/>
      <c r="H216" s="153"/>
      <c r="I216" s="153"/>
    </row>
    <row r="217" spans="1:9" x14ac:dyDescent="0.3">
      <c r="A217" s="279" t="s">
        <v>14796</v>
      </c>
      <c r="B217" s="279"/>
      <c r="C217" s="279"/>
      <c r="D217" s="279"/>
      <c r="E217" s="279"/>
      <c r="F217" s="279"/>
      <c r="G217" s="279"/>
      <c r="H217" s="153"/>
      <c r="I217" s="153"/>
    </row>
    <row r="218" spans="1:9" x14ac:dyDescent="0.3">
      <c r="A218" s="280" t="s">
        <v>1140</v>
      </c>
      <c r="B218" s="280" t="s">
        <v>14795</v>
      </c>
      <c r="C218" s="280" t="s">
        <v>1141</v>
      </c>
      <c r="D218" s="280" t="s">
        <v>14794</v>
      </c>
      <c r="E218" s="280" t="s">
        <v>14793</v>
      </c>
      <c r="F218" s="153"/>
      <c r="G218" s="153"/>
      <c r="H218" s="153"/>
      <c r="I218" s="153"/>
    </row>
    <row r="219" spans="1:9" x14ac:dyDescent="0.3">
      <c r="A219" s="153" t="s">
        <v>14792</v>
      </c>
      <c r="B219" s="153" t="s">
        <v>14791</v>
      </c>
      <c r="C219" s="153" t="s">
        <v>962</v>
      </c>
      <c r="D219" s="153" t="s">
        <v>14779</v>
      </c>
      <c r="E219" s="153" t="s">
        <v>14697</v>
      </c>
      <c r="F219" s="153"/>
      <c r="G219" s="153"/>
      <c r="H219" s="153"/>
      <c r="I219" s="153"/>
    </row>
    <row r="220" spans="1:9" x14ac:dyDescent="0.3">
      <c r="A220" s="153" t="s">
        <v>14790</v>
      </c>
      <c r="B220" s="153" t="s">
        <v>14789</v>
      </c>
      <c r="C220" s="153" t="s">
        <v>962</v>
      </c>
      <c r="D220" s="153" t="s">
        <v>14779</v>
      </c>
      <c r="E220" s="153" t="s">
        <v>1125</v>
      </c>
      <c r="F220" s="153"/>
      <c r="G220" s="153"/>
      <c r="H220" s="153"/>
      <c r="I220" s="153"/>
    </row>
    <row r="221" spans="1:9" x14ac:dyDescent="0.3">
      <c r="A221" s="153" t="s">
        <v>14788</v>
      </c>
      <c r="B221" s="153" t="s">
        <v>14780</v>
      </c>
      <c r="C221" s="153" t="s">
        <v>962</v>
      </c>
      <c r="D221" s="153" t="s">
        <v>14787</v>
      </c>
      <c r="E221" s="153" t="s">
        <v>14697</v>
      </c>
      <c r="F221" s="153"/>
      <c r="G221" s="153"/>
      <c r="H221" s="153"/>
      <c r="I221" s="153"/>
    </row>
    <row r="222" spans="1:9" x14ac:dyDescent="0.3">
      <c r="A222" s="153" t="s">
        <v>14786</v>
      </c>
      <c r="B222" s="153" t="s">
        <v>14785</v>
      </c>
      <c r="C222" s="153" t="s">
        <v>962</v>
      </c>
      <c r="D222" s="153" t="s">
        <v>14776</v>
      </c>
      <c r="E222" s="153" t="s">
        <v>14588</v>
      </c>
      <c r="F222" s="153"/>
      <c r="G222" s="153"/>
      <c r="H222" s="153"/>
      <c r="I222" s="153"/>
    </row>
    <row r="223" spans="1:9" x14ac:dyDescent="0.3">
      <c r="A223" s="153" t="s">
        <v>14784</v>
      </c>
      <c r="B223" s="153" t="s">
        <v>14780</v>
      </c>
      <c r="C223" s="153" t="s">
        <v>962</v>
      </c>
      <c r="D223" s="153" t="s">
        <v>14776</v>
      </c>
      <c r="E223" s="153" t="s">
        <v>1125</v>
      </c>
      <c r="F223" s="153"/>
      <c r="G223" s="153"/>
      <c r="H223" s="153"/>
      <c r="I223" s="153"/>
    </row>
    <row r="224" spans="1:9" x14ac:dyDescent="0.3">
      <c r="A224" s="153" t="s">
        <v>14783</v>
      </c>
      <c r="B224" s="153" t="s">
        <v>14782</v>
      </c>
      <c r="C224" s="153" t="s">
        <v>962</v>
      </c>
      <c r="D224" s="153" t="s">
        <v>14776</v>
      </c>
      <c r="E224" s="153" t="s">
        <v>14697</v>
      </c>
      <c r="F224" s="153"/>
      <c r="G224" s="153"/>
      <c r="H224" s="153"/>
      <c r="I224" s="153"/>
    </row>
    <row r="225" spans="1:9" x14ac:dyDescent="0.3">
      <c r="A225" s="153" t="s">
        <v>14781</v>
      </c>
      <c r="B225" s="153" t="s">
        <v>14780</v>
      </c>
      <c r="C225" s="153" t="s">
        <v>962</v>
      </c>
      <c r="D225" s="153" t="s">
        <v>14779</v>
      </c>
      <c r="E225" s="153" t="s">
        <v>1125</v>
      </c>
      <c r="F225" s="153"/>
      <c r="G225" s="153"/>
      <c r="H225" s="153"/>
      <c r="I225" s="153"/>
    </row>
    <row r="226" spans="1:9" x14ac:dyDescent="0.3">
      <c r="A226" s="153" t="s">
        <v>14778</v>
      </c>
      <c r="B226" s="153" t="s">
        <v>14777</v>
      </c>
      <c r="C226" s="153" t="s">
        <v>962</v>
      </c>
      <c r="D226" s="153" t="s">
        <v>14776</v>
      </c>
      <c r="E226" s="153" t="s">
        <v>14697</v>
      </c>
      <c r="F226" s="153"/>
      <c r="G226" s="153"/>
      <c r="H226" s="153"/>
      <c r="I226" s="153"/>
    </row>
    <row r="227" spans="1:9" x14ac:dyDescent="0.3">
      <c r="A227" s="153"/>
      <c r="B227" s="153"/>
      <c r="C227" s="153"/>
      <c r="D227" s="153"/>
      <c r="E227" s="153"/>
      <c r="F227" s="153"/>
      <c r="G227" s="153"/>
      <c r="H227" s="153"/>
      <c r="I227" s="153"/>
    </row>
    <row r="228" spans="1:9" x14ac:dyDescent="0.3">
      <c r="A228" s="279" t="s">
        <v>14775</v>
      </c>
      <c r="B228" s="279"/>
      <c r="C228" s="279"/>
      <c r="D228" s="279"/>
      <c r="E228" s="279"/>
      <c r="F228" s="279"/>
      <c r="G228" s="279"/>
      <c r="H228" s="153"/>
      <c r="I228" s="153"/>
    </row>
    <row r="229" spans="1:9" x14ac:dyDescent="0.3">
      <c r="A229" s="280" t="s">
        <v>2</v>
      </c>
      <c r="B229" s="280" t="s">
        <v>1120</v>
      </c>
      <c r="C229" s="280" t="s">
        <v>1</v>
      </c>
      <c r="D229" s="280" t="s">
        <v>14774</v>
      </c>
      <c r="E229" s="153"/>
      <c r="F229" s="153"/>
      <c r="G229" s="153"/>
      <c r="H229" s="153"/>
      <c r="I229" s="153"/>
    </row>
    <row r="230" spans="1:9" x14ac:dyDescent="0.3">
      <c r="A230" s="153" t="s">
        <v>14773</v>
      </c>
      <c r="B230" s="153" t="s">
        <v>14772</v>
      </c>
      <c r="C230" s="153" t="s">
        <v>14770</v>
      </c>
      <c r="D230" s="153" t="s">
        <v>14771</v>
      </c>
      <c r="E230" s="153"/>
      <c r="F230" s="153"/>
      <c r="G230" s="153"/>
      <c r="H230" s="153"/>
      <c r="I230" s="153"/>
    </row>
    <row r="231" spans="1:9" x14ac:dyDescent="0.3">
      <c r="A231" s="153" t="s">
        <v>14769</v>
      </c>
      <c r="B231" s="153" t="s">
        <v>14768</v>
      </c>
      <c r="C231" s="153" t="s">
        <v>14766</v>
      </c>
      <c r="D231" s="153" t="s">
        <v>14767</v>
      </c>
      <c r="E231" s="153"/>
      <c r="F231" s="153"/>
      <c r="G231" s="153"/>
      <c r="H231" s="153"/>
      <c r="I231" s="153"/>
    </row>
    <row r="232" spans="1:9" ht="28.8" x14ac:dyDescent="0.3">
      <c r="A232" s="153" t="s">
        <v>14765</v>
      </c>
      <c r="B232" s="153" t="s">
        <v>14764</v>
      </c>
      <c r="C232" s="153" t="s">
        <v>14762</v>
      </c>
      <c r="D232" s="153" t="s">
        <v>14763</v>
      </c>
      <c r="E232" s="153"/>
      <c r="F232" s="153"/>
      <c r="G232" s="153"/>
      <c r="H232" s="153"/>
      <c r="I232" s="153"/>
    </row>
    <row r="233" spans="1:9" x14ac:dyDescent="0.3">
      <c r="A233" s="153" t="s">
        <v>14761</v>
      </c>
      <c r="B233" s="153" t="s">
        <v>14760</v>
      </c>
      <c r="C233" s="153" t="s">
        <v>14758</v>
      </c>
      <c r="D233" s="153" t="s">
        <v>14759</v>
      </c>
      <c r="E233" s="153"/>
      <c r="F233" s="153"/>
      <c r="G233" s="153"/>
      <c r="H233" s="153"/>
      <c r="I233" s="153"/>
    </row>
    <row r="234" spans="1:9" x14ac:dyDescent="0.3">
      <c r="A234" s="153" t="s">
        <v>14757</v>
      </c>
      <c r="B234" s="153" t="s">
        <v>14756</v>
      </c>
      <c r="C234" s="153" t="s">
        <v>14754</v>
      </c>
      <c r="D234" s="153" t="s">
        <v>14755</v>
      </c>
      <c r="E234" s="153"/>
      <c r="F234" s="153"/>
      <c r="G234" s="153"/>
      <c r="H234" s="153"/>
      <c r="I234" s="153"/>
    </row>
    <row r="235" spans="1:9" x14ac:dyDescent="0.3">
      <c r="A235" s="153" t="s">
        <v>14753</v>
      </c>
      <c r="B235" s="153" t="s">
        <v>14752</v>
      </c>
      <c r="C235" s="153" t="s">
        <v>14751</v>
      </c>
      <c r="D235" s="153" t="s">
        <v>14602</v>
      </c>
      <c r="E235" s="153"/>
      <c r="F235" s="153"/>
      <c r="G235" s="153"/>
      <c r="H235" s="153"/>
      <c r="I235" s="153"/>
    </row>
    <row r="236" spans="1:9" x14ac:dyDescent="0.3">
      <c r="A236" s="153" t="s">
        <v>14750</v>
      </c>
      <c r="B236" s="153" t="s">
        <v>14749</v>
      </c>
      <c r="C236" s="153" t="s">
        <v>14748</v>
      </c>
      <c r="D236" s="153" t="s">
        <v>989</v>
      </c>
      <c r="E236" s="153"/>
      <c r="F236" s="153"/>
      <c r="G236" s="153"/>
      <c r="H236" s="153"/>
      <c r="I236" s="153"/>
    </row>
    <row r="237" spans="1:9" x14ac:dyDescent="0.3">
      <c r="A237" s="153"/>
      <c r="B237" s="153"/>
      <c r="C237" s="153"/>
      <c r="D237" s="153"/>
      <c r="E237" s="153"/>
      <c r="F237" s="153"/>
      <c r="G237" s="153"/>
      <c r="H237" s="153"/>
      <c r="I237" s="153"/>
    </row>
    <row r="238" spans="1:9" x14ac:dyDescent="0.3">
      <c r="A238" s="279" t="s">
        <v>15037</v>
      </c>
      <c r="B238" s="279"/>
      <c r="C238" s="279"/>
      <c r="D238" s="279"/>
      <c r="E238" s="279"/>
      <c r="F238" s="279"/>
      <c r="G238" s="279"/>
      <c r="H238" s="153"/>
      <c r="I238" s="153"/>
    </row>
    <row r="239" spans="1:9" x14ac:dyDescent="0.3">
      <c r="A239" s="280" t="s">
        <v>1397</v>
      </c>
      <c r="B239" s="280" t="s">
        <v>14714</v>
      </c>
      <c r="C239" s="280" t="s">
        <v>14713</v>
      </c>
      <c r="D239" s="280" t="s">
        <v>14712</v>
      </c>
      <c r="E239" s="153"/>
      <c r="F239" s="153"/>
      <c r="G239" s="153"/>
      <c r="H239" s="153"/>
      <c r="I239" s="153"/>
    </row>
    <row r="240" spans="1:9" x14ac:dyDescent="0.3">
      <c r="A240" s="153" t="s">
        <v>14711</v>
      </c>
      <c r="B240" s="153" t="s">
        <v>14705</v>
      </c>
      <c r="C240" s="153" t="s">
        <v>14708</v>
      </c>
      <c r="D240" s="153" t="s">
        <v>14710</v>
      </c>
      <c r="E240" s="153"/>
      <c r="F240" s="153"/>
      <c r="G240" s="153"/>
      <c r="H240" s="153"/>
      <c r="I240" s="153"/>
    </row>
    <row r="241" spans="1:9" x14ac:dyDescent="0.3">
      <c r="A241" s="153" t="s">
        <v>14709</v>
      </c>
      <c r="B241" s="153" t="s">
        <v>14705</v>
      </c>
      <c r="C241" s="153" t="s">
        <v>14708</v>
      </c>
      <c r="D241" s="153" t="s">
        <v>14707</v>
      </c>
      <c r="E241" s="153"/>
      <c r="F241" s="153"/>
      <c r="G241" s="153"/>
      <c r="H241" s="153"/>
      <c r="I241" s="153"/>
    </row>
    <row r="242" spans="1:9" x14ac:dyDescent="0.3">
      <c r="A242" s="153" t="s">
        <v>14706</v>
      </c>
      <c r="B242" s="153" t="s">
        <v>14705</v>
      </c>
      <c r="C242" s="153" t="s">
        <v>14697</v>
      </c>
      <c r="D242" s="153" t="s">
        <v>14704</v>
      </c>
      <c r="E242" s="153"/>
      <c r="F242" s="153"/>
      <c r="G242" s="153"/>
      <c r="H242" s="153"/>
      <c r="I242" s="153"/>
    </row>
    <row r="243" spans="1:9" x14ac:dyDescent="0.3">
      <c r="A243" s="153" t="s">
        <v>14703</v>
      </c>
      <c r="B243" s="153" t="s">
        <v>14698</v>
      </c>
      <c r="C243" s="153" t="s">
        <v>14697</v>
      </c>
      <c r="D243" s="153" t="s">
        <v>14702</v>
      </c>
      <c r="E243" s="153"/>
      <c r="F243" s="153"/>
      <c r="G243" s="153"/>
      <c r="H243" s="153"/>
      <c r="I243" s="153"/>
    </row>
    <row r="244" spans="1:9" x14ac:dyDescent="0.3">
      <c r="A244" s="153" t="s">
        <v>14701</v>
      </c>
      <c r="B244" s="153" t="s">
        <v>14698</v>
      </c>
      <c r="C244" s="153" t="s">
        <v>1125</v>
      </c>
      <c r="D244" s="153" t="s">
        <v>14700</v>
      </c>
      <c r="E244" s="153"/>
      <c r="F244" s="153"/>
      <c r="G244" s="153"/>
      <c r="H244" s="153"/>
      <c r="I244" s="153"/>
    </row>
    <row r="245" spans="1:9" x14ac:dyDescent="0.3">
      <c r="A245" s="153" t="s">
        <v>14699</v>
      </c>
      <c r="B245" s="153" t="s">
        <v>14698</v>
      </c>
      <c r="C245" s="153" t="s">
        <v>14697</v>
      </c>
      <c r="D245" s="153" t="s">
        <v>14696</v>
      </c>
      <c r="E245" s="153"/>
      <c r="F245" s="153"/>
      <c r="G245" s="153"/>
      <c r="H245" s="153"/>
      <c r="I245" s="153"/>
    </row>
    <row r="246" spans="1:9" x14ac:dyDescent="0.3">
      <c r="A246" s="153" t="s">
        <v>14695</v>
      </c>
      <c r="B246" s="153" t="s">
        <v>14690</v>
      </c>
      <c r="C246" s="153" t="s">
        <v>1125</v>
      </c>
      <c r="D246" s="153" t="s">
        <v>14694</v>
      </c>
      <c r="E246" s="153"/>
      <c r="F246" s="153"/>
      <c r="G246" s="153"/>
      <c r="H246" s="153"/>
      <c r="I246" s="153"/>
    </row>
    <row r="247" spans="1:9" x14ac:dyDescent="0.3">
      <c r="A247" s="153" t="s">
        <v>14693</v>
      </c>
      <c r="B247" s="153" t="s">
        <v>14690</v>
      </c>
      <c r="C247" s="153" t="s">
        <v>14689</v>
      </c>
      <c r="D247" s="153" t="s">
        <v>14692</v>
      </c>
      <c r="E247" s="153"/>
      <c r="F247" s="153"/>
      <c r="G247" s="153"/>
      <c r="H247" s="153"/>
      <c r="I247" s="153"/>
    </row>
    <row r="248" spans="1:9" x14ac:dyDescent="0.3">
      <c r="A248" s="153" t="s">
        <v>14691</v>
      </c>
      <c r="B248" s="153" t="s">
        <v>14690</v>
      </c>
      <c r="C248" s="153" t="s">
        <v>14689</v>
      </c>
      <c r="D248" s="153" t="s">
        <v>14688</v>
      </c>
      <c r="E248" s="153"/>
      <c r="F248" s="153"/>
      <c r="G248" s="153"/>
      <c r="H248" s="153"/>
      <c r="I248" s="153"/>
    </row>
    <row r="249" spans="1:9" x14ac:dyDescent="0.3">
      <c r="A249" s="153"/>
      <c r="B249" s="153"/>
      <c r="C249" s="153"/>
      <c r="D249" s="153"/>
      <c r="E249" s="153"/>
      <c r="F249" s="153"/>
      <c r="G249" s="153"/>
      <c r="H249" s="153"/>
      <c r="I249" s="153"/>
    </row>
    <row r="250" spans="1:9" x14ac:dyDescent="0.3">
      <c r="A250" s="279" t="s">
        <v>15038</v>
      </c>
      <c r="B250" s="279"/>
      <c r="C250" s="279"/>
      <c r="D250" s="279"/>
      <c r="E250" s="279"/>
      <c r="F250" s="279"/>
      <c r="G250" s="279"/>
      <c r="H250" s="153"/>
      <c r="I250" s="153"/>
    </row>
    <row r="251" spans="1:9" x14ac:dyDescent="0.3">
      <c r="A251" s="280" t="s">
        <v>2</v>
      </c>
      <c r="B251" s="280" t="s">
        <v>14687</v>
      </c>
      <c r="C251" s="280" t="s">
        <v>14686</v>
      </c>
      <c r="D251" s="280" t="s">
        <v>14685</v>
      </c>
      <c r="E251" s="153"/>
      <c r="F251" s="153"/>
      <c r="G251" s="153"/>
      <c r="H251" s="153"/>
      <c r="I251" s="153"/>
    </row>
    <row r="252" spans="1:9" x14ac:dyDescent="0.3">
      <c r="A252" s="153" t="s">
        <v>14684</v>
      </c>
      <c r="B252" s="153" t="s">
        <v>14683</v>
      </c>
      <c r="C252" s="153" t="s">
        <v>14682</v>
      </c>
      <c r="D252" s="153" t="s">
        <v>14664</v>
      </c>
      <c r="E252" s="153"/>
      <c r="F252" s="153"/>
      <c r="G252" s="153"/>
      <c r="H252" s="153"/>
      <c r="I252" s="153"/>
    </row>
    <row r="253" spans="1:9" x14ac:dyDescent="0.3">
      <c r="A253" s="153" t="s">
        <v>14681</v>
      </c>
      <c r="B253" s="153" t="s">
        <v>14680</v>
      </c>
      <c r="C253" s="153" t="s">
        <v>14679</v>
      </c>
      <c r="D253" s="153" t="s">
        <v>14664</v>
      </c>
      <c r="E253" s="153"/>
      <c r="F253" s="153"/>
      <c r="G253" s="153"/>
      <c r="H253" s="153"/>
      <c r="I253" s="153"/>
    </row>
    <row r="254" spans="1:9" x14ac:dyDescent="0.3">
      <c r="A254" s="153" t="s">
        <v>14678</v>
      </c>
      <c r="B254" s="153" t="s">
        <v>14677</v>
      </c>
      <c r="C254" s="153" t="s">
        <v>14665</v>
      </c>
      <c r="D254" s="153" t="s">
        <v>14676</v>
      </c>
      <c r="E254" s="153"/>
      <c r="F254" s="153"/>
      <c r="G254" s="153"/>
      <c r="H254" s="153"/>
      <c r="I254" s="153"/>
    </row>
    <row r="255" spans="1:9" x14ac:dyDescent="0.3">
      <c r="A255" s="153" t="s">
        <v>14675</v>
      </c>
      <c r="B255" s="153" t="s">
        <v>14674</v>
      </c>
      <c r="C255" s="153" t="s">
        <v>14673</v>
      </c>
      <c r="D255" s="153" t="s">
        <v>14672</v>
      </c>
      <c r="E255" s="153"/>
      <c r="F255" s="153"/>
      <c r="G255" s="153"/>
      <c r="H255" s="153"/>
      <c r="I255" s="153"/>
    </row>
    <row r="256" spans="1:9" x14ac:dyDescent="0.3">
      <c r="A256" s="153" t="s">
        <v>14671</v>
      </c>
      <c r="B256" s="153" t="s">
        <v>14670</v>
      </c>
      <c r="C256" s="153" t="s">
        <v>14669</v>
      </c>
      <c r="D256" s="153" t="s">
        <v>14668</v>
      </c>
      <c r="E256" s="153"/>
      <c r="F256" s="153"/>
      <c r="G256" s="153"/>
      <c r="H256" s="153"/>
      <c r="I256" s="153"/>
    </row>
    <row r="257" spans="1:9" x14ac:dyDescent="0.3">
      <c r="A257" s="153" t="s">
        <v>14667</v>
      </c>
      <c r="B257" s="153" t="s">
        <v>14666</v>
      </c>
      <c r="C257" s="153" t="s">
        <v>14665</v>
      </c>
      <c r="D257" s="153" t="s">
        <v>14664</v>
      </c>
      <c r="E257" s="153"/>
      <c r="F257" s="153"/>
      <c r="G257" s="153"/>
      <c r="H257" s="153"/>
      <c r="I257" s="153"/>
    </row>
    <row r="258" spans="1:9" x14ac:dyDescent="0.3">
      <c r="A258" s="153" t="s">
        <v>14663</v>
      </c>
      <c r="B258" s="153" t="s">
        <v>14662</v>
      </c>
      <c r="C258" s="153" t="s">
        <v>14661</v>
      </c>
      <c r="D258" s="153" t="s">
        <v>14660</v>
      </c>
      <c r="E258" s="153"/>
      <c r="F258" s="153"/>
      <c r="G258" s="153"/>
      <c r="H258" s="153"/>
      <c r="I258" s="153"/>
    </row>
    <row r="259" spans="1:9" x14ac:dyDescent="0.3">
      <c r="A259" s="153"/>
      <c r="B259" s="153"/>
      <c r="C259" s="153"/>
      <c r="D259" s="153"/>
      <c r="E259" s="153"/>
      <c r="F259" s="153"/>
      <c r="G259" s="153"/>
      <c r="H259" s="153"/>
      <c r="I259" s="153"/>
    </row>
    <row r="260" spans="1:9" x14ac:dyDescent="0.3">
      <c r="A260" s="279" t="s">
        <v>15039</v>
      </c>
      <c r="B260" s="279"/>
      <c r="C260" s="279"/>
      <c r="D260" s="279"/>
      <c r="E260" s="279"/>
      <c r="F260" s="279"/>
      <c r="G260" s="279"/>
      <c r="H260" s="153"/>
      <c r="I260" s="153"/>
    </row>
    <row r="261" spans="1:9" x14ac:dyDescent="0.3">
      <c r="A261" s="280" t="s">
        <v>14659</v>
      </c>
      <c r="B261" s="280" t="s">
        <v>1140</v>
      </c>
      <c r="C261" s="280" t="s">
        <v>14658</v>
      </c>
      <c r="D261" s="280" t="s">
        <v>14657</v>
      </c>
      <c r="E261" s="280" t="s">
        <v>14656</v>
      </c>
      <c r="F261" s="153"/>
      <c r="G261" s="153"/>
      <c r="H261" s="153"/>
      <c r="I261" s="153"/>
    </row>
    <row r="262" spans="1:9" x14ac:dyDescent="0.3">
      <c r="A262" s="153" t="s">
        <v>14655</v>
      </c>
      <c r="B262" s="153" t="s">
        <v>1143</v>
      </c>
      <c r="C262" s="153" t="s">
        <v>14654</v>
      </c>
      <c r="D262" s="153" t="s">
        <v>14653</v>
      </c>
      <c r="E262" s="153" t="s">
        <v>14652</v>
      </c>
      <c r="F262" s="153"/>
      <c r="G262" s="153"/>
      <c r="H262" s="153"/>
      <c r="I262" s="153"/>
    </row>
    <row r="263" spans="1:9" x14ac:dyDescent="0.3">
      <c r="A263" s="153" t="s">
        <v>14651</v>
      </c>
      <c r="B263" s="153" t="s">
        <v>14638</v>
      </c>
      <c r="C263" s="153" t="s">
        <v>14650</v>
      </c>
      <c r="D263" s="153" t="s">
        <v>14649</v>
      </c>
      <c r="E263" s="153" t="s">
        <v>14648</v>
      </c>
      <c r="F263" s="153"/>
      <c r="G263" s="153"/>
      <c r="H263" s="153"/>
      <c r="I263" s="153"/>
    </row>
    <row r="264" spans="1:9" x14ac:dyDescent="0.3">
      <c r="A264" s="153" t="s">
        <v>14647</v>
      </c>
      <c r="B264" s="153" t="s">
        <v>14638</v>
      </c>
      <c r="C264" s="153" t="s">
        <v>14646</v>
      </c>
      <c r="D264" s="153" t="s">
        <v>14645</v>
      </c>
      <c r="E264" s="153" t="s">
        <v>14644</v>
      </c>
      <c r="F264" s="153"/>
      <c r="G264" s="153"/>
      <c r="H264" s="153"/>
      <c r="I264" s="153"/>
    </row>
    <row r="265" spans="1:9" x14ac:dyDescent="0.3">
      <c r="A265" s="153" t="s">
        <v>14643</v>
      </c>
      <c r="B265" s="153" t="s">
        <v>14642</v>
      </c>
      <c r="C265" s="153" t="s">
        <v>14634</v>
      </c>
      <c r="D265" s="153" t="s">
        <v>14641</v>
      </c>
      <c r="E265" s="153" t="s">
        <v>14640</v>
      </c>
      <c r="F265" s="153"/>
      <c r="G265" s="153"/>
      <c r="H265" s="153"/>
      <c r="I265" s="153"/>
    </row>
    <row r="266" spans="1:9" x14ac:dyDescent="0.3">
      <c r="A266" s="153" t="s">
        <v>14639</v>
      </c>
      <c r="B266" s="153" t="s">
        <v>14638</v>
      </c>
      <c r="C266" s="153" t="s">
        <v>14637</v>
      </c>
      <c r="D266" s="153" t="s">
        <v>14636</v>
      </c>
      <c r="E266" s="153" t="s">
        <v>14635</v>
      </c>
      <c r="F266" s="153"/>
      <c r="G266" s="153"/>
      <c r="H266" s="153"/>
      <c r="I266" s="153"/>
    </row>
    <row r="267" spans="1:9" x14ac:dyDescent="0.3">
      <c r="A267" s="153" t="s">
        <v>1081</v>
      </c>
      <c r="B267" s="153" t="s">
        <v>1081</v>
      </c>
      <c r="C267" s="153" t="s">
        <v>14634</v>
      </c>
      <c r="D267" s="153" t="s">
        <v>14633</v>
      </c>
      <c r="E267" s="153" t="s">
        <v>1548</v>
      </c>
      <c r="F267" s="153"/>
      <c r="G267" s="153"/>
      <c r="H267" s="153"/>
      <c r="I267" s="153"/>
    </row>
    <row r="268" spans="1:9" x14ac:dyDescent="0.3">
      <c r="A268" s="153" t="s">
        <v>14632</v>
      </c>
      <c r="B268" s="153" t="s">
        <v>14631</v>
      </c>
      <c r="C268" s="153" t="s">
        <v>14630</v>
      </c>
      <c r="D268" s="153" t="s">
        <v>14629</v>
      </c>
      <c r="E268" s="153" t="s">
        <v>14628</v>
      </c>
      <c r="F268" s="153"/>
      <c r="G268" s="153"/>
      <c r="H268" s="153"/>
      <c r="I268" s="153"/>
    </row>
    <row r="269" spans="1:9" x14ac:dyDescent="0.3">
      <c r="A269" s="153" t="s">
        <v>14627</v>
      </c>
      <c r="B269" s="153" t="s">
        <v>989</v>
      </c>
      <c r="C269" s="153" t="s">
        <v>14626</v>
      </c>
      <c r="D269" s="153" t="s">
        <v>14625</v>
      </c>
      <c r="E269" s="153" t="s">
        <v>14624</v>
      </c>
      <c r="F269" s="153"/>
      <c r="G269" s="153"/>
      <c r="H269" s="153"/>
      <c r="I269" s="153"/>
    </row>
    <row r="270" spans="1:9" x14ac:dyDescent="0.3">
      <c r="A270" s="153"/>
      <c r="B270" s="153"/>
      <c r="C270" s="153"/>
      <c r="D270" s="153"/>
      <c r="E270" s="153"/>
      <c r="F270" s="153"/>
      <c r="G270" s="153"/>
      <c r="H270" s="153"/>
      <c r="I270" s="153"/>
    </row>
    <row r="271" spans="1:9" x14ac:dyDescent="0.3">
      <c r="A271" s="279" t="s">
        <v>15040</v>
      </c>
      <c r="B271" s="279"/>
      <c r="C271" s="279"/>
      <c r="D271" s="279"/>
      <c r="E271" s="279"/>
      <c r="F271" s="279"/>
      <c r="G271" s="279"/>
      <c r="H271" s="153"/>
      <c r="I271" s="153"/>
    </row>
    <row r="272" spans="1:9" x14ac:dyDescent="0.3">
      <c r="A272" s="280" t="s">
        <v>14623</v>
      </c>
      <c r="B272" s="280" t="s">
        <v>14622</v>
      </c>
      <c r="C272" s="280" t="s">
        <v>14621</v>
      </c>
      <c r="D272" s="280" t="s">
        <v>14620</v>
      </c>
      <c r="E272" s="280" t="s">
        <v>14619</v>
      </c>
      <c r="F272" s="153"/>
      <c r="G272" s="153"/>
      <c r="H272" s="153"/>
      <c r="I272" s="153"/>
    </row>
    <row r="273" spans="1:9" x14ac:dyDescent="0.3">
      <c r="A273" s="153" t="s">
        <v>14618</v>
      </c>
      <c r="B273" s="153" t="s">
        <v>14617</v>
      </c>
      <c r="C273" s="153" t="s">
        <v>14606</v>
      </c>
      <c r="D273" s="153" t="s">
        <v>14597</v>
      </c>
      <c r="E273" s="153" t="s">
        <v>14616</v>
      </c>
      <c r="F273" s="153"/>
      <c r="G273" s="153"/>
      <c r="H273" s="153"/>
      <c r="I273" s="153"/>
    </row>
    <row r="274" spans="1:9" x14ac:dyDescent="0.3">
      <c r="A274" s="153" t="s">
        <v>14615</v>
      </c>
      <c r="B274" s="153" t="s">
        <v>14594</v>
      </c>
      <c r="C274" s="153" t="s">
        <v>14614</v>
      </c>
      <c r="D274" s="153" t="s">
        <v>14613</v>
      </c>
      <c r="E274" s="153" t="s">
        <v>14612</v>
      </c>
      <c r="F274" s="153"/>
      <c r="G274" s="153"/>
      <c r="H274" s="153"/>
      <c r="I274" s="153"/>
    </row>
    <row r="275" spans="1:9" x14ac:dyDescent="0.3">
      <c r="A275" s="153" t="s">
        <v>14611</v>
      </c>
      <c r="B275" s="153" t="s">
        <v>1155</v>
      </c>
      <c r="C275" s="153" t="s">
        <v>14610</v>
      </c>
      <c r="D275" s="153" t="s">
        <v>14609</v>
      </c>
      <c r="E275" s="153" t="s">
        <v>14608</v>
      </c>
      <c r="F275" s="153"/>
      <c r="G275" s="153"/>
      <c r="H275" s="153"/>
      <c r="I275" s="153"/>
    </row>
    <row r="276" spans="1:9" x14ac:dyDescent="0.3">
      <c r="A276" s="153" t="s">
        <v>14342</v>
      </c>
      <c r="B276" s="153" t="s">
        <v>14607</v>
      </c>
      <c r="C276" s="153" t="s">
        <v>14606</v>
      </c>
      <c r="D276" s="153" t="s">
        <v>14597</v>
      </c>
      <c r="E276" s="153" t="s">
        <v>14605</v>
      </c>
      <c r="F276" s="153"/>
      <c r="G276" s="153"/>
      <c r="H276" s="153"/>
      <c r="I276" s="153"/>
    </row>
    <row r="277" spans="1:9" x14ac:dyDescent="0.3">
      <c r="A277" s="153" t="s">
        <v>1499</v>
      </c>
      <c r="B277" s="153" t="s">
        <v>14604</v>
      </c>
      <c r="C277" s="153" t="s">
        <v>14603</v>
      </c>
      <c r="D277" s="153" t="s">
        <v>14602</v>
      </c>
      <c r="E277" s="153" t="s">
        <v>14601</v>
      </c>
      <c r="F277" s="153"/>
      <c r="G277" s="153"/>
      <c r="H277" s="153"/>
      <c r="I277" s="153"/>
    </row>
    <row r="278" spans="1:9" x14ac:dyDescent="0.3">
      <c r="A278" s="153" t="s">
        <v>14600</v>
      </c>
      <c r="B278" s="153" t="s">
        <v>14599</v>
      </c>
      <c r="C278" s="153" t="s">
        <v>14598</v>
      </c>
      <c r="D278" s="153" t="s">
        <v>14597</v>
      </c>
      <c r="E278" s="153" t="s">
        <v>14596</v>
      </c>
      <c r="F278" s="153"/>
      <c r="G278" s="153"/>
      <c r="H278" s="153"/>
      <c r="I278" s="153"/>
    </row>
    <row r="279" spans="1:9" x14ac:dyDescent="0.3">
      <c r="A279" s="153" t="s">
        <v>14595</v>
      </c>
      <c r="B279" s="153" t="s">
        <v>14594</v>
      </c>
      <c r="C279" s="153" t="s">
        <v>14593</v>
      </c>
      <c r="D279" s="153" t="s">
        <v>14592</v>
      </c>
      <c r="E279" s="153" t="s">
        <v>14591</v>
      </c>
      <c r="F279" s="153"/>
      <c r="G279" s="153"/>
      <c r="H279" s="153"/>
      <c r="I279" s="153"/>
    </row>
    <row r="280" spans="1:9" x14ac:dyDescent="0.3">
      <c r="A280" s="153"/>
      <c r="B280" s="153"/>
      <c r="C280" s="153"/>
      <c r="D280" s="153"/>
      <c r="E280" s="153"/>
      <c r="F280" s="153"/>
      <c r="G280" s="153"/>
      <c r="H280" s="153"/>
      <c r="I280" s="153"/>
    </row>
    <row r="281" spans="1:9" x14ac:dyDescent="0.3">
      <c r="A281" s="279" t="s">
        <v>15041</v>
      </c>
      <c r="B281" s="279"/>
      <c r="C281" s="279"/>
      <c r="D281" s="279"/>
      <c r="E281" s="279"/>
      <c r="F281" s="279"/>
      <c r="G281" s="279"/>
      <c r="H281" s="153"/>
      <c r="I281" s="153"/>
    </row>
    <row r="282" spans="1:9" x14ac:dyDescent="0.3">
      <c r="A282" s="280" t="s">
        <v>13582</v>
      </c>
      <c r="B282" s="280" t="s">
        <v>14590</v>
      </c>
      <c r="C282" s="280" t="s">
        <v>14589</v>
      </c>
      <c r="D282" s="280" t="s">
        <v>14588</v>
      </c>
      <c r="E282" s="280" t="s">
        <v>14587</v>
      </c>
      <c r="F282" s="153"/>
      <c r="G282" s="153"/>
      <c r="H282" s="153"/>
      <c r="I282" s="153"/>
    </row>
    <row r="283" spans="1:9" x14ac:dyDescent="0.3">
      <c r="A283" s="153" t="s">
        <v>14586</v>
      </c>
      <c r="B283" s="153" t="s">
        <v>14585</v>
      </c>
      <c r="C283" s="153" t="s">
        <v>14584</v>
      </c>
      <c r="D283" s="153" t="s">
        <v>14583</v>
      </c>
      <c r="E283" s="153" t="s">
        <v>14574</v>
      </c>
      <c r="F283" s="153"/>
      <c r="G283" s="153"/>
      <c r="H283" s="153"/>
      <c r="I283" s="153"/>
    </row>
    <row r="284" spans="1:9" x14ac:dyDescent="0.3">
      <c r="A284" s="153" t="s">
        <v>14582</v>
      </c>
      <c r="B284" s="153" t="s">
        <v>14581</v>
      </c>
      <c r="C284" s="153" t="s">
        <v>14580</v>
      </c>
      <c r="D284" s="153" t="s">
        <v>14579</v>
      </c>
      <c r="E284" s="153" t="s">
        <v>14551</v>
      </c>
      <c r="F284" s="153"/>
      <c r="G284" s="153"/>
      <c r="H284" s="153"/>
      <c r="I284" s="153"/>
    </row>
    <row r="285" spans="1:9" x14ac:dyDescent="0.3">
      <c r="A285" s="153" t="s">
        <v>14578</v>
      </c>
      <c r="B285" s="153" t="s">
        <v>14577</v>
      </c>
      <c r="C285" s="153" t="s">
        <v>14576</v>
      </c>
      <c r="D285" s="153" t="s">
        <v>14575</v>
      </c>
      <c r="E285" s="153" t="s">
        <v>14574</v>
      </c>
      <c r="F285" s="153"/>
      <c r="G285" s="153"/>
      <c r="H285" s="153"/>
      <c r="I285" s="153"/>
    </row>
    <row r="286" spans="1:9" x14ac:dyDescent="0.3">
      <c r="A286" s="153" t="s">
        <v>14573</v>
      </c>
      <c r="B286" s="153" t="s">
        <v>14572</v>
      </c>
      <c r="C286" s="153" t="s">
        <v>14571</v>
      </c>
      <c r="D286" s="153" t="s">
        <v>14570</v>
      </c>
      <c r="E286" s="153" t="s">
        <v>14551</v>
      </c>
      <c r="F286" s="153"/>
      <c r="G286" s="153"/>
      <c r="H286" s="153"/>
      <c r="I286" s="153"/>
    </row>
    <row r="287" spans="1:9" x14ac:dyDescent="0.3">
      <c r="A287" s="153" t="s">
        <v>388</v>
      </c>
      <c r="B287" s="153" t="s">
        <v>14569</v>
      </c>
      <c r="C287" s="153" t="s">
        <v>14568</v>
      </c>
      <c r="D287" s="153" t="s">
        <v>14552</v>
      </c>
      <c r="E287" s="153" t="s">
        <v>14567</v>
      </c>
      <c r="F287" s="153"/>
      <c r="G287" s="153"/>
      <c r="H287" s="153"/>
      <c r="I287" s="153"/>
    </row>
    <row r="288" spans="1:9" x14ac:dyDescent="0.3">
      <c r="A288" s="153" t="s">
        <v>14566</v>
      </c>
      <c r="B288" s="153" t="s">
        <v>14565</v>
      </c>
      <c r="C288" s="153" t="s">
        <v>14564</v>
      </c>
      <c r="D288" s="153" t="s">
        <v>14552</v>
      </c>
      <c r="E288" s="153" t="s">
        <v>14551</v>
      </c>
      <c r="F288" s="153"/>
      <c r="G288" s="153"/>
      <c r="H288" s="153"/>
      <c r="I288" s="153"/>
    </row>
    <row r="289" spans="1:9" x14ac:dyDescent="0.3">
      <c r="A289" s="153" t="s">
        <v>14563</v>
      </c>
      <c r="B289" s="153" t="s">
        <v>14562</v>
      </c>
      <c r="C289" s="153" t="s">
        <v>14561</v>
      </c>
      <c r="D289" s="153" t="s">
        <v>14560</v>
      </c>
      <c r="E289" s="153" t="s">
        <v>14551</v>
      </c>
      <c r="F289" s="153"/>
      <c r="G289" s="153"/>
      <c r="H289" s="153"/>
      <c r="I289" s="153"/>
    </row>
    <row r="290" spans="1:9" x14ac:dyDescent="0.3">
      <c r="A290" s="153" t="s">
        <v>14559</v>
      </c>
      <c r="B290" s="153" t="s">
        <v>14558</v>
      </c>
      <c r="C290" s="153" t="s">
        <v>14557</v>
      </c>
      <c r="D290" s="153" t="s">
        <v>14556</v>
      </c>
      <c r="E290" s="153" t="s">
        <v>14555</v>
      </c>
      <c r="F290" s="153"/>
      <c r="G290" s="153"/>
      <c r="H290" s="153"/>
      <c r="I290" s="153"/>
    </row>
    <row r="291" spans="1:9" x14ac:dyDescent="0.3">
      <c r="A291" s="153" t="s">
        <v>14554</v>
      </c>
      <c r="B291" s="282" t="s">
        <v>15047</v>
      </c>
      <c r="C291" s="153" t="s">
        <v>14553</v>
      </c>
      <c r="D291" s="153" t="s">
        <v>14552</v>
      </c>
      <c r="E291" s="153" t="s">
        <v>14551</v>
      </c>
      <c r="F291" s="153"/>
      <c r="G291" s="153"/>
      <c r="H291" s="153"/>
      <c r="I291" s="153"/>
    </row>
    <row r="292" spans="1:9" x14ac:dyDescent="0.3">
      <c r="A292" s="153" t="s">
        <v>14550</v>
      </c>
      <c r="B292" s="153" t="s">
        <v>14549</v>
      </c>
      <c r="C292" s="153" t="s">
        <v>14548</v>
      </c>
      <c r="D292" s="153" t="s">
        <v>14547</v>
      </c>
      <c r="E292" s="153" t="s">
        <v>14546</v>
      </c>
      <c r="F292" s="153"/>
      <c r="G292" s="153"/>
      <c r="H292" s="153"/>
      <c r="I292" s="153"/>
    </row>
    <row r="293" spans="1:9" x14ac:dyDescent="0.3">
      <c r="A293" s="153"/>
      <c r="B293" s="153"/>
      <c r="C293" s="153"/>
      <c r="D293" s="153"/>
      <c r="E293" s="153"/>
      <c r="F293" s="153"/>
      <c r="G293" s="153"/>
      <c r="H293" s="153"/>
      <c r="I293" s="153"/>
    </row>
    <row r="294" spans="1:9" x14ac:dyDescent="0.3">
      <c r="A294" s="279" t="s">
        <v>15042</v>
      </c>
      <c r="B294" s="279"/>
      <c r="C294" s="279"/>
      <c r="D294" s="279"/>
      <c r="E294" s="279"/>
      <c r="F294" s="279"/>
      <c r="G294" s="279"/>
      <c r="H294" s="153"/>
      <c r="I294" s="153"/>
    </row>
    <row r="295" spans="1:9" x14ac:dyDescent="0.3">
      <c r="A295" s="280" t="s">
        <v>1120</v>
      </c>
      <c r="B295" s="280" t="s">
        <v>14545</v>
      </c>
      <c r="C295" s="280" t="s">
        <v>1</v>
      </c>
      <c r="D295" s="280" t="s">
        <v>14543</v>
      </c>
      <c r="E295" s="280" t="s">
        <v>14544</v>
      </c>
      <c r="F295" s="153"/>
      <c r="G295" s="153"/>
      <c r="H295" s="153"/>
      <c r="I295" s="153"/>
    </row>
    <row r="296" spans="1:9" ht="43.2" x14ac:dyDescent="0.3">
      <c r="A296" s="153" t="s">
        <v>14542</v>
      </c>
      <c r="B296" s="153" t="s">
        <v>14541</v>
      </c>
      <c r="C296" s="153" t="s">
        <v>14540</v>
      </c>
      <c r="D296" s="153" t="s">
        <v>14538</v>
      </c>
      <c r="E296" s="153" t="s">
        <v>14539</v>
      </c>
      <c r="F296" s="153"/>
      <c r="G296" s="153"/>
      <c r="H296" s="153"/>
      <c r="I296" s="153"/>
    </row>
    <row r="297" spans="1:9" ht="43.2" x14ac:dyDescent="0.3">
      <c r="A297" s="153" t="s">
        <v>14537</v>
      </c>
      <c r="B297" s="153" t="s">
        <v>14536</v>
      </c>
      <c r="C297" s="153" t="s">
        <v>14535</v>
      </c>
      <c r="D297" s="153" t="s">
        <v>14533</v>
      </c>
      <c r="E297" s="153" t="s">
        <v>14534</v>
      </c>
      <c r="F297" s="153"/>
      <c r="G297" s="153"/>
      <c r="H297" s="153"/>
      <c r="I297" s="153"/>
    </row>
    <row r="298" spans="1:9" ht="43.2" x14ac:dyDescent="0.3">
      <c r="A298" s="153" t="s">
        <v>14532</v>
      </c>
      <c r="B298" s="153" t="s">
        <v>14531</v>
      </c>
      <c r="C298" s="153" t="s">
        <v>14530</v>
      </c>
      <c r="D298" s="153" t="s">
        <v>14528</v>
      </c>
      <c r="E298" s="153" t="s">
        <v>14529</v>
      </c>
      <c r="F298" s="153"/>
      <c r="G298" s="153"/>
      <c r="H298" s="153"/>
      <c r="I298" s="153"/>
    </row>
    <row r="299" spans="1:9" ht="43.2" x14ac:dyDescent="0.3">
      <c r="A299" s="153" t="s">
        <v>14527</v>
      </c>
      <c r="B299" s="153" t="s">
        <v>14526</v>
      </c>
      <c r="C299" s="153" t="s">
        <v>14525</v>
      </c>
      <c r="D299" s="153" t="s">
        <v>14523</v>
      </c>
      <c r="E299" s="153" t="s">
        <v>14524</v>
      </c>
      <c r="F299" s="153"/>
      <c r="G299" s="153"/>
      <c r="H299" s="153"/>
      <c r="I299" s="153"/>
    </row>
    <row r="300" spans="1:9" ht="43.2" x14ac:dyDescent="0.3">
      <c r="A300" s="153" t="s">
        <v>14522</v>
      </c>
      <c r="B300" s="153" t="s">
        <v>14521</v>
      </c>
      <c r="C300" s="153" t="s">
        <v>14520</v>
      </c>
      <c r="D300" s="153" t="s">
        <v>14518</v>
      </c>
      <c r="E300" s="153" t="s">
        <v>14519</v>
      </c>
      <c r="F300" s="153"/>
      <c r="G300" s="153"/>
      <c r="H300" s="153"/>
      <c r="I300" s="153"/>
    </row>
    <row r="301" spans="1:9" ht="43.2" x14ac:dyDescent="0.3">
      <c r="A301" s="153" t="s">
        <v>14517</v>
      </c>
      <c r="B301" s="153" t="s">
        <v>14516</v>
      </c>
      <c r="C301" s="153" t="s">
        <v>14515</v>
      </c>
      <c r="D301" s="153" t="s">
        <v>14513</v>
      </c>
      <c r="E301" s="153" t="s">
        <v>14514</v>
      </c>
      <c r="F301" s="153"/>
      <c r="G301" s="153"/>
      <c r="H301" s="153"/>
      <c r="I301" s="153"/>
    </row>
    <row r="302" spans="1:9" ht="43.2" x14ac:dyDescent="0.3">
      <c r="A302" s="153" t="s">
        <v>14512</v>
      </c>
      <c r="B302" s="153" t="s">
        <v>14511</v>
      </c>
      <c r="C302" s="153" t="s">
        <v>14510</v>
      </c>
      <c r="D302" s="153" t="s">
        <v>14508</v>
      </c>
      <c r="E302" s="153" t="s">
        <v>14509</v>
      </c>
      <c r="F302" s="153"/>
      <c r="G302" s="153"/>
      <c r="H302" s="153"/>
      <c r="I302" s="153"/>
    </row>
    <row r="303" spans="1:9" ht="43.2" x14ac:dyDescent="0.3">
      <c r="A303" s="153" t="s">
        <v>14507</v>
      </c>
      <c r="B303" s="153" t="s">
        <v>14506</v>
      </c>
      <c r="C303" s="153" t="s">
        <v>14505</v>
      </c>
      <c r="D303" s="153" t="s">
        <v>14503</v>
      </c>
      <c r="E303" s="153" t="s">
        <v>14504</v>
      </c>
      <c r="F303" s="153"/>
      <c r="G303" s="153"/>
      <c r="H303" s="153"/>
      <c r="I303" s="153"/>
    </row>
    <row r="304" spans="1:9" x14ac:dyDescent="0.3">
      <c r="A304" s="153"/>
      <c r="B304" s="153"/>
      <c r="C304" s="153"/>
      <c r="D304" s="153"/>
      <c r="E304" s="153"/>
      <c r="F304" s="153"/>
      <c r="G304" s="153"/>
      <c r="H304" s="153"/>
      <c r="I304" s="153"/>
    </row>
    <row r="305" spans="1:9" x14ac:dyDescent="0.3">
      <c r="A305" s="279" t="s">
        <v>15043</v>
      </c>
      <c r="B305" s="279"/>
      <c r="C305" s="279"/>
      <c r="D305" s="279"/>
      <c r="E305" s="279"/>
      <c r="F305" s="279"/>
      <c r="G305" s="279"/>
      <c r="H305" s="153"/>
      <c r="I305" s="153"/>
    </row>
    <row r="306" spans="1:9" x14ac:dyDescent="0.3">
      <c r="A306" s="280" t="s">
        <v>14493</v>
      </c>
      <c r="B306" s="280" t="s">
        <v>14476</v>
      </c>
      <c r="C306" s="280" t="s">
        <v>1</v>
      </c>
      <c r="D306" s="280" t="s">
        <v>14492</v>
      </c>
      <c r="E306" s="280" t="s">
        <v>14491</v>
      </c>
      <c r="F306" s="153"/>
      <c r="G306" s="153"/>
      <c r="H306" s="153"/>
      <c r="I306" s="153"/>
    </row>
    <row r="307" spans="1:9" ht="28.8" x14ac:dyDescent="0.3">
      <c r="A307" s="153" t="s">
        <v>14502</v>
      </c>
      <c r="B307" s="153" t="s">
        <v>962</v>
      </c>
      <c r="C307" s="153" t="s">
        <v>14501</v>
      </c>
      <c r="D307" s="153" t="s">
        <v>14494</v>
      </c>
      <c r="E307" s="153">
        <v>1</v>
      </c>
      <c r="F307" s="153"/>
      <c r="G307" s="153"/>
      <c r="H307" s="153"/>
      <c r="I307" s="153"/>
    </row>
    <row r="308" spans="1:9" ht="28.8" x14ac:dyDescent="0.3">
      <c r="A308" s="153" t="s">
        <v>14500</v>
      </c>
      <c r="B308" s="153" t="s">
        <v>1246</v>
      </c>
      <c r="C308" s="153" t="s">
        <v>14499</v>
      </c>
      <c r="D308" s="153" t="s">
        <v>14494</v>
      </c>
      <c r="E308" s="153">
        <v>2</v>
      </c>
      <c r="F308" s="153"/>
      <c r="G308" s="153"/>
      <c r="H308" s="153"/>
      <c r="I308" s="153"/>
    </row>
    <row r="309" spans="1:9" ht="28.8" x14ac:dyDescent="0.3">
      <c r="A309" s="153" t="s">
        <v>14498</v>
      </c>
      <c r="B309" s="153" t="s">
        <v>988</v>
      </c>
      <c r="C309" s="153" t="s">
        <v>14497</v>
      </c>
      <c r="D309" s="153" t="s">
        <v>14494</v>
      </c>
      <c r="E309" s="153">
        <v>3</v>
      </c>
      <c r="F309" s="153"/>
      <c r="G309" s="153"/>
      <c r="H309" s="153"/>
      <c r="I309" s="153"/>
    </row>
    <row r="310" spans="1:9" x14ac:dyDescent="0.3">
      <c r="A310" s="153" t="s">
        <v>14486</v>
      </c>
      <c r="B310" s="153" t="s">
        <v>14485</v>
      </c>
      <c r="C310" s="153" t="s">
        <v>14496</v>
      </c>
      <c r="D310" s="153" t="s">
        <v>14494</v>
      </c>
      <c r="E310" s="153">
        <v>4</v>
      </c>
      <c r="F310" s="153"/>
      <c r="G310" s="153"/>
      <c r="H310" s="153"/>
      <c r="I310" s="153"/>
    </row>
    <row r="311" spans="1:9" ht="28.8" x14ac:dyDescent="0.3">
      <c r="A311" s="153" t="s">
        <v>14480</v>
      </c>
      <c r="B311" s="153" t="s">
        <v>14448</v>
      </c>
      <c r="C311" s="153" t="s">
        <v>14495</v>
      </c>
      <c r="D311" s="153" t="s">
        <v>14494</v>
      </c>
      <c r="E311" s="153">
        <v>5</v>
      </c>
      <c r="F311" s="153"/>
      <c r="G311" s="153"/>
      <c r="H311" s="153"/>
      <c r="I311" s="153"/>
    </row>
    <row r="312" spans="1:9" x14ac:dyDescent="0.3">
      <c r="A312" s="153"/>
      <c r="B312" s="153"/>
      <c r="C312" s="153"/>
      <c r="D312" s="153"/>
      <c r="E312" s="153"/>
      <c r="F312" s="153"/>
      <c r="G312" s="153"/>
      <c r="H312" s="153"/>
      <c r="I312" s="153"/>
    </row>
    <row r="313" spans="1:9" x14ac:dyDescent="0.3">
      <c r="A313" s="279" t="s">
        <v>15044</v>
      </c>
      <c r="B313" s="279"/>
      <c r="C313" s="279"/>
      <c r="D313" s="279"/>
      <c r="E313" s="279"/>
      <c r="F313" s="279"/>
      <c r="G313" s="279"/>
      <c r="H313" s="153"/>
      <c r="I313" s="153"/>
    </row>
    <row r="314" spans="1:9" x14ac:dyDescent="0.3">
      <c r="A314" s="280" t="s">
        <v>14493</v>
      </c>
      <c r="B314" s="280" t="s">
        <v>14476</v>
      </c>
      <c r="C314" s="280" t="s">
        <v>1</v>
      </c>
      <c r="D314" s="280" t="s">
        <v>14492</v>
      </c>
      <c r="E314" s="280" t="s">
        <v>14491</v>
      </c>
      <c r="F314" s="153"/>
      <c r="G314" s="153"/>
      <c r="H314" s="153"/>
      <c r="I314" s="153"/>
    </row>
    <row r="315" spans="1:9" ht="28.8" x14ac:dyDescent="0.3">
      <c r="A315" s="153" t="s">
        <v>14490</v>
      </c>
      <c r="B315" s="153" t="s">
        <v>1090</v>
      </c>
      <c r="C315" s="153" t="s">
        <v>14489</v>
      </c>
      <c r="D315" s="153" t="s">
        <v>14478</v>
      </c>
      <c r="E315" s="153">
        <v>1</v>
      </c>
      <c r="F315" s="153"/>
      <c r="G315" s="153"/>
      <c r="H315" s="153"/>
      <c r="I315" s="153"/>
    </row>
    <row r="316" spans="1:9" ht="28.8" x14ac:dyDescent="0.3">
      <c r="A316" s="153" t="s">
        <v>14488</v>
      </c>
      <c r="B316" s="153" t="s">
        <v>1070</v>
      </c>
      <c r="C316" s="153" t="s">
        <v>14487</v>
      </c>
      <c r="D316" s="153" t="s">
        <v>14478</v>
      </c>
      <c r="E316" s="153">
        <v>2</v>
      </c>
      <c r="F316" s="153"/>
      <c r="G316" s="153"/>
      <c r="H316" s="153"/>
      <c r="I316" s="153"/>
    </row>
    <row r="317" spans="1:9" x14ac:dyDescent="0.3">
      <c r="A317" s="153" t="s">
        <v>14486</v>
      </c>
      <c r="B317" s="153" t="s">
        <v>14485</v>
      </c>
      <c r="C317" s="153" t="s">
        <v>14484</v>
      </c>
      <c r="D317" s="153" t="s">
        <v>14478</v>
      </c>
      <c r="E317" s="153">
        <v>3</v>
      </c>
      <c r="F317" s="153"/>
      <c r="G317" s="153"/>
      <c r="H317" s="153"/>
      <c r="I317" s="153"/>
    </row>
    <row r="318" spans="1:9" x14ac:dyDescent="0.3">
      <c r="A318" s="153" t="s">
        <v>14483</v>
      </c>
      <c r="B318" s="153" t="s">
        <v>14482</v>
      </c>
      <c r="C318" s="153" t="s">
        <v>14481</v>
      </c>
      <c r="D318" s="153" t="s">
        <v>14478</v>
      </c>
      <c r="E318" s="153">
        <v>4</v>
      </c>
      <c r="F318" s="153"/>
      <c r="G318" s="153"/>
      <c r="H318" s="153"/>
      <c r="I318" s="153"/>
    </row>
    <row r="319" spans="1:9" x14ac:dyDescent="0.3">
      <c r="A319" s="153" t="s">
        <v>14480</v>
      </c>
      <c r="B319" s="153" t="s">
        <v>14448</v>
      </c>
      <c r="C319" s="153" t="s">
        <v>14479</v>
      </c>
      <c r="D319" s="153" t="s">
        <v>14478</v>
      </c>
      <c r="E319" s="153">
        <v>5</v>
      </c>
      <c r="F319" s="153"/>
      <c r="G319" s="153"/>
      <c r="H319" s="153"/>
      <c r="I319" s="153"/>
    </row>
    <row r="320" spans="1:9" x14ac:dyDescent="0.3">
      <c r="A320" s="153"/>
      <c r="B320" s="153"/>
      <c r="C320" s="153"/>
      <c r="D320" s="153"/>
      <c r="E320" s="153"/>
      <c r="F320" s="153"/>
      <c r="G320" s="153"/>
      <c r="H320" s="153"/>
      <c r="I320" s="153"/>
    </row>
    <row r="321" spans="1:9" x14ac:dyDescent="0.3">
      <c r="A321" s="279" t="s">
        <v>15045</v>
      </c>
      <c r="B321" s="279"/>
      <c r="C321" s="279"/>
      <c r="D321" s="279"/>
      <c r="E321" s="279"/>
      <c r="F321" s="279"/>
      <c r="G321" s="279"/>
      <c r="H321" s="153"/>
      <c r="I321" s="153"/>
    </row>
    <row r="322" spans="1:9" x14ac:dyDescent="0.3">
      <c r="A322" s="280" t="s">
        <v>14477</v>
      </c>
      <c r="B322" s="280" t="s">
        <v>14476</v>
      </c>
      <c r="C322" s="280" t="s">
        <v>1</v>
      </c>
      <c r="D322" s="280" t="s">
        <v>14475</v>
      </c>
      <c r="E322" s="280" t="s">
        <v>14474</v>
      </c>
      <c r="F322" s="153"/>
      <c r="G322" s="153"/>
      <c r="H322" s="153"/>
      <c r="I322" s="153"/>
    </row>
    <row r="323" spans="1:9" ht="28.8" x14ac:dyDescent="0.3">
      <c r="A323" s="153" t="s">
        <v>14473</v>
      </c>
      <c r="B323" s="153" t="s">
        <v>14472</v>
      </c>
      <c r="C323" s="153" t="s">
        <v>14471</v>
      </c>
      <c r="D323" s="153" t="s">
        <v>14470</v>
      </c>
      <c r="E323" s="153" t="s">
        <v>14469</v>
      </c>
      <c r="F323" s="153"/>
      <c r="G323" s="153"/>
      <c r="H323" s="153"/>
      <c r="I323" s="153"/>
    </row>
    <row r="324" spans="1:9" ht="28.8" x14ac:dyDescent="0.3">
      <c r="A324" s="153" t="s">
        <v>14468</v>
      </c>
      <c r="B324" s="153" t="s">
        <v>14467</v>
      </c>
      <c r="C324" s="153" t="s">
        <v>14466</v>
      </c>
      <c r="D324" s="153" t="s">
        <v>14465</v>
      </c>
      <c r="E324" s="153" t="s">
        <v>14464</v>
      </c>
      <c r="F324" s="153"/>
      <c r="G324" s="153"/>
      <c r="H324" s="153"/>
      <c r="I324" s="153"/>
    </row>
    <row r="325" spans="1:9" ht="28.8" x14ac:dyDescent="0.3">
      <c r="A325" s="153" t="s">
        <v>14463</v>
      </c>
      <c r="B325" s="153" t="s">
        <v>14462</v>
      </c>
      <c r="C325" s="153" t="s">
        <v>14461</v>
      </c>
      <c r="D325" s="153" t="s">
        <v>14460</v>
      </c>
      <c r="E325" s="153" t="s">
        <v>14459</v>
      </c>
      <c r="F325" s="153"/>
      <c r="G325" s="153"/>
      <c r="H325" s="153"/>
      <c r="I325" s="153"/>
    </row>
    <row r="326" spans="1:9" x14ac:dyDescent="0.3">
      <c r="A326" s="153" t="s">
        <v>14458</v>
      </c>
      <c r="B326" s="153" t="s">
        <v>14457</v>
      </c>
      <c r="C326" s="153" t="s">
        <v>14456</v>
      </c>
      <c r="D326" s="153" t="s">
        <v>14455</v>
      </c>
      <c r="E326" s="153" t="s">
        <v>14454</v>
      </c>
      <c r="F326" s="153"/>
      <c r="G326" s="153"/>
      <c r="H326" s="153"/>
      <c r="I326" s="153"/>
    </row>
    <row r="327" spans="1:9" ht="28.8" x14ac:dyDescent="0.3">
      <c r="A327" s="153" t="s">
        <v>14453</v>
      </c>
      <c r="B327" s="153" t="s">
        <v>14452</v>
      </c>
      <c r="C327" s="153" t="s">
        <v>14451</v>
      </c>
      <c r="D327" s="153" t="s">
        <v>14450</v>
      </c>
      <c r="E327" s="153" t="s">
        <v>14449</v>
      </c>
      <c r="F327" s="153"/>
      <c r="G327" s="153"/>
      <c r="H327" s="153"/>
      <c r="I327" s="153"/>
    </row>
    <row r="328" spans="1:9" ht="28.8" x14ac:dyDescent="0.3">
      <c r="A328" s="153" t="s">
        <v>14448</v>
      </c>
      <c r="B328" s="153" t="s">
        <v>14447</v>
      </c>
      <c r="C328" s="153" t="s">
        <v>14446</v>
      </c>
      <c r="D328" s="153" t="s">
        <v>14445</v>
      </c>
      <c r="E328" s="153" t="s">
        <v>14444</v>
      </c>
      <c r="F328" s="153"/>
      <c r="G328" s="153"/>
      <c r="H328" s="153"/>
      <c r="I328" s="153"/>
    </row>
    <row r="329" spans="1:9" x14ac:dyDescent="0.3">
      <c r="A329" s="153"/>
      <c r="B329" s="153"/>
      <c r="C329" s="153"/>
      <c r="D329" s="153"/>
      <c r="E329" s="153"/>
      <c r="F329" s="153"/>
      <c r="G329" s="153"/>
      <c r="H329" s="153"/>
      <c r="I329" s="153"/>
    </row>
    <row r="330" spans="1:9" ht="48" x14ac:dyDescent="0.3">
      <c r="A330" s="285" t="s">
        <v>15046</v>
      </c>
      <c r="B330" s="153"/>
      <c r="C330" s="153"/>
      <c r="D330" s="153"/>
      <c r="E330" s="153"/>
      <c r="F330" s="153"/>
      <c r="G330" s="153"/>
      <c r="H330" s="153"/>
      <c r="I330" s="153"/>
    </row>
  </sheetData>
  <mergeCells count="39">
    <mergeCell ref="A102:E102"/>
    <mergeCell ref="A117:E117"/>
    <mergeCell ref="A124:E124"/>
    <mergeCell ref="A131:E131"/>
    <mergeCell ref="A147:E147"/>
    <mergeCell ref="A271:G271"/>
    <mergeCell ref="A281:G281"/>
    <mergeCell ref="A294:G294"/>
    <mergeCell ref="A305:G305"/>
    <mergeCell ref="A313:G313"/>
    <mergeCell ref="A321:G321"/>
    <mergeCell ref="A208:G208"/>
    <mergeCell ref="A217:G217"/>
    <mergeCell ref="A228:G228"/>
    <mergeCell ref="A238:G238"/>
    <mergeCell ref="A250:G250"/>
    <mergeCell ref="A260:G260"/>
    <mergeCell ref="A139:G139"/>
    <mergeCell ref="A155:G155"/>
    <mergeCell ref="A160:G160"/>
    <mergeCell ref="A169:G169"/>
    <mergeCell ref="A181:G181"/>
    <mergeCell ref="A189:G189"/>
    <mergeCell ref="A33:G33"/>
    <mergeCell ref="A39:G39"/>
    <mergeCell ref="A45:G45"/>
    <mergeCell ref="A52:G52"/>
    <mergeCell ref="A69:G69"/>
    <mergeCell ref="A116:G116"/>
    <mergeCell ref="A70:E70"/>
    <mergeCell ref="A78:E78"/>
    <mergeCell ref="A86:E86"/>
    <mergeCell ref="A94:E94"/>
    <mergeCell ref="A1:G1"/>
    <mergeCell ref="A2:G2"/>
    <mergeCell ref="A3:G3"/>
    <mergeCell ref="A5:G5"/>
    <mergeCell ref="A13:G13"/>
    <mergeCell ref="A24:G2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0304-97C6-453B-903E-E8ADB13241EA}">
  <sheetPr>
    <tabColor theme="5"/>
  </sheetPr>
  <dimension ref="A1:F108"/>
  <sheetViews>
    <sheetView topLeftCell="A78" workbookViewId="0">
      <selection activeCell="A89" sqref="A89"/>
    </sheetView>
  </sheetViews>
  <sheetFormatPr defaultRowHeight="14.4" x14ac:dyDescent="0.3"/>
  <cols>
    <col min="1" max="1" width="20.33203125" customWidth="1"/>
    <col min="2" max="2" width="37" customWidth="1"/>
    <col min="3" max="3" width="51.88671875" customWidth="1"/>
    <col min="4" max="4" width="25.88671875" customWidth="1"/>
    <col min="5" max="6" width="55.5546875" customWidth="1"/>
  </cols>
  <sheetData>
    <row r="1" spans="1:6" ht="72" x14ac:dyDescent="0.3">
      <c r="A1" s="19" t="s">
        <v>1181</v>
      </c>
      <c r="B1" s="20"/>
      <c r="C1" s="20"/>
      <c r="D1" s="20"/>
      <c r="E1" s="20"/>
      <c r="F1" s="153"/>
    </row>
    <row r="2" spans="1:6" x14ac:dyDescent="0.3">
      <c r="A2" s="20"/>
      <c r="B2" s="20"/>
      <c r="C2" s="20"/>
      <c r="D2" s="20"/>
      <c r="E2" s="20"/>
      <c r="F2" s="153"/>
    </row>
    <row r="3" spans="1:6" x14ac:dyDescent="0.3">
      <c r="A3" s="217" t="s">
        <v>1182</v>
      </c>
      <c r="B3" s="217"/>
      <c r="C3" s="217"/>
      <c r="D3" s="217"/>
      <c r="E3" s="217"/>
      <c r="F3" s="153"/>
    </row>
    <row r="4" spans="1:6" x14ac:dyDescent="0.3">
      <c r="A4" s="21" t="s">
        <v>1068</v>
      </c>
      <c r="B4" s="21" t="s">
        <v>1</v>
      </c>
      <c r="C4" s="21" t="s">
        <v>1183</v>
      </c>
      <c r="D4" s="21" t="s">
        <v>1184</v>
      </c>
      <c r="E4" s="21" t="s">
        <v>1185</v>
      </c>
      <c r="F4" s="192" t="s">
        <v>1176</v>
      </c>
    </row>
    <row r="5" spans="1:6" x14ac:dyDescent="0.3">
      <c r="A5" s="20" t="s">
        <v>1070</v>
      </c>
      <c r="B5" s="20" t="s">
        <v>1186</v>
      </c>
      <c r="C5" s="20" t="s">
        <v>1073</v>
      </c>
      <c r="D5" s="20" t="s">
        <v>1187</v>
      </c>
      <c r="E5" s="20" t="s">
        <v>1188</v>
      </c>
      <c r="F5" s="177" t="s">
        <v>14197</v>
      </c>
    </row>
    <row r="6" spans="1:6" x14ac:dyDescent="0.3">
      <c r="A6" s="20" t="s">
        <v>1074</v>
      </c>
      <c r="B6" s="20" t="s">
        <v>1189</v>
      </c>
      <c r="C6" s="20" t="s">
        <v>1077</v>
      </c>
      <c r="D6" s="20" t="s">
        <v>1187</v>
      </c>
      <c r="E6" s="20" t="s">
        <v>1190</v>
      </c>
      <c r="F6" s="177" t="s">
        <v>14197</v>
      </c>
    </row>
    <row r="7" spans="1:6" x14ac:dyDescent="0.3">
      <c r="A7" s="20" t="s">
        <v>1078</v>
      </c>
      <c r="B7" s="20" t="s">
        <v>1079</v>
      </c>
      <c r="C7" s="20" t="s">
        <v>1080</v>
      </c>
      <c r="D7" s="20" t="s">
        <v>1187</v>
      </c>
      <c r="E7" s="20" t="s">
        <v>1191</v>
      </c>
      <c r="F7" s="177" t="s">
        <v>14197</v>
      </c>
    </row>
    <row r="8" spans="1:6" x14ac:dyDescent="0.3">
      <c r="A8" s="20" t="s">
        <v>1081</v>
      </c>
      <c r="B8" s="20" t="s">
        <v>1192</v>
      </c>
      <c r="C8" s="20" t="s">
        <v>1083</v>
      </c>
      <c r="D8" s="20" t="s">
        <v>1193</v>
      </c>
      <c r="E8" s="20" t="s">
        <v>1194</v>
      </c>
      <c r="F8" s="193" t="s">
        <v>14197</v>
      </c>
    </row>
    <row r="9" spans="1:6" x14ac:dyDescent="0.3">
      <c r="A9" s="20" t="s">
        <v>1084</v>
      </c>
      <c r="B9" s="20" t="s">
        <v>1195</v>
      </c>
      <c r="C9" s="20" t="s">
        <v>13936</v>
      </c>
      <c r="D9" s="20" t="s">
        <v>1196</v>
      </c>
      <c r="E9" s="20" t="s">
        <v>1197</v>
      </c>
      <c r="F9" s="193" t="s">
        <v>14197</v>
      </c>
    </row>
    <row r="10" spans="1:6" x14ac:dyDescent="0.3">
      <c r="A10" s="20" t="s">
        <v>13935</v>
      </c>
      <c r="B10" s="20" t="s">
        <v>1198</v>
      </c>
      <c r="C10" s="20" t="s">
        <v>1089</v>
      </c>
      <c r="D10" s="20" t="s">
        <v>1196</v>
      </c>
      <c r="E10" s="20" t="s">
        <v>1199</v>
      </c>
      <c r="F10" s="193" t="s">
        <v>14197</v>
      </c>
    </row>
    <row r="11" spans="1:6" x14ac:dyDescent="0.3">
      <c r="A11" s="20" t="s">
        <v>1090</v>
      </c>
      <c r="B11" s="20" t="s">
        <v>1200</v>
      </c>
      <c r="C11" s="20" t="s">
        <v>1092</v>
      </c>
      <c r="D11" s="20" t="s">
        <v>1196</v>
      </c>
      <c r="E11" s="20" t="s">
        <v>1201</v>
      </c>
      <c r="F11" s="193" t="s">
        <v>14197</v>
      </c>
    </row>
    <row r="12" spans="1:6" ht="28.8" x14ac:dyDescent="0.3">
      <c r="A12" s="20" t="s">
        <v>1093</v>
      </c>
      <c r="B12" s="20" t="s">
        <v>1202</v>
      </c>
      <c r="C12" s="20" t="s">
        <v>1096</v>
      </c>
      <c r="D12" s="20" t="s">
        <v>1203</v>
      </c>
      <c r="E12" s="20" t="s">
        <v>1204</v>
      </c>
      <c r="F12" s="193" t="s">
        <v>14198</v>
      </c>
    </row>
    <row r="13" spans="1:6" x14ac:dyDescent="0.3">
      <c r="A13" s="20" t="s">
        <v>1097</v>
      </c>
      <c r="B13" s="20" t="s">
        <v>1205</v>
      </c>
      <c r="C13" s="20" t="s">
        <v>1099</v>
      </c>
      <c r="D13" s="20" t="s">
        <v>1206</v>
      </c>
      <c r="E13" s="20" t="s">
        <v>1207</v>
      </c>
      <c r="F13" s="193" t="s">
        <v>14199</v>
      </c>
    </row>
    <row r="14" spans="1:6" x14ac:dyDescent="0.3">
      <c r="A14" s="20" t="s">
        <v>1100</v>
      </c>
      <c r="B14" s="20" t="s">
        <v>1208</v>
      </c>
      <c r="C14" s="20" t="s">
        <v>1188</v>
      </c>
      <c r="D14" s="20" t="s">
        <v>1209</v>
      </c>
      <c r="E14" s="20" t="s">
        <v>989</v>
      </c>
      <c r="F14" s="193" t="s">
        <v>14200</v>
      </c>
    </row>
    <row r="15" spans="1:6" x14ac:dyDescent="0.3">
      <c r="A15" s="20" t="s">
        <v>1104</v>
      </c>
      <c r="B15" s="20" t="s">
        <v>1210</v>
      </c>
      <c r="C15" s="20" t="s">
        <v>1188</v>
      </c>
      <c r="D15" s="20" t="s">
        <v>1209</v>
      </c>
      <c r="E15" s="20" t="s">
        <v>989</v>
      </c>
      <c r="F15" s="193" t="s">
        <v>14200</v>
      </c>
    </row>
    <row r="16" spans="1:6" x14ac:dyDescent="0.3">
      <c r="A16" s="20" t="s">
        <v>1106</v>
      </c>
      <c r="B16" s="20" t="s">
        <v>1211</v>
      </c>
      <c r="C16" s="20" t="s">
        <v>1109</v>
      </c>
      <c r="D16" s="20" t="s">
        <v>962</v>
      </c>
      <c r="E16" s="20" t="s">
        <v>13017</v>
      </c>
      <c r="F16" s="193" t="s">
        <v>14197</v>
      </c>
    </row>
    <row r="17" spans="1:6" x14ac:dyDescent="0.3">
      <c r="A17" s="20" t="s">
        <v>1110</v>
      </c>
      <c r="B17" s="20" t="s">
        <v>1111</v>
      </c>
      <c r="C17" s="20" t="s">
        <v>1078</v>
      </c>
      <c r="D17" s="20" t="s">
        <v>962</v>
      </c>
      <c r="E17" s="20" t="s">
        <v>1212</v>
      </c>
      <c r="F17" s="193" t="s">
        <v>14197</v>
      </c>
    </row>
    <row r="18" spans="1:6" x14ac:dyDescent="0.3">
      <c r="A18" s="20" t="s">
        <v>1113</v>
      </c>
      <c r="B18" s="20" t="s">
        <v>1213</v>
      </c>
      <c r="C18" s="20" t="s">
        <v>1115</v>
      </c>
      <c r="D18" s="20" t="s">
        <v>962</v>
      </c>
      <c r="E18" s="20" t="s">
        <v>1214</v>
      </c>
      <c r="F18" s="193" t="s">
        <v>14197</v>
      </c>
    </row>
    <row r="19" spans="1:6" x14ac:dyDescent="0.3">
      <c r="A19" s="20" t="s">
        <v>1116</v>
      </c>
      <c r="B19" s="20" t="s">
        <v>1215</v>
      </c>
      <c r="C19" s="20" t="s">
        <v>1074</v>
      </c>
      <c r="D19" s="20" t="s">
        <v>1216</v>
      </c>
      <c r="E19" s="20" t="s">
        <v>1217</v>
      </c>
      <c r="F19" s="193" t="s">
        <v>14197</v>
      </c>
    </row>
    <row r="20" spans="1:6" x14ac:dyDescent="0.3">
      <c r="A20" s="20"/>
      <c r="B20" s="20"/>
      <c r="C20" s="20"/>
      <c r="D20" s="20"/>
      <c r="E20" s="20"/>
      <c r="F20" s="153"/>
    </row>
    <row r="21" spans="1:6" x14ac:dyDescent="0.3">
      <c r="A21" s="20"/>
      <c r="B21" s="20"/>
      <c r="C21" s="20"/>
      <c r="D21" s="20"/>
      <c r="E21" s="20"/>
      <c r="F21" s="153"/>
    </row>
    <row r="22" spans="1:6" x14ac:dyDescent="0.3">
      <c r="A22" s="217" t="s">
        <v>1218</v>
      </c>
      <c r="B22" s="217"/>
      <c r="C22" s="217"/>
      <c r="D22" s="217"/>
      <c r="E22" s="217"/>
      <c r="F22" s="153"/>
    </row>
    <row r="23" spans="1:6" x14ac:dyDescent="0.3">
      <c r="A23" s="21" t="s">
        <v>1068</v>
      </c>
      <c r="B23" s="21" t="s">
        <v>1</v>
      </c>
      <c r="C23" s="21" t="s">
        <v>1183</v>
      </c>
      <c r="D23" s="21" t="s">
        <v>1184</v>
      </c>
      <c r="E23" s="21" t="s">
        <v>1219</v>
      </c>
      <c r="F23" s="192" t="s">
        <v>1176</v>
      </c>
    </row>
    <row r="24" spans="1:6" x14ac:dyDescent="0.3">
      <c r="A24" s="20" t="s">
        <v>1220</v>
      </c>
      <c r="B24" s="20" t="s">
        <v>1221</v>
      </c>
      <c r="C24" s="20" t="s">
        <v>1222</v>
      </c>
      <c r="D24" s="20" t="s">
        <v>962</v>
      </c>
      <c r="E24" s="20" t="s">
        <v>1223</v>
      </c>
      <c r="F24" s="177" t="s">
        <v>14197</v>
      </c>
    </row>
    <row r="25" spans="1:6" x14ac:dyDescent="0.3">
      <c r="A25" s="20" t="s">
        <v>1224</v>
      </c>
      <c r="B25" s="20" t="s">
        <v>1225</v>
      </c>
      <c r="C25" s="20" t="s">
        <v>1226</v>
      </c>
      <c r="D25" s="20" t="s">
        <v>962</v>
      </c>
      <c r="E25" s="20" t="s">
        <v>1227</v>
      </c>
      <c r="F25" s="177" t="s">
        <v>14197</v>
      </c>
    </row>
    <row r="26" spans="1:6" x14ac:dyDescent="0.3">
      <c r="A26" s="20" t="s">
        <v>1228</v>
      </c>
      <c r="B26" s="20" t="s">
        <v>1229</v>
      </c>
      <c r="C26" s="20" t="s">
        <v>1230</v>
      </c>
      <c r="D26" s="20" t="s">
        <v>962</v>
      </c>
      <c r="E26" s="20" t="s">
        <v>1231</v>
      </c>
      <c r="F26" s="177" t="s">
        <v>14197</v>
      </c>
    </row>
    <row r="27" spans="1:6" x14ac:dyDescent="0.3">
      <c r="A27" s="20" t="s">
        <v>1232</v>
      </c>
      <c r="B27" s="20" t="s">
        <v>1233</v>
      </c>
      <c r="C27" s="20" t="s">
        <v>1234</v>
      </c>
      <c r="D27" s="20" t="s">
        <v>1196</v>
      </c>
      <c r="E27" s="20" t="s">
        <v>1235</v>
      </c>
      <c r="F27" s="193" t="s">
        <v>14197</v>
      </c>
    </row>
    <row r="28" spans="1:6" x14ac:dyDescent="0.3">
      <c r="A28" s="20" t="s">
        <v>1100</v>
      </c>
      <c r="B28" s="20" t="s">
        <v>1236</v>
      </c>
      <c r="C28" s="20" t="s">
        <v>1188</v>
      </c>
      <c r="D28" s="20" t="s">
        <v>1237</v>
      </c>
      <c r="E28" s="20" t="s">
        <v>1238</v>
      </c>
      <c r="F28" s="193" t="s">
        <v>14200</v>
      </c>
    </row>
    <row r="29" spans="1:6" x14ac:dyDescent="0.3">
      <c r="A29" s="20" t="s">
        <v>1104</v>
      </c>
      <c r="B29" s="20" t="s">
        <v>1239</v>
      </c>
      <c r="C29" s="20" t="s">
        <v>1188</v>
      </c>
      <c r="D29" s="20" t="s">
        <v>1206</v>
      </c>
      <c r="E29" s="20" t="s">
        <v>1240</v>
      </c>
      <c r="F29" s="193" t="s">
        <v>14200</v>
      </c>
    </row>
    <row r="30" spans="1:6" x14ac:dyDescent="0.3">
      <c r="A30" s="20" t="s">
        <v>1241</v>
      </c>
      <c r="B30" s="20" t="s">
        <v>1242</v>
      </c>
      <c r="C30" s="20" t="s">
        <v>1224</v>
      </c>
      <c r="D30" s="20" t="s">
        <v>962</v>
      </c>
      <c r="E30" s="20" t="s">
        <v>1243</v>
      </c>
      <c r="F30" s="193" t="s">
        <v>14197</v>
      </c>
    </row>
    <row r="31" spans="1:6" x14ac:dyDescent="0.3">
      <c r="A31" s="20"/>
      <c r="B31" s="20"/>
      <c r="C31" s="20"/>
      <c r="D31" s="20"/>
      <c r="E31" s="20"/>
      <c r="F31" s="153"/>
    </row>
    <row r="32" spans="1:6" x14ac:dyDescent="0.3">
      <c r="A32" s="20"/>
      <c r="B32" s="20"/>
      <c r="C32" s="20"/>
      <c r="D32" s="20"/>
      <c r="E32" s="20"/>
      <c r="F32" s="153"/>
    </row>
    <row r="33" spans="1:6" x14ac:dyDescent="0.3">
      <c r="A33" s="217" t="s">
        <v>1244</v>
      </c>
      <c r="B33" s="217"/>
      <c r="C33" s="217"/>
      <c r="D33" s="217"/>
      <c r="E33" s="217"/>
      <c r="F33" s="153"/>
    </row>
    <row r="34" spans="1:6" x14ac:dyDescent="0.3">
      <c r="A34" s="21" t="s">
        <v>1068</v>
      </c>
      <c r="B34" s="21" t="s">
        <v>1</v>
      </c>
      <c r="C34" s="21" t="s">
        <v>1183</v>
      </c>
      <c r="D34" s="21" t="s">
        <v>1184</v>
      </c>
      <c r="E34" s="21" t="s">
        <v>1245</v>
      </c>
      <c r="F34" s="192" t="s">
        <v>1176</v>
      </c>
    </row>
    <row r="35" spans="1:6" x14ac:dyDescent="0.3">
      <c r="A35" s="20" t="s">
        <v>1246</v>
      </c>
      <c r="B35" s="20" t="s">
        <v>1247</v>
      </c>
      <c r="C35" s="20" t="s">
        <v>1248</v>
      </c>
      <c r="D35" s="20" t="s">
        <v>962</v>
      </c>
      <c r="E35" s="20" t="s">
        <v>1249</v>
      </c>
      <c r="F35" s="177" t="s">
        <v>14197</v>
      </c>
    </row>
    <row r="36" spans="1:6" x14ac:dyDescent="0.3">
      <c r="A36" s="20" t="s">
        <v>1087</v>
      </c>
      <c r="B36" s="20" t="s">
        <v>1250</v>
      </c>
      <c r="C36" s="20" t="s">
        <v>1188</v>
      </c>
      <c r="D36" s="20" t="s">
        <v>1251</v>
      </c>
      <c r="E36" s="20" t="s">
        <v>1252</v>
      </c>
      <c r="F36" s="177" t="s">
        <v>14201</v>
      </c>
    </row>
    <row r="37" spans="1:6" x14ac:dyDescent="0.3">
      <c r="A37" s="20" t="s">
        <v>1116</v>
      </c>
      <c r="B37" s="20" t="s">
        <v>1253</v>
      </c>
      <c r="C37" s="20" t="s">
        <v>1188</v>
      </c>
      <c r="D37" s="20" t="s">
        <v>1209</v>
      </c>
      <c r="E37" s="20" t="s">
        <v>1254</v>
      </c>
      <c r="F37" s="177" t="s">
        <v>14201</v>
      </c>
    </row>
    <row r="38" spans="1:6" x14ac:dyDescent="0.3">
      <c r="A38" s="20" t="s">
        <v>1113</v>
      </c>
      <c r="B38" s="20" t="s">
        <v>1255</v>
      </c>
      <c r="C38" s="20" t="s">
        <v>1188</v>
      </c>
      <c r="D38" s="20" t="s">
        <v>962</v>
      </c>
      <c r="E38" s="20" t="s">
        <v>1256</v>
      </c>
      <c r="F38" s="193" t="s">
        <v>14202</v>
      </c>
    </row>
    <row r="39" spans="1:6" x14ac:dyDescent="0.3">
      <c r="A39" s="20" t="s">
        <v>1257</v>
      </c>
      <c r="B39" s="20" t="s">
        <v>1258</v>
      </c>
      <c r="C39" s="20" t="s">
        <v>1188</v>
      </c>
      <c r="D39" s="20" t="s">
        <v>1209</v>
      </c>
      <c r="E39" s="20" t="s">
        <v>1259</v>
      </c>
      <c r="F39" s="193" t="s">
        <v>14200</v>
      </c>
    </row>
    <row r="40" spans="1:6" x14ac:dyDescent="0.3">
      <c r="A40" s="20" t="s">
        <v>1260</v>
      </c>
      <c r="B40" s="20" t="s">
        <v>1261</v>
      </c>
      <c r="C40" s="20" t="s">
        <v>1188</v>
      </c>
      <c r="D40" s="20" t="s">
        <v>1209</v>
      </c>
      <c r="E40" s="20" t="s">
        <v>1262</v>
      </c>
      <c r="F40" s="193" t="s">
        <v>14200</v>
      </c>
    </row>
    <row r="41" spans="1:6" x14ac:dyDescent="0.3">
      <c r="A41" s="20"/>
      <c r="B41" s="20"/>
      <c r="C41" s="20"/>
      <c r="D41" s="20"/>
      <c r="E41" s="20"/>
      <c r="F41" s="153"/>
    </row>
    <row r="42" spans="1:6" x14ac:dyDescent="0.3">
      <c r="A42" s="20"/>
      <c r="B42" s="20"/>
      <c r="C42" s="20"/>
      <c r="D42" s="20"/>
      <c r="E42" s="20"/>
      <c r="F42" s="153"/>
    </row>
    <row r="43" spans="1:6" x14ac:dyDescent="0.3">
      <c r="A43" s="217" t="s">
        <v>1263</v>
      </c>
      <c r="B43" s="217"/>
      <c r="C43" s="217"/>
      <c r="D43" s="217"/>
      <c r="E43" s="217"/>
      <c r="F43" s="153"/>
    </row>
    <row r="44" spans="1:6" x14ac:dyDescent="0.3">
      <c r="A44" s="21" t="s">
        <v>1068</v>
      </c>
      <c r="B44" s="21" t="s">
        <v>1</v>
      </c>
      <c r="C44" s="21" t="s">
        <v>1183</v>
      </c>
      <c r="D44" s="21" t="s">
        <v>1184</v>
      </c>
      <c r="E44" s="21" t="s">
        <v>1264</v>
      </c>
      <c r="F44" s="192" t="s">
        <v>1176</v>
      </c>
    </row>
    <row r="45" spans="1:6" ht="28.8" x14ac:dyDescent="0.3">
      <c r="A45" s="20" t="s">
        <v>1246</v>
      </c>
      <c r="B45" s="20" t="s">
        <v>1265</v>
      </c>
      <c r="C45" s="20" t="s">
        <v>1266</v>
      </c>
      <c r="D45" s="20" t="s">
        <v>962</v>
      </c>
      <c r="E45" s="20" t="s">
        <v>13873</v>
      </c>
      <c r="F45" s="177" t="s">
        <v>14197</v>
      </c>
    </row>
    <row r="46" spans="1:6" x14ac:dyDescent="0.3">
      <c r="A46" s="20" t="s">
        <v>1087</v>
      </c>
      <c r="B46" s="20" t="s">
        <v>1267</v>
      </c>
      <c r="C46" s="20" t="s">
        <v>1188</v>
      </c>
      <c r="D46" s="20" t="s">
        <v>1209</v>
      </c>
      <c r="E46" s="20" t="s">
        <v>1268</v>
      </c>
      <c r="F46" s="177" t="s">
        <v>14201</v>
      </c>
    </row>
    <row r="47" spans="1:6" x14ac:dyDescent="0.3">
      <c r="A47" s="20" t="s">
        <v>1116</v>
      </c>
      <c r="B47" s="20" t="s">
        <v>1269</v>
      </c>
      <c r="C47" s="20" t="s">
        <v>1188</v>
      </c>
      <c r="D47" s="20" t="s">
        <v>1209</v>
      </c>
      <c r="E47" s="20" t="s">
        <v>1270</v>
      </c>
      <c r="F47" s="177" t="s">
        <v>14200</v>
      </c>
    </row>
    <row r="48" spans="1:6" ht="28.8" x14ac:dyDescent="0.3">
      <c r="A48" s="20" t="s">
        <v>1271</v>
      </c>
      <c r="B48" s="20" t="s">
        <v>1272</v>
      </c>
      <c r="C48" s="20" t="s">
        <v>1188</v>
      </c>
      <c r="D48" s="20" t="s">
        <v>1209</v>
      </c>
      <c r="E48" s="20" t="s">
        <v>1273</v>
      </c>
      <c r="F48" s="193" t="s">
        <v>14200</v>
      </c>
    </row>
    <row r="49" spans="1:6" x14ac:dyDescent="0.3">
      <c r="A49" s="20" t="s">
        <v>1260</v>
      </c>
      <c r="B49" s="20" t="s">
        <v>1274</v>
      </c>
      <c r="C49" s="20" t="s">
        <v>1188</v>
      </c>
      <c r="D49" s="20" t="s">
        <v>1209</v>
      </c>
      <c r="E49" s="20" t="s">
        <v>1262</v>
      </c>
      <c r="F49" s="193" t="s">
        <v>14200</v>
      </c>
    </row>
    <row r="50" spans="1:6" x14ac:dyDescent="0.3">
      <c r="A50" s="20" t="s">
        <v>1257</v>
      </c>
      <c r="B50" s="20" t="s">
        <v>1275</v>
      </c>
      <c r="C50" s="20" t="s">
        <v>1188</v>
      </c>
      <c r="D50" s="20" t="s">
        <v>1209</v>
      </c>
      <c r="E50" s="20" t="s">
        <v>1276</v>
      </c>
      <c r="F50" s="193" t="s">
        <v>14200</v>
      </c>
    </row>
    <row r="51" spans="1:6" x14ac:dyDescent="0.3">
      <c r="A51" s="20"/>
      <c r="B51" s="20"/>
      <c r="C51" s="20"/>
      <c r="D51" s="20"/>
      <c r="E51" s="20"/>
      <c r="F51" s="153"/>
    </row>
    <row r="52" spans="1:6" x14ac:dyDescent="0.3">
      <c r="A52" s="20"/>
      <c r="B52" s="20"/>
      <c r="C52" s="20"/>
      <c r="D52" s="20"/>
      <c r="E52" s="20"/>
      <c r="F52" s="153"/>
    </row>
    <row r="53" spans="1:6" x14ac:dyDescent="0.3">
      <c r="A53" s="217" t="s">
        <v>1277</v>
      </c>
      <c r="B53" s="217"/>
      <c r="C53" s="217"/>
      <c r="D53" s="217"/>
      <c r="E53" s="217"/>
      <c r="F53" s="153"/>
    </row>
    <row r="54" spans="1:6" x14ac:dyDescent="0.3">
      <c r="A54" s="21" t="s">
        <v>1068</v>
      </c>
      <c r="B54" s="21" t="s">
        <v>1</v>
      </c>
      <c r="C54" s="21" t="s">
        <v>1183</v>
      </c>
      <c r="D54" s="21" t="s">
        <v>1184</v>
      </c>
      <c r="E54" s="21" t="s">
        <v>1278</v>
      </c>
      <c r="F54" s="192" t="s">
        <v>1176</v>
      </c>
    </row>
    <row r="55" spans="1:6" x14ac:dyDescent="0.3">
      <c r="A55" s="20" t="s">
        <v>1279</v>
      </c>
      <c r="B55" s="20" t="s">
        <v>1280</v>
      </c>
      <c r="C55" s="20" t="s">
        <v>1281</v>
      </c>
      <c r="D55" s="20" t="s">
        <v>962</v>
      </c>
      <c r="E55" s="20" t="s">
        <v>1282</v>
      </c>
      <c r="F55" s="177" t="s">
        <v>14197</v>
      </c>
    </row>
    <row r="56" spans="1:6" x14ac:dyDescent="0.3">
      <c r="A56" s="20" t="s">
        <v>1283</v>
      </c>
      <c r="B56" s="20" t="s">
        <v>1284</v>
      </c>
      <c r="C56" s="20" t="s">
        <v>1285</v>
      </c>
      <c r="D56" s="20" t="s">
        <v>962</v>
      </c>
      <c r="E56" s="20" t="s">
        <v>1286</v>
      </c>
      <c r="F56" s="177" t="s">
        <v>14197</v>
      </c>
    </row>
    <row r="57" spans="1:6" x14ac:dyDescent="0.3">
      <c r="A57" s="20" t="s">
        <v>1287</v>
      </c>
      <c r="B57" s="20" t="s">
        <v>1288</v>
      </c>
      <c r="C57" s="20" t="s">
        <v>1289</v>
      </c>
      <c r="D57" s="20" t="s">
        <v>962</v>
      </c>
      <c r="E57" s="20" t="s">
        <v>1290</v>
      </c>
      <c r="F57" s="177" t="s">
        <v>14197</v>
      </c>
    </row>
    <row r="58" spans="1:6" x14ac:dyDescent="0.3">
      <c r="A58" s="20" t="s">
        <v>1291</v>
      </c>
      <c r="B58" s="20" t="s">
        <v>1292</v>
      </c>
      <c r="C58" s="20" t="s">
        <v>1293</v>
      </c>
      <c r="D58" s="20" t="s">
        <v>1196</v>
      </c>
      <c r="E58" s="20" t="s">
        <v>1294</v>
      </c>
      <c r="F58" s="193" t="s">
        <v>14197</v>
      </c>
    </row>
    <row r="59" spans="1:6" x14ac:dyDescent="0.3">
      <c r="A59" s="20" t="s">
        <v>1295</v>
      </c>
      <c r="B59" s="20" t="s">
        <v>1296</v>
      </c>
      <c r="C59" s="20" t="s">
        <v>1100</v>
      </c>
      <c r="D59" s="20" t="s">
        <v>1206</v>
      </c>
      <c r="E59" s="20" t="s">
        <v>1297</v>
      </c>
      <c r="F59" s="193" t="s">
        <v>14197</v>
      </c>
    </row>
    <row r="60" spans="1:6" x14ac:dyDescent="0.3">
      <c r="A60" s="20" t="s">
        <v>1100</v>
      </c>
      <c r="B60" s="20" t="s">
        <v>1298</v>
      </c>
      <c r="C60" s="20" t="s">
        <v>1188</v>
      </c>
      <c r="D60" s="20" t="s">
        <v>1206</v>
      </c>
      <c r="E60" s="20" t="s">
        <v>989</v>
      </c>
      <c r="F60" s="193" t="s">
        <v>14200</v>
      </c>
    </row>
    <row r="61" spans="1:6" x14ac:dyDescent="0.3">
      <c r="A61" s="20" t="s">
        <v>1228</v>
      </c>
      <c r="B61" s="20" t="s">
        <v>1229</v>
      </c>
      <c r="C61" s="20" t="s">
        <v>1299</v>
      </c>
      <c r="D61" s="20" t="s">
        <v>962</v>
      </c>
      <c r="E61" s="20" t="s">
        <v>1300</v>
      </c>
      <c r="F61" s="193" t="s">
        <v>14197</v>
      </c>
    </row>
    <row r="62" spans="1:6" x14ac:dyDescent="0.3">
      <c r="A62" s="20"/>
      <c r="B62" s="20"/>
      <c r="C62" s="20"/>
      <c r="D62" s="20"/>
      <c r="E62" s="20"/>
      <c r="F62" s="153"/>
    </row>
    <row r="63" spans="1:6" x14ac:dyDescent="0.3">
      <c r="A63" s="20"/>
      <c r="B63" s="20"/>
      <c r="C63" s="20"/>
      <c r="D63" s="20"/>
      <c r="E63" s="20"/>
      <c r="F63" s="153"/>
    </row>
    <row r="64" spans="1:6" x14ac:dyDescent="0.3">
      <c r="A64" s="217" t="s">
        <v>1301</v>
      </c>
      <c r="B64" s="217"/>
      <c r="C64" s="217"/>
      <c r="D64" s="217"/>
      <c r="E64" s="217"/>
      <c r="F64" s="153"/>
    </row>
    <row r="65" spans="1:6" x14ac:dyDescent="0.3">
      <c r="A65" s="21" t="s">
        <v>1068</v>
      </c>
      <c r="B65" s="21" t="s">
        <v>1</v>
      </c>
      <c r="C65" s="21" t="s">
        <v>1183</v>
      </c>
      <c r="D65" s="21" t="s">
        <v>1184</v>
      </c>
      <c r="E65" s="21" t="s">
        <v>1219</v>
      </c>
      <c r="F65" s="192" t="s">
        <v>1176</v>
      </c>
    </row>
    <row r="66" spans="1:6" x14ac:dyDescent="0.3">
      <c r="A66" s="20" t="s">
        <v>1220</v>
      </c>
      <c r="B66" s="20" t="s">
        <v>1302</v>
      </c>
      <c r="C66" s="20" t="s">
        <v>1303</v>
      </c>
      <c r="D66" s="20" t="s">
        <v>962</v>
      </c>
      <c r="E66" s="20" t="s">
        <v>1304</v>
      </c>
      <c r="F66" s="177" t="s">
        <v>14197</v>
      </c>
    </row>
    <row r="67" spans="1:6" x14ac:dyDescent="0.3">
      <c r="A67" s="20" t="s">
        <v>1305</v>
      </c>
      <c r="B67" s="20" t="s">
        <v>1306</v>
      </c>
      <c r="C67" s="20" t="s">
        <v>1307</v>
      </c>
      <c r="D67" s="20" t="s">
        <v>962</v>
      </c>
      <c r="E67" s="20" t="s">
        <v>1308</v>
      </c>
      <c r="F67" s="177" t="s">
        <v>14197</v>
      </c>
    </row>
    <row r="68" spans="1:6" x14ac:dyDescent="0.3">
      <c r="A68" s="20" t="s">
        <v>1228</v>
      </c>
      <c r="B68" s="20" t="s">
        <v>1309</v>
      </c>
      <c r="C68" s="20" t="s">
        <v>1310</v>
      </c>
      <c r="D68" s="20" t="s">
        <v>962</v>
      </c>
      <c r="E68" s="20" t="s">
        <v>1311</v>
      </c>
      <c r="F68" s="177" t="s">
        <v>14197</v>
      </c>
    </row>
    <row r="69" spans="1:6" x14ac:dyDescent="0.3">
      <c r="A69" s="20" t="s">
        <v>1312</v>
      </c>
      <c r="B69" s="20" t="s">
        <v>1313</v>
      </c>
      <c r="C69" s="20" t="s">
        <v>1314</v>
      </c>
      <c r="D69" s="20" t="s">
        <v>962</v>
      </c>
      <c r="E69" s="20" t="s">
        <v>1315</v>
      </c>
      <c r="F69" s="193" t="s">
        <v>14197</v>
      </c>
    </row>
    <row r="70" spans="1:6" x14ac:dyDescent="0.3">
      <c r="A70" s="20" t="s">
        <v>1232</v>
      </c>
      <c r="B70" s="20" t="s">
        <v>1316</v>
      </c>
      <c r="C70" s="20" t="s">
        <v>1234</v>
      </c>
      <c r="D70" s="20" t="s">
        <v>1196</v>
      </c>
      <c r="E70" s="20" t="s">
        <v>1317</v>
      </c>
      <c r="F70" s="193" t="s">
        <v>14197</v>
      </c>
    </row>
    <row r="71" spans="1:6" x14ac:dyDescent="0.3">
      <c r="A71" s="20" t="s">
        <v>1100</v>
      </c>
      <c r="B71" s="20" t="s">
        <v>1236</v>
      </c>
      <c r="C71" s="20" t="s">
        <v>1188</v>
      </c>
      <c r="D71" s="20" t="s">
        <v>1206</v>
      </c>
      <c r="E71" s="20" t="s">
        <v>989</v>
      </c>
      <c r="F71" s="193" t="s">
        <v>14200</v>
      </c>
    </row>
    <row r="72" spans="1:6" x14ac:dyDescent="0.3">
      <c r="A72" s="20" t="s">
        <v>1241</v>
      </c>
      <c r="B72" s="20" t="s">
        <v>1242</v>
      </c>
      <c r="C72" s="20" t="s">
        <v>1305</v>
      </c>
      <c r="D72" s="20" t="s">
        <v>962</v>
      </c>
      <c r="E72" s="20" t="s">
        <v>1318</v>
      </c>
      <c r="F72" s="193" t="s">
        <v>14197</v>
      </c>
    </row>
    <row r="73" spans="1:6" x14ac:dyDescent="0.3">
      <c r="A73" s="20"/>
      <c r="B73" s="20"/>
      <c r="C73" s="20"/>
      <c r="D73" s="20"/>
      <c r="E73" s="20"/>
      <c r="F73" s="153"/>
    </row>
    <row r="74" spans="1:6" x14ac:dyDescent="0.3">
      <c r="A74" s="20"/>
      <c r="B74" s="20"/>
      <c r="C74" s="20"/>
      <c r="D74" s="20"/>
      <c r="E74" s="20"/>
      <c r="F74" s="153"/>
    </row>
    <row r="75" spans="1:6" x14ac:dyDescent="0.3">
      <c r="A75" s="217" t="s">
        <v>1319</v>
      </c>
      <c r="B75" s="217"/>
      <c r="C75" s="217"/>
      <c r="D75" s="217"/>
      <c r="E75" s="217"/>
      <c r="F75" s="153"/>
    </row>
    <row r="76" spans="1:6" x14ac:dyDescent="0.3">
      <c r="A76" s="21" t="s">
        <v>1068</v>
      </c>
      <c r="B76" s="21" t="s">
        <v>1</v>
      </c>
      <c r="C76" s="21" t="s">
        <v>1183</v>
      </c>
      <c r="D76" s="21" t="s">
        <v>1184</v>
      </c>
      <c r="E76" s="21" t="s">
        <v>1320</v>
      </c>
      <c r="F76" s="192" t="s">
        <v>1176</v>
      </c>
    </row>
    <row r="77" spans="1:6" x14ac:dyDescent="0.3">
      <c r="A77" s="20" t="s">
        <v>1246</v>
      </c>
      <c r="B77" s="20" t="s">
        <v>1321</v>
      </c>
      <c r="C77" s="20" t="s">
        <v>13572</v>
      </c>
      <c r="D77" s="20" t="s">
        <v>962</v>
      </c>
      <c r="E77" s="20" t="s">
        <v>1322</v>
      </c>
      <c r="F77" s="177" t="s">
        <v>14197</v>
      </c>
    </row>
    <row r="78" spans="1:6" ht="43.2" x14ac:dyDescent="0.3">
      <c r="A78" s="20" t="s">
        <v>1323</v>
      </c>
      <c r="B78" s="20" t="s">
        <v>1324</v>
      </c>
      <c r="C78" s="20" t="s">
        <v>1188</v>
      </c>
      <c r="D78" s="20" t="s">
        <v>1206</v>
      </c>
      <c r="E78" s="20" t="s">
        <v>1325</v>
      </c>
      <c r="F78" s="177" t="s">
        <v>14229</v>
      </c>
    </row>
    <row r="79" spans="1:6" x14ac:dyDescent="0.3">
      <c r="A79" s="20" t="s">
        <v>1326</v>
      </c>
      <c r="B79" s="20" t="s">
        <v>1327</v>
      </c>
      <c r="C79" s="20" t="s">
        <v>1188</v>
      </c>
      <c r="D79" s="20" t="s">
        <v>1206</v>
      </c>
      <c r="E79" s="20" t="s">
        <v>1328</v>
      </c>
      <c r="F79" s="177" t="s">
        <v>14200</v>
      </c>
    </row>
    <row r="80" spans="1:6" x14ac:dyDescent="0.3">
      <c r="A80" s="20" t="s">
        <v>1329</v>
      </c>
      <c r="B80" s="20" t="s">
        <v>1330</v>
      </c>
      <c r="C80" s="20" t="s">
        <v>1188</v>
      </c>
      <c r="D80" s="20" t="s">
        <v>1206</v>
      </c>
      <c r="E80" s="20" t="s">
        <v>1331</v>
      </c>
      <c r="F80" s="193" t="s">
        <v>14200</v>
      </c>
    </row>
    <row r="81" spans="1:6" x14ac:dyDescent="0.3">
      <c r="A81" s="20" t="s">
        <v>1332</v>
      </c>
      <c r="B81" s="20" t="s">
        <v>1333</v>
      </c>
      <c r="C81" s="20" t="s">
        <v>1334</v>
      </c>
      <c r="D81" s="20" t="s">
        <v>962</v>
      </c>
      <c r="E81" s="20" t="s">
        <v>1335</v>
      </c>
      <c r="F81" s="193" t="s">
        <v>14197</v>
      </c>
    </row>
    <row r="82" spans="1:6" x14ac:dyDescent="0.3">
      <c r="A82" s="20"/>
      <c r="B82" s="20"/>
      <c r="C82" s="20"/>
      <c r="D82" s="20"/>
      <c r="E82" s="20"/>
      <c r="F82" s="153"/>
    </row>
    <row r="83" spans="1:6" x14ac:dyDescent="0.3">
      <c r="A83" s="20"/>
      <c r="B83" s="20"/>
      <c r="C83" s="20"/>
      <c r="D83" s="20"/>
      <c r="E83" s="20"/>
      <c r="F83" s="153"/>
    </row>
    <row r="84" spans="1:6" x14ac:dyDescent="0.3">
      <c r="A84" s="217" t="s">
        <v>1336</v>
      </c>
      <c r="B84" s="217"/>
      <c r="C84" s="217"/>
      <c r="D84" s="217"/>
      <c r="E84" s="217"/>
      <c r="F84" s="153"/>
    </row>
    <row r="85" spans="1:6" x14ac:dyDescent="0.3">
      <c r="A85" s="21" t="s">
        <v>1068</v>
      </c>
      <c r="B85" s="21" t="s">
        <v>1</v>
      </c>
      <c r="C85" s="21" t="s">
        <v>1183</v>
      </c>
      <c r="D85" s="21" t="s">
        <v>1184</v>
      </c>
      <c r="E85" s="21" t="s">
        <v>1337</v>
      </c>
      <c r="F85" s="192" t="s">
        <v>1176</v>
      </c>
    </row>
    <row r="86" spans="1:6" ht="28.8" x14ac:dyDescent="0.3">
      <c r="A86" s="20" t="s">
        <v>1338</v>
      </c>
      <c r="B86" s="20" t="s">
        <v>1339</v>
      </c>
      <c r="C86" s="20" t="s">
        <v>1340</v>
      </c>
      <c r="D86" s="20" t="s">
        <v>962</v>
      </c>
      <c r="E86" s="20" t="s">
        <v>1341</v>
      </c>
      <c r="F86" s="177" t="s">
        <v>14197</v>
      </c>
    </row>
    <row r="87" spans="1:6" x14ac:dyDescent="0.3">
      <c r="A87" s="20" t="s">
        <v>1342</v>
      </c>
      <c r="B87" s="20" t="s">
        <v>1343</v>
      </c>
      <c r="C87" s="20" t="s">
        <v>1344</v>
      </c>
      <c r="D87" s="20" t="s">
        <v>962</v>
      </c>
      <c r="E87" s="20" t="s">
        <v>1345</v>
      </c>
      <c r="F87" s="177" t="s">
        <v>14197</v>
      </c>
    </row>
    <row r="88" spans="1:6" x14ac:dyDescent="0.3">
      <c r="A88" s="20" t="s">
        <v>1232</v>
      </c>
      <c r="B88" s="20" t="s">
        <v>1346</v>
      </c>
      <c r="C88" s="20" t="s">
        <v>1188</v>
      </c>
      <c r="D88" s="20" t="s">
        <v>1206</v>
      </c>
      <c r="E88" s="20" t="s">
        <v>1347</v>
      </c>
      <c r="F88" s="177" t="s">
        <v>14200</v>
      </c>
    </row>
    <row r="89" spans="1:6" x14ac:dyDescent="0.3">
      <c r="A89" s="20" t="s">
        <v>1348</v>
      </c>
      <c r="B89" s="20" t="s">
        <v>1349</v>
      </c>
      <c r="C89" s="20" t="s">
        <v>1188</v>
      </c>
      <c r="D89" s="20" t="s">
        <v>1206</v>
      </c>
      <c r="E89" s="20" t="s">
        <v>1350</v>
      </c>
      <c r="F89" s="193" t="s">
        <v>14200</v>
      </c>
    </row>
    <row r="90" spans="1:6" x14ac:dyDescent="0.3">
      <c r="A90" s="20"/>
      <c r="B90" s="20"/>
      <c r="C90" s="20"/>
      <c r="D90" s="20"/>
      <c r="E90" s="20"/>
      <c r="F90" s="153"/>
    </row>
    <row r="91" spans="1:6" x14ac:dyDescent="0.3">
      <c r="A91" s="20"/>
      <c r="B91" s="20"/>
      <c r="C91" s="20"/>
      <c r="D91" s="20"/>
      <c r="E91" s="20"/>
      <c r="F91" s="153"/>
    </row>
    <row r="92" spans="1:6" x14ac:dyDescent="0.3">
      <c r="A92" s="217" t="s">
        <v>1351</v>
      </c>
      <c r="B92" s="217"/>
      <c r="C92" s="217"/>
      <c r="D92" s="217"/>
      <c r="E92" s="217"/>
      <c r="F92" s="153"/>
    </row>
    <row r="93" spans="1:6" x14ac:dyDescent="0.3">
      <c r="A93" s="21" t="s">
        <v>1068</v>
      </c>
      <c r="B93" s="21" t="s">
        <v>1</v>
      </c>
      <c r="C93" s="21" t="s">
        <v>1183</v>
      </c>
      <c r="D93" s="21" t="s">
        <v>1184</v>
      </c>
      <c r="E93" s="21" t="s">
        <v>1352</v>
      </c>
      <c r="F93" s="192" t="s">
        <v>1176</v>
      </c>
    </row>
    <row r="94" spans="1:6" x14ac:dyDescent="0.3">
      <c r="A94" s="20" t="s">
        <v>1338</v>
      </c>
      <c r="B94" s="20" t="s">
        <v>1353</v>
      </c>
      <c r="C94" s="20" t="s">
        <v>1354</v>
      </c>
      <c r="D94" s="20" t="s">
        <v>962</v>
      </c>
      <c r="E94" s="20" t="s">
        <v>1355</v>
      </c>
      <c r="F94" s="177" t="s">
        <v>14197</v>
      </c>
    </row>
    <row r="95" spans="1:6" x14ac:dyDescent="0.3">
      <c r="A95" s="20" t="s">
        <v>1305</v>
      </c>
      <c r="B95" s="20" t="s">
        <v>1356</v>
      </c>
      <c r="C95" s="20" t="s">
        <v>1357</v>
      </c>
      <c r="D95" s="20" t="s">
        <v>962</v>
      </c>
      <c r="E95" s="20" t="s">
        <v>1358</v>
      </c>
      <c r="F95" s="177" t="s">
        <v>14197</v>
      </c>
    </row>
    <row r="96" spans="1:6" x14ac:dyDescent="0.3">
      <c r="A96" s="20" t="s">
        <v>1087</v>
      </c>
      <c r="B96" s="20" t="s">
        <v>1359</v>
      </c>
      <c r="C96" s="20" t="s">
        <v>1188</v>
      </c>
      <c r="D96" s="20" t="s">
        <v>1206</v>
      </c>
      <c r="E96" s="20" t="s">
        <v>1360</v>
      </c>
      <c r="F96" s="177" t="s">
        <v>14200</v>
      </c>
    </row>
    <row r="97" spans="1:6" x14ac:dyDescent="0.3">
      <c r="A97" s="20" t="s">
        <v>1361</v>
      </c>
      <c r="B97" s="20" t="s">
        <v>1362</v>
      </c>
      <c r="C97" s="20" t="s">
        <v>1188</v>
      </c>
      <c r="D97" s="20" t="s">
        <v>1206</v>
      </c>
      <c r="E97" s="20" t="s">
        <v>1363</v>
      </c>
      <c r="F97" s="193" t="s">
        <v>14200</v>
      </c>
    </row>
    <row r="98" spans="1:6" x14ac:dyDescent="0.3">
      <c r="A98" s="20" t="s">
        <v>1228</v>
      </c>
      <c r="B98" s="20" t="s">
        <v>1364</v>
      </c>
      <c r="C98" s="20" t="s">
        <v>1354</v>
      </c>
      <c r="D98" s="20" t="s">
        <v>962</v>
      </c>
      <c r="E98" s="20" t="s">
        <v>1365</v>
      </c>
      <c r="F98" s="193" t="s">
        <v>14197</v>
      </c>
    </row>
    <row r="99" spans="1:6" x14ac:dyDescent="0.3">
      <c r="A99" s="20"/>
      <c r="B99" s="20"/>
      <c r="C99" s="20"/>
      <c r="D99" s="20"/>
      <c r="E99" s="20"/>
      <c r="F99" s="153"/>
    </row>
    <row r="100" spans="1:6" x14ac:dyDescent="0.3">
      <c r="A100" s="20"/>
      <c r="B100" s="20"/>
      <c r="C100" s="20"/>
      <c r="D100" s="20"/>
      <c r="E100" s="20"/>
      <c r="F100" s="153"/>
    </row>
    <row r="101" spans="1:6" x14ac:dyDescent="0.3">
      <c r="A101" s="217" t="s">
        <v>1366</v>
      </c>
      <c r="B101" s="217"/>
      <c r="C101" s="217"/>
      <c r="D101" s="217"/>
      <c r="E101" s="217"/>
      <c r="F101" s="153"/>
    </row>
    <row r="102" spans="1:6" x14ac:dyDescent="0.3">
      <c r="A102" s="21" t="s">
        <v>1068</v>
      </c>
      <c r="B102" s="21" t="s">
        <v>1</v>
      </c>
      <c r="C102" s="21" t="s">
        <v>1183</v>
      </c>
      <c r="D102" s="21" t="s">
        <v>1184</v>
      </c>
      <c r="E102" s="21" t="s">
        <v>1367</v>
      </c>
      <c r="F102" s="192" t="s">
        <v>1176</v>
      </c>
    </row>
    <row r="103" spans="1:6" x14ac:dyDescent="0.3">
      <c r="A103" s="20" t="s">
        <v>1246</v>
      </c>
      <c r="B103" s="20" t="s">
        <v>1368</v>
      </c>
      <c r="C103" s="20" t="s">
        <v>1369</v>
      </c>
      <c r="D103" s="20" t="s">
        <v>962</v>
      </c>
      <c r="E103" s="20" t="s">
        <v>1370</v>
      </c>
      <c r="F103" s="177" t="s">
        <v>14197</v>
      </c>
    </row>
    <row r="104" spans="1:6" x14ac:dyDescent="0.3">
      <c r="A104" s="20" t="s">
        <v>1371</v>
      </c>
      <c r="B104" s="20" t="s">
        <v>1372</v>
      </c>
      <c r="C104" s="20" t="s">
        <v>1373</v>
      </c>
      <c r="D104" s="20" t="s">
        <v>1196</v>
      </c>
      <c r="E104" s="20" t="s">
        <v>1374</v>
      </c>
      <c r="F104" s="177" t="s">
        <v>14197</v>
      </c>
    </row>
    <row r="105" spans="1:6" x14ac:dyDescent="0.3">
      <c r="A105" s="20" t="s">
        <v>1375</v>
      </c>
      <c r="B105" s="20" t="s">
        <v>1376</v>
      </c>
      <c r="C105" s="20" t="s">
        <v>1188</v>
      </c>
      <c r="D105" s="20" t="s">
        <v>1206</v>
      </c>
      <c r="E105" s="20" t="s">
        <v>1377</v>
      </c>
      <c r="F105" s="177" t="s">
        <v>14200</v>
      </c>
    </row>
    <row r="106" spans="1:6" x14ac:dyDescent="0.3">
      <c r="A106" s="20" t="s">
        <v>1348</v>
      </c>
      <c r="B106" s="20" t="s">
        <v>1378</v>
      </c>
      <c r="C106" s="20" t="s">
        <v>1188</v>
      </c>
      <c r="D106" s="20" t="s">
        <v>1206</v>
      </c>
      <c r="E106" s="20" t="s">
        <v>1379</v>
      </c>
      <c r="F106" s="193" t="s">
        <v>14200</v>
      </c>
    </row>
    <row r="107" spans="1:6" x14ac:dyDescent="0.3">
      <c r="A107" s="20" t="s">
        <v>1257</v>
      </c>
      <c r="B107" s="20" t="s">
        <v>1258</v>
      </c>
      <c r="C107" s="20" t="s">
        <v>1188</v>
      </c>
      <c r="D107" s="20" t="s">
        <v>1206</v>
      </c>
      <c r="E107" s="20" t="s">
        <v>1380</v>
      </c>
      <c r="F107" s="193" t="s">
        <v>14200</v>
      </c>
    </row>
    <row r="108" spans="1:6" x14ac:dyDescent="0.3">
      <c r="F108" s="153"/>
    </row>
  </sheetData>
  <mergeCells count="10">
    <mergeCell ref="A75:E75"/>
    <mergeCell ref="A84:E84"/>
    <mergeCell ref="A92:E92"/>
    <mergeCell ref="A101:E101"/>
    <mergeCell ref="A3:E3"/>
    <mergeCell ref="A22:E22"/>
    <mergeCell ref="A33:E33"/>
    <mergeCell ref="A43:E43"/>
    <mergeCell ref="A53:E53"/>
    <mergeCell ref="A64:E6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E470-5FF4-430B-B205-B80C75B25B3A}">
  <sheetPr>
    <tabColor theme="5"/>
  </sheetPr>
  <dimension ref="A1:N127"/>
  <sheetViews>
    <sheetView workbookViewId="0">
      <pane ySplit="6" topLeftCell="A7" activePane="bottomLeft" state="frozen"/>
      <selection pane="bottomLeft" activeCell="A7" sqref="A7"/>
    </sheetView>
  </sheetViews>
  <sheetFormatPr defaultRowHeight="14.4" x14ac:dyDescent="0.3"/>
  <cols>
    <col min="1" max="1" width="25.88671875" customWidth="1"/>
    <col min="2" max="2" width="31.6640625" customWidth="1"/>
    <col min="3" max="3" width="14.77734375" customWidth="1"/>
    <col min="4" max="4" width="11.109375" customWidth="1"/>
    <col min="5" max="5" width="28.44140625" customWidth="1"/>
    <col min="6" max="6" width="27.44140625" customWidth="1"/>
    <col min="7" max="14" width="11.109375" customWidth="1"/>
  </cols>
  <sheetData>
    <row r="1" spans="1:14" ht="18" x14ac:dyDescent="0.35">
      <c r="A1" s="198" t="s">
        <v>1530</v>
      </c>
      <c r="B1" s="198"/>
      <c r="C1" s="198"/>
      <c r="D1" s="198"/>
      <c r="E1" s="198"/>
      <c r="F1" s="198"/>
      <c r="G1" s="198"/>
      <c r="H1" s="198"/>
      <c r="I1" s="198"/>
      <c r="J1" s="198"/>
      <c r="K1" s="198"/>
      <c r="L1" s="198"/>
      <c r="M1" s="198"/>
      <c r="N1" s="198"/>
    </row>
    <row r="2" spans="1:14" x14ac:dyDescent="0.3">
      <c r="A2" s="199" t="s">
        <v>1531</v>
      </c>
      <c r="B2" s="199"/>
      <c r="C2" s="199"/>
      <c r="D2" s="199"/>
      <c r="E2" s="199"/>
      <c r="F2" s="199"/>
      <c r="G2" s="199"/>
      <c r="H2" s="199"/>
      <c r="I2" s="199"/>
      <c r="J2" s="199"/>
      <c r="K2" s="199"/>
      <c r="L2" s="199"/>
      <c r="M2" s="199"/>
      <c r="N2" s="199"/>
    </row>
    <row r="4" spans="1:14" x14ac:dyDescent="0.3">
      <c r="A4" s="39" t="s">
        <v>1532</v>
      </c>
      <c r="B4" s="40" t="s">
        <v>1834</v>
      </c>
      <c r="C4" s="40" t="s">
        <v>1835</v>
      </c>
      <c r="D4" s="40" t="s">
        <v>1836</v>
      </c>
    </row>
    <row r="6" spans="1:14" x14ac:dyDescent="0.3">
      <c r="A6" s="41" t="s">
        <v>1533</v>
      </c>
      <c r="B6" s="41" t="s">
        <v>1397</v>
      </c>
      <c r="C6" s="41" t="s">
        <v>1534</v>
      </c>
      <c r="D6" s="41" t="s">
        <v>1070</v>
      </c>
      <c r="E6" s="41" t="s">
        <v>1074</v>
      </c>
      <c r="F6" s="41" t="s">
        <v>1078</v>
      </c>
      <c r="G6" s="41" t="s">
        <v>1081</v>
      </c>
      <c r="H6" s="41" t="s">
        <v>1084</v>
      </c>
      <c r="I6" s="41" t="s">
        <v>13935</v>
      </c>
      <c r="J6" s="41" t="s">
        <v>1090</v>
      </c>
      <c r="K6" s="41" t="s">
        <v>1093</v>
      </c>
      <c r="L6" s="41" t="s">
        <v>1097</v>
      </c>
      <c r="M6" s="41" t="s">
        <v>1535</v>
      </c>
      <c r="N6" s="41" t="s">
        <v>1536</v>
      </c>
    </row>
    <row r="7" spans="1:14" x14ac:dyDescent="0.3">
      <c r="A7" s="45" t="s">
        <v>1537</v>
      </c>
      <c r="B7" s="45" t="s">
        <v>1538</v>
      </c>
      <c r="C7" s="45" t="s">
        <v>1539</v>
      </c>
      <c r="D7" s="48" t="s">
        <v>1831</v>
      </c>
      <c r="E7" s="48" t="s">
        <v>1831</v>
      </c>
      <c r="F7" s="48" t="s">
        <v>1831</v>
      </c>
      <c r="G7" s="48" t="s">
        <v>1831</v>
      </c>
      <c r="H7" s="48" t="s">
        <v>1831</v>
      </c>
      <c r="I7" s="48" t="s">
        <v>1831</v>
      </c>
      <c r="J7" s="48" t="s">
        <v>1831</v>
      </c>
      <c r="K7" s="48" t="s">
        <v>1831</v>
      </c>
      <c r="L7" s="48" t="s">
        <v>1831</v>
      </c>
      <c r="M7" s="48" t="s">
        <v>1831</v>
      </c>
      <c r="N7" s="45" t="s">
        <v>1540</v>
      </c>
    </row>
    <row r="8" spans="1:14" x14ac:dyDescent="0.3">
      <c r="A8" t="s">
        <v>1541</v>
      </c>
      <c r="B8" t="s">
        <v>1538</v>
      </c>
      <c r="C8" t="s">
        <v>1070</v>
      </c>
      <c r="D8" s="49" t="s">
        <v>1832</v>
      </c>
      <c r="E8" s="49" t="s">
        <v>1832</v>
      </c>
      <c r="F8" s="49" t="s">
        <v>1832</v>
      </c>
      <c r="G8" s="49" t="s">
        <v>1832</v>
      </c>
      <c r="H8" s="49" t="s">
        <v>1831</v>
      </c>
      <c r="I8" s="49" t="s">
        <v>1831</v>
      </c>
      <c r="J8" s="49" t="s">
        <v>1831</v>
      </c>
      <c r="K8" s="49" t="s">
        <v>1831</v>
      </c>
      <c r="L8" s="49" t="s">
        <v>1831</v>
      </c>
      <c r="M8" s="49" t="s">
        <v>1831</v>
      </c>
      <c r="N8" t="s">
        <v>1733</v>
      </c>
    </row>
    <row r="9" spans="1:14" x14ac:dyDescent="0.3">
      <c r="A9" s="45" t="s">
        <v>1542</v>
      </c>
      <c r="B9" s="45" t="s">
        <v>1538</v>
      </c>
      <c r="C9" s="45" t="s">
        <v>1070</v>
      </c>
      <c r="D9" s="48" t="s">
        <v>1832</v>
      </c>
      <c r="E9" s="48" t="s">
        <v>1832</v>
      </c>
      <c r="F9" s="48" t="s">
        <v>1831</v>
      </c>
      <c r="G9" s="48" t="s">
        <v>1831</v>
      </c>
      <c r="H9" s="48" t="s">
        <v>1831</v>
      </c>
      <c r="I9" s="48" t="s">
        <v>1831</v>
      </c>
      <c r="J9" s="48" t="s">
        <v>1831</v>
      </c>
      <c r="K9" s="48" t="s">
        <v>1831</v>
      </c>
      <c r="L9" s="48" t="s">
        <v>1831</v>
      </c>
      <c r="M9" s="48" t="s">
        <v>1831</v>
      </c>
      <c r="N9" s="45" t="s">
        <v>1738</v>
      </c>
    </row>
    <row r="10" spans="1:14" x14ac:dyDescent="0.3">
      <c r="A10" t="s">
        <v>1543</v>
      </c>
      <c r="B10" t="s">
        <v>1538</v>
      </c>
      <c r="C10" t="s">
        <v>1074</v>
      </c>
      <c r="D10" s="49" t="s">
        <v>1832</v>
      </c>
      <c r="E10" s="49" t="s">
        <v>1832</v>
      </c>
      <c r="F10" s="49" t="s">
        <v>1832</v>
      </c>
      <c r="G10" s="49" t="s">
        <v>1831</v>
      </c>
      <c r="H10" s="49" t="s">
        <v>1831</v>
      </c>
      <c r="I10" s="49" t="s">
        <v>1831</v>
      </c>
      <c r="J10" s="49" t="s">
        <v>1831</v>
      </c>
      <c r="K10" s="49" t="s">
        <v>1831</v>
      </c>
      <c r="L10" s="49" t="s">
        <v>1831</v>
      </c>
      <c r="M10" s="49" t="s">
        <v>1831</v>
      </c>
      <c r="N10" t="s">
        <v>1743</v>
      </c>
    </row>
    <row r="11" spans="1:14" x14ac:dyDescent="0.3">
      <c r="A11" s="45" t="s">
        <v>1544</v>
      </c>
      <c r="B11" s="45" t="s">
        <v>1545</v>
      </c>
      <c r="C11" s="45" t="s">
        <v>1074</v>
      </c>
      <c r="D11" s="48" t="s">
        <v>1832</v>
      </c>
      <c r="E11" s="48" t="s">
        <v>1832</v>
      </c>
      <c r="F11" s="48" t="s">
        <v>1832</v>
      </c>
      <c r="G11" s="48" t="s">
        <v>1832</v>
      </c>
      <c r="H11" s="48" t="s">
        <v>1832</v>
      </c>
      <c r="I11" s="48" t="s">
        <v>1832</v>
      </c>
      <c r="J11" s="48" t="s">
        <v>1831</v>
      </c>
      <c r="K11" s="48" t="s">
        <v>1831</v>
      </c>
      <c r="L11" s="48" t="s">
        <v>1831</v>
      </c>
      <c r="M11" s="48" t="s">
        <v>1831</v>
      </c>
      <c r="N11" s="45" t="s">
        <v>1748</v>
      </c>
    </row>
    <row r="12" spans="1:14" x14ac:dyDescent="0.3">
      <c r="A12" t="s">
        <v>1546</v>
      </c>
      <c r="B12" t="s">
        <v>1545</v>
      </c>
      <c r="C12" t="s">
        <v>1090</v>
      </c>
      <c r="D12" s="49" t="s">
        <v>1832</v>
      </c>
      <c r="E12" s="49" t="s">
        <v>1832</v>
      </c>
      <c r="F12" s="49" t="s">
        <v>1832</v>
      </c>
      <c r="G12" s="49" t="s">
        <v>1832</v>
      </c>
      <c r="H12" s="49" t="s">
        <v>1832</v>
      </c>
      <c r="I12" s="49" t="s">
        <v>1832</v>
      </c>
      <c r="J12" s="49" t="s">
        <v>1832</v>
      </c>
      <c r="K12" s="49" t="s">
        <v>1831</v>
      </c>
      <c r="L12" s="49" t="s">
        <v>1831</v>
      </c>
      <c r="M12" s="49" t="s">
        <v>1831</v>
      </c>
      <c r="N12" t="s">
        <v>1748</v>
      </c>
    </row>
    <row r="13" spans="1:14" x14ac:dyDescent="0.3">
      <c r="A13" s="45" t="s">
        <v>1547</v>
      </c>
      <c r="B13" s="45" t="s">
        <v>1545</v>
      </c>
      <c r="C13" s="45" t="s">
        <v>1074</v>
      </c>
      <c r="D13" s="48" t="s">
        <v>1832</v>
      </c>
      <c r="E13" s="48" t="s">
        <v>1832</v>
      </c>
      <c r="F13" s="48" t="s">
        <v>1832</v>
      </c>
      <c r="G13" s="48" t="s">
        <v>1832</v>
      </c>
      <c r="H13" s="48" t="s">
        <v>1831</v>
      </c>
      <c r="I13" s="48" t="s">
        <v>1831</v>
      </c>
      <c r="J13" s="48" t="s">
        <v>1831</v>
      </c>
      <c r="K13" s="48" t="s">
        <v>1831</v>
      </c>
      <c r="L13" s="48" t="s">
        <v>1831</v>
      </c>
      <c r="M13" s="48" t="s">
        <v>1831</v>
      </c>
      <c r="N13" s="45" t="s">
        <v>1753</v>
      </c>
    </row>
    <row r="14" spans="1:14" x14ac:dyDescent="0.3">
      <c r="A14" t="s">
        <v>1548</v>
      </c>
      <c r="B14" t="s">
        <v>1545</v>
      </c>
      <c r="C14" t="s">
        <v>1074</v>
      </c>
      <c r="D14" s="49" t="s">
        <v>1832</v>
      </c>
      <c r="E14" s="49" t="s">
        <v>1832</v>
      </c>
      <c r="F14" s="49" t="s">
        <v>1832</v>
      </c>
      <c r="G14" s="49" t="s">
        <v>1832</v>
      </c>
      <c r="H14" s="49" t="s">
        <v>1831</v>
      </c>
      <c r="I14" s="49" t="s">
        <v>1831</v>
      </c>
      <c r="J14" s="49" t="s">
        <v>1831</v>
      </c>
      <c r="K14" s="49" t="s">
        <v>1831</v>
      </c>
      <c r="L14" s="49" t="s">
        <v>1831</v>
      </c>
      <c r="M14" s="49" t="s">
        <v>1831</v>
      </c>
      <c r="N14" t="s">
        <v>1753</v>
      </c>
    </row>
    <row r="15" spans="1:14" x14ac:dyDescent="0.3">
      <c r="A15" s="45" t="s">
        <v>1119</v>
      </c>
      <c r="B15" s="45" t="s">
        <v>1549</v>
      </c>
      <c r="C15" s="45" t="s">
        <v>1074</v>
      </c>
      <c r="D15" s="48" t="s">
        <v>1832</v>
      </c>
      <c r="E15" s="48" t="s">
        <v>1832</v>
      </c>
      <c r="F15" s="48" t="s">
        <v>1832</v>
      </c>
      <c r="G15" s="48" t="s">
        <v>1832</v>
      </c>
      <c r="H15" s="48" t="s">
        <v>1831</v>
      </c>
      <c r="I15" s="48" t="s">
        <v>1833</v>
      </c>
      <c r="J15" s="48" t="s">
        <v>1831</v>
      </c>
      <c r="K15" s="48" t="s">
        <v>1831</v>
      </c>
      <c r="L15" s="48" t="s">
        <v>1831</v>
      </c>
      <c r="M15" s="48" t="s">
        <v>1831</v>
      </c>
      <c r="N15" s="45" t="s">
        <v>1550</v>
      </c>
    </row>
    <row r="16" spans="1:14" x14ac:dyDescent="0.3">
      <c r="A16" t="s">
        <v>1131</v>
      </c>
      <c r="B16" t="s">
        <v>1549</v>
      </c>
      <c r="C16" t="s">
        <v>1078</v>
      </c>
      <c r="D16" s="49" t="s">
        <v>1832</v>
      </c>
      <c r="E16" s="49" t="s">
        <v>1832</v>
      </c>
      <c r="F16" s="49" t="s">
        <v>1832</v>
      </c>
      <c r="G16" s="49" t="s">
        <v>1832</v>
      </c>
      <c r="H16" s="49" t="s">
        <v>1831</v>
      </c>
      <c r="I16" s="49" t="s">
        <v>1833</v>
      </c>
      <c r="J16" s="49" t="s">
        <v>1831</v>
      </c>
      <c r="K16" s="49" t="s">
        <v>1831</v>
      </c>
      <c r="L16" s="49" t="s">
        <v>1831</v>
      </c>
      <c r="M16" s="49" t="s">
        <v>1831</v>
      </c>
      <c r="N16" t="s">
        <v>1550</v>
      </c>
    </row>
    <row r="17" spans="1:14" x14ac:dyDescent="0.3">
      <c r="A17" s="45" t="s">
        <v>1551</v>
      </c>
      <c r="B17" s="45" t="s">
        <v>1549</v>
      </c>
      <c r="C17" s="45" t="s">
        <v>1074</v>
      </c>
      <c r="D17" s="48" t="s">
        <v>1832</v>
      </c>
      <c r="E17" s="48" t="s">
        <v>1832</v>
      </c>
      <c r="F17" s="48" t="s">
        <v>1832</v>
      </c>
      <c r="G17" s="48" t="s">
        <v>1832</v>
      </c>
      <c r="H17" s="48" t="s">
        <v>1831</v>
      </c>
      <c r="I17" s="48" t="s">
        <v>1833</v>
      </c>
      <c r="J17" s="48" t="s">
        <v>1831</v>
      </c>
      <c r="K17" s="48" t="s">
        <v>1831</v>
      </c>
      <c r="L17" s="48" t="s">
        <v>1831</v>
      </c>
      <c r="M17" s="48" t="s">
        <v>1831</v>
      </c>
      <c r="N17" s="45" t="s">
        <v>1550</v>
      </c>
    </row>
    <row r="18" spans="1:14" x14ac:dyDescent="0.3">
      <c r="A18" t="s">
        <v>1552</v>
      </c>
      <c r="B18" t="s">
        <v>1549</v>
      </c>
      <c r="C18" t="s">
        <v>1081</v>
      </c>
      <c r="D18" s="49" t="s">
        <v>1832</v>
      </c>
      <c r="E18" s="49" t="s">
        <v>1832</v>
      </c>
      <c r="F18" s="49" t="s">
        <v>1832</v>
      </c>
      <c r="G18" s="49" t="s">
        <v>1832</v>
      </c>
      <c r="H18" s="49" t="s">
        <v>1831</v>
      </c>
      <c r="I18" s="49" t="s">
        <v>1831</v>
      </c>
      <c r="J18" s="49" t="s">
        <v>1831</v>
      </c>
      <c r="K18" s="49" t="s">
        <v>1831</v>
      </c>
      <c r="L18" s="49" t="s">
        <v>1831</v>
      </c>
      <c r="M18" s="49" t="s">
        <v>1831</v>
      </c>
      <c r="N18" t="s">
        <v>1758</v>
      </c>
    </row>
    <row r="19" spans="1:14" x14ac:dyDescent="0.3">
      <c r="A19" s="45" t="s">
        <v>1553</v>
      </c>
      <c r="B19" s="45" t="s">
        <v>1549</v>
      </c>
      <c r="C19" s="45" t="s">
        <v>1078</v>
      </c>
      <c r="D19" s="48" t="s">
        <v>1832</v>
      </c>
      <c r="E19" s="48" t="s">
        <v>1832</v>
      </c>
      <c r="F19" s="48" t="s">
        <v>1832</v>
      </c>
      <c r="G19" s="48" t="s">
        <v>1832</v>
      </c>
      <c r="H19" s="48" t="s">
        <v>1831</v>
      </c>
      <c r="I19" s="48" t="s">
        <v>1831</v>
      </c>
      <c r="J19" s="48" t="s">
        <v>1831</v>
      </c>
      <c r="K19" s="48" t="s">
        <v>1831</v>
      </c>
      <c r="L19" s="48" t="s">
        <v>1831</v>
      </c>
      <c r="M19" s="48" t="s">
        <v>1831</v>
      </c>
      <c r="N19" s="45" t="s">
        <v>1758</v>
      </c>
    </row>
    <row r="20" spans="1:14" x14ac:dyDescent="0.3">
      <c r="A20" t="s">
        <v>1554</v>
      </c>
      <c r="B20" t="s">
        <v>1555</v>
      </c>
      <c r="C20" t="s">
        <v>1074</v>
      </c>
      <c r="D20" s="49" t="s">
        <v>1832</v>
      </c>
      <c r="E20" s="49" t="s">
        <v>1832</v>
      </c>
      <c r="F20" s="49" t="s">
        <v>1832</v>
      </c>
      <c r="G20" s="49" t="s">
        <v>1832</v>
      </c>
      <c r="H20" s="49" t="s">
        <v>1832</v>
      </c>
      <c r="I20" s="49" t="s">
        <v>1832</v>
      </c>
      <c r="J20" s="49" t="s">
        <v>1831</v>
      </c>
      <c r="K20" s="49" t="s">
        <v>1831</v>
      </c>
      <c r="L20" s="49" t="s">
        <v>1831</v>
      </c>
      <c r="M20" s="49" t="s">
        <v>1831</v>
      </c>
      <c r="N20" t="s">
        <v>614</v>
      </c>
    </row>
    <row r="21" spans="1:14" x14ac:dyDescent="0.3">
      <c r="A21" s="45" t="s">
        <v>1556</v>
      </c>
      <c r="B21" s="45" t="s">
        <v>1555</v>
      </c>
      <c r="C21" s="45" t="s">
        <v>1074</v>
      </c>
      <c r="D21" s="48" t="s">
        <v>1832</v>
      </c>
      <c r="E21" s="48" t="s">
        <v>1832</v>
      </c>
      <c r="F21" s="48" t="s">
        <v>1832</v>
      </c>
      <c r="G21" s="48" t="s">
        <v>1832</v>
      </c>
      <c r="H21" s="48" t="s">
        <v>1832</v>
      </c>
      <c r="I21" s="48" t="s">
        <v>1832</v>
      </c>
      <c r="J21" s="48" t="s">
        <v>1831</v>
      </c>
      <c r="K21" s="48" t="s">
        <v>1831</v>
      </c>
      <c r="L21" s="48" t="s">
        <v>1831</v>
      </c>
      <c r="M21" s="48" t="s">
        <v>1831</v>
      </c>
      <c r="N21" s="45" t="s">
        <v>614</v>
      </c>
    </row>
    <row r="22" spans="1:14" x14ac:dyDescent="0.3">
      <c r="A22" t="s">
        <v>1557</v>
      </c>
      <c r="B22" t="s">
        <v>1555</v>
      </c>
      <c r="C22" t="s">
        <v>1084</v>
      </c>
      <c r="D22" s="49" t="s">
        <v>1832</v>
      </c>
      <c r="E22" s="49" t="s">
        <v>1832</v>
      </c>
      <c r="F22" s="49" t="s">
        <v>1832</v>
      </c>
      <c r="G22" s="49" t="s">
        <v>1832</v>
      </c>
      <c r="H22" s="49" t="s">
        <v>1831</v>
      </c>
      <c r="I22" s="49" t="s">
        <v>1831</v>
      </c>
      <c r="J22" s="49" t="s">
        <v>1831</v>
      </c>
      <c r="K22" s="49" t="s">
        <v>1831</v>
      </c>
      <c r="L22" s="49" t="s">
        <v>1831</v>
      </c>
      <c r="M22" s="49" t="s">
        <v>1831</v>
      </c>
      <c r="N22" t="s">
        <v>614</v>
      </c>
    </row>
    <row r="23" spans="1:14" x14ac:dyDescent="0.3">
      <c r="A23" s="45" t="s">
        <v>1558</v>
      </c>
      <c r="B23" s="45" t="s">
        <v>1555</v>
      </c>
      <c r="C23" s="45" t="s">
        <v>1090</v>
      </c>
      <c r="D23" s="48" t="s">
        <v>1832</v>
      </c>
      <c r="E23" s="48" t="s">
        <v>1832</v>
      </c>
      <c r="F23" s="48" t="s">
        <v>1832</v>
      </c>
      <c r="G23" s="48" t="s">
        <v>1832</v>
      </c>
      <c r="H23" s="48" t="s">
        <v>1832</v>
      </c>
      <c r="I23" s="48" t="s">
        <v>1832</v>
      </c>
      <c r="J23" s="48" t="s">
        <v>1832</v>
      </c>
      <c r="K23" s="48" t="s">
        <v>1831</v>
      </c>
      <c r="L23" s="48" t="s">
        <v>1831</v>
      </c>
      <c r="M23" s="48" t="s">
        <v>1831</v>
      </c>
      <c r="N23" s="45" t="s">
        <v>614</v>
      </c>
    </row>
    <row r="24" spans="1:14" x14ac:dyDescent="0.3">
      <c r="A24" t="s">
        <v>1559</v>
      </c>
      <c r="B24" t="s">
        <v>1555</v>
      </c>
      <c r="C24" t="s">
        <v>1081</v>
      </c>
      <c r="D24" s="49" t="s">
        <v>1832</v>
      </c>
      <c r="E24" s="49" t="s">
        <v>1832</v>
      </c>
      <c r="F24" s="49" t="s">
        <v>1832</v>
      </c>
      <c r="G24" s="49" t="s">
        <v>1832</v>
      </c>
      <c r="H24" s="49" t="s">
        <v>1831</v>
      </c>
      <c r="I24" s="49" t="s">
        <v>1831</v>
      </c>
      <c r="J24" s="49" t="s">
        <v>1831</v>
      </c>
      <c r="K24" s="49" t="s">
        <v>1831</v>
      </c>
      <c r="L24" s="49" t="s">
        <v>1831</v>
      </c>
      <c r="M24" s="49" t="s">
        <v>1831</v>
      </c>
      <c r="N24" t="s">
        <v>1763</v>
      </c>
    </row>
    <row r="25" spans="1:14" x14ac:dyDescent="0.3">
      <c r="A25" s="45" t="s">
        <v>1560</v>
      </c>
      <c r="B25" s="45" t="s">
        <v>72</v>
      </c>
      <c r="C25" s="45" t="s">
        <v>1084</v>
      </c>
      <c r="D25" s="48" t="s">
        <v>1832</v>
      </c>
      <c r="E25" s="48" t="s">
        <v>1832</v>
      </c>
      <c r="F25" s="48" t="s">
        <v>1832</v>
      </c>
      <c r="G25" s="48" t="s">
        <v>1832</v>
      </c>
      <c r="H25" s="48" t="s">
        <v>1831</v>
      </c>
      <c r="I25" s="48" t="s">
        <v>1831</v>
      </c>
      <c r="J25" s="48" t="s">
        <v>1831</v>
      </c>
      <c r="K25" s="48" t="s">
        <v>1831</v>
      </c>
      <c r="L25" s="48" t="s">
        <v>1831</v>
      </c>
      <c r="M25" s="48" t="s">
        <v>1831</v>
      </c>
      <c r="N25" s="45" t="s">
        <v>624</v>
      </c>
    </row>
    <row r="26" spans="1:14" x14ac:dyDescent="0.3">
      <c r="A26" t="s">
        <v>1561</v>
      </c>
      <c r="B26" t="s">
        <v>72</v>
      </c>
      <c r="C26" t="s">
        <v>1084</v>
      </c>
      <c r="D26" s="49" t="s">
        <v>1832</v>
      </c>
      <c r="E26" s="49" t="s">
        <v>1832</v>
      </c>
      <c r="F26" s="49" t="s">
        <v>1832</v>
      </c>
      <c r="G26" s="49" t="s">
        <v>1832</v>
      </c>
      <c r="H26" s="49" t="s">
        <v>1831</v>
      </c>
      <c r="I26" s="49" t="s">
        <v>1831</v>
      </c>
      <c r="J26" s="49" t="s">
        <v>1831</v>
      </c>
      <c r="K26" s="49" t="s">
        <v>1831</v>
      </c>
      <c r="L26" s="49" t="s">
        <v>1831</v>
      </c>
      <c r="M26" s="49" t="s">
        <v>1831</v>
      </c>
      <c r="N26" t="s">
        <v>624</v>
      </c>
    </row>
    <row r="27" spans="1:14" x14ac:dyDescent="0.3">
      <c r="A27" s="45" t="s">
        <v>1562</v>
      </c>
      <c r="B27" s="45" t="s">
        <v>72</v>
      </c>
      <c r="C27" s="45" t="s">
        <v>1084</v>
      </c>
      <c r="D27" s="48" t="s">
        <v>1832</v>
      </c>
      <c r="E27" s="48" t="s">
        <v>1832</v>
      </c>
      <c r="F27" s="48" t="s">
        <v>1832</v>
      </c>
      <c r="G27" s="48" t="s">
        <v>1832</v>
      </c>
      <c r="H27" s="48" t="s">
        <v>1831</v>
      </c>
      <c r="I27" s="48" t="s">
        <v>1831</v>
      </c>
      <c r="J27" s="48" t="s">
        <v>1831</v>
      </c>
      <c r="K27" s="48" t="s">
        <v>1831</v>
      </c>
      <c r="L27" s="48" t="s">
        <v>1831</v>
      </c>
      <c r="M27" s="48" t="s">
        <v>1831</v>
      </c>
      <c r="N27" s="45" t="s">
        <v>624</v>
      </c>
    </row>
    <row r="28" spans="1:14" x14ac:dyDescent="0.3">
      <c r="A28" t="s">
        <v>1563</v>
      </c>
      <c r="B28" t="s">
        <v>72</v>
      </c>
      <c r="C28" t="s">
        <v>1084</v>
      </c>
      <c r="D28" s="49" t="s">
        <v>1832</v>
      </c>
      <c r="E28" s="49" t="s">
        <v>1832</v>
      </c>
      <c r="F28" s="49" t="s">
        <v>1832</v>
      </c>
      <c r="G28" s="49" t="s">
        <v>1832</v>
      </c>
      <c r="H28" s="49" t="s">
        <v>1831</v>
      </c>
      <c r="I28" s="49" t="s">
        <v>1831</v>
      </c>
      <c r="J28" s="49" t="s">
        <v>1831</v>
      </c>
      <c r="K28" s="49" t="s">
        <v>1831</v>
      </c>
      <c r="L28" s="49" t="s">
        <v>1831</v>
      </c>
      <c r="M28" s="49" t="s">
        <v>1831</v>
      </c>
      <c r="N28" t="s">
        <v>624</v>
      </c>
    </row>
    <row r="29" spans="1:14" x14ac:dyDescent="0.3">
      <c r="A29" s="45" t="s">
        <v>1564</v>
      </c>
      <c r="B29" s="45" t="s">
        <v>72</v>
      </c>
      <c r="C29" s="45" t="s">
        <v>1084</v>
      </c>
      <c r="D29" s="48" t="s">
        <v>1832</v>
      </c>
      <c r="E29" s="48" t="s">
        <v>1832</v>
      </c>
      <c r="F29" s="48" t="s">
        <v>1832</v>
      </c>
      <c r="G29" s="48" t="s">
        <v>1832</v>
      </c>
      <c r="H29" s="48" t="s">
        <v>1831</v>
      </c>
      <c r="I29" s="48" t="s">
        <v>1831</v>
      </c>
      <c r="J29" s="48" t="s">
        <v>1831</v>
      </c>
      <c r="K29" s="48" t="s">
        <v>1831</v>
      </c>
      <c r="L29" s="48" t="s">
        <v>1831</v>
      </c>
      <c r="M29" s="48" t="s">
        <v>1831</v>
      </c>
      <c r="N29" s="45" t="s">
        <v>624</v>
      </c>
    </row>
    <row r="30" spans="1:14" x14ac:dyDescent="0.3">
      <c r="A30" t="s">
        <v>1565</v>
      </c>
      <c r="B30" t="s">
        <v>72</v>
      </c>
      <c r="C30" t="s">
        <v>1090</v>
      </c>
      <c r="D30" s="49" t="s">
        <v>1832</v>
      </c>
      <c r="E30" s="49" t="s">
        <v>1832</v>
      </c>
      <c r="F30" s="49" t="s">
        <v>1832</v>
      </c>
      <c r="G30" s="49" t="s">
        <v>1832</v>
      </c>
      <c r="H30" s="49" t="s">
        <v>1832</v>
      </c>
      <c r="I30" s="49" t="s">
        <v>1832</v>
      </c>
      <c r="J30" s="49" t="s">
        <v>1831</v>
      </c>
      <c r="K30" s="49" t="s">
        <v>1831</v>
      </c>
      <c r="L30" s="49" t="s">
        <v>1831</v>
      </c>
      <c r="M30" s="49" t="s">
        <v>1831</v>
      </c>
      <c r="N30" t="s">
        <v>624</v>
      </c>
    </row>
    <row r="31" spans="1:14" x14ac:dyDescent="0.3">
      <c r="A31" s="45" t="s">
        <v>1140</v>
      </c>
      <c r="B31" s="45" t="s">
        <v>1566</v>
      </c>
      <c r="C31" s="45" t="s">
        <v>1090</v>
      </c>
      <c r="D31" s="48" t="s">
        <v>1832</v>
      </c>
      <c r="E31" s="48" t="s">
        <v>1832</v>
      </c>
      <c r="F31" s="48" t="s">
        <v>1832</v>
      </c>
      <c r="G31" s="48" t="s">
        <v>1832</v>
      </c>
      <c r="H31" s="48" t="s">
        <v>1832</v>
      </c>
      <c r="I31" s="48" t="s">
        <v>1832</v>
      </c>
      <c r="J31" s="48" t="s">
        <v>1832</v>
      </c>
      <c r="K31" s="48" t="s">
        <v>1831</v>
      </c>
      <c r="L31" s="48" t="s">
        <v>1831</v>
      </c>
      <c r="M31" s="48" t="s">
        <v>1831</v>
      </c>
      <c r="N31" s="45" t="s">
        <v>629</v>
      </c>
    </row>
    <row r="32" spans="1:14" x14ac:dyDescent="0.3">
      <c r="A32" t="s">
        <v>1567</v>
      </c>
      <c r="B32" t="s">
        <v>1566</v>
      </c>
      <c r="C32" t="s">
        <v>1090</v>
      </c>
      <c r="D32" s="49" t="s">
        <v>1832</v>
      </c>
      <c r="E32" s="49" t="s">
        <v>1832</v>
      </c>
      <c r="F32" s="49" t="s">
        <v>1832</v>
      </c>
      <c r="G32" s="49" t="s">
        <v>1832</v>
      </c>
      <c r="H32" s="49" t="s">
        <v>1832</v>
      </c>
      <c r="I32" s="49" t="s">
        <v>1832</v>
      </c>
      <c r="J32" s="49" t="s">
        <v>1832</v>
      </c>
      <c r="K32" s="49" t="s">
        <v>1831</v>
      </c>
      <c r="L32" s="49" t="s">
        <v>1831</v>
      </c>
      <c r="M32" s="49" t="s">
        <v>1831</v>
      </c>
      <c r="N32" t="s">
        <v>1768</v>
      </c>
    </row>
    <row r="33" spans="1:14" x14ac:dyDescent="0.3">
      <c r="A33" s="45" t="s">
        <v>1474</v>
      </c>
      <c r="B33" s="45" t="s">
        <v>1566</v>
      </c>
      <c r="C33" s="45" t="s">
        <v>1090</v>
      </c>
      <c r="D33" s="48" t="s">
        <v>1832</v>
      </c>
      <c r="E33" s="48" t="s">
        <v>1832</v>
      </c>
      <c r="F33" s="48" t="s">
        <v>1832</v>
      </c>
      <c r="G33" s="48" t="s">
        <v>1832</v>
      </c>
      <c r="H33" s="48" t="s">
        <v>1832</v>
      </c>
      <c r="I33" s="48" t="s">
        <v>1832</v>
      </c>
      <c r="J33" s="48" t="s">
        <v>1832</v>
      </c>
      <c r="K33" s="48" t="s">
        <v>1831</v>
      </c>
      <c r="L33" s="48" t="s">
        <v>1831</v>
      </c>
      <c r="M33" s="48" t="s">
        <v>1831</v>
      </c>
      <c r="N33" s="45" t="s">
        <v>634</v>
      </c>
    </row>
    <row r="34" spans="1:14" x14ac:dyDescent="0.3">
      <c r="A34" t="s">
        <v>1568</v>
      </c>
      <c r="B34" t="s">
        <v>1566</v>
      </c>
      <c r="C34" t="s">
        <v>1090</v>
      </c>
      <c r="D34" s="49" t="s">
        <v>1832</v>
      </c>
      <c r="E34" s="49" t="s">
        <v>1832</v>
      </c>
      <c r="F34" s="49" t="s">
        <v>1832</v>
      </c>
      <c r="G34" s="49" t="s">
        <v>1832</v>
      </c>
      <c r="H34" s="49" t="s">
        <v>1832</v>
      </c>
      <c r="I34" s="49" t="s">
        <v>1832</v>
      </c>
      <c r="J34" s="49" t="s">
        <v>1832</v>
      </c>
      <c r="K34" s="49" t="s">
        <v>1831</v>
      </c>
      <c r="L34" s="49" t="s">
        <v>1831</v>
      </c>
      <c r="M34" s="49" t="s">
        <v>1831</v>
      </c>
      <c r="N34" t="s">
        <v>1768</v>
      </c>
    </row>
    <row r="35" spans="1:14" x14ac:dyDescent="0.3">
      <c r="A35" s="45" t="s">
        <v>1476</v>
      </c>
      <c r="B35" s="45" t="s">
        <v>1566</v>
      </c>
      <c r="C35" s="45" t="s">
        <v>1090</v>
      </c>
      <c r="D35" s="48" t="s">
        <v>1832</v>
      </c>
      <c r="E35" s="48" t="s">
        <v>1832</v>
      </c>
      <c r="F35" s="48" t="s">
        <v>1832</v>
      </c>
      <c r="G35" s="48" t="s">
        <v>1832</v>
      </c>
      <c r="H35" s="48" t="s">
        <v>1832</v>
      </c>
      <c r="I35" s="48" t="s">
        <v>1832</v>
      </c>
      <c r="J35" s="48" t="s">
        <v>1832</v>
      </c>
      <c r="K35" s="48" t="s">
        <v>1831</v>
      </c>
      <c r="L35" s="48" t="s">
        <v>1831</v>
      </c>
      <c r="M35" s="48" t="s">
        <v>1831</v>
      </c>
      <c r="N35" s="45" t="s">
        <v>1768</v>
      </c>
    </row>
    <row r="36" spans="1:14" x14ac:dyDescent="0.3">
      <c r="A36" t="s">
        <v>1569</v>
      </c>
      <c r="B36" t="s">
        <v>1570</v>
      </c>
      <c r="C36" t="s">
        <v>1084</v>
      </c>
      <c r="D36" s="49" t="s">
        <v>1832</v>
      </c>
      <c r="E36" s="49" t="s">
        <v>1832</v>
      </c>
      <c r="F36" s="49" t="s">
        <v>1832</v>
      </c>
      <c r="G36" s="49" t="s">
        <v>1832</v>
      </c>
      <c r="H36" s="49" t="s">
        <v>1831</v>
      </c>
      <c r="I36" s="49" t="s">
        <v>1831</v>
      </c>
      <c r="J36" s="49" t="s">
        <v>1831</v>
      </c>
      <c r="K36" s="49" t="s">
        <v>1831</v>
      </c>
      <c r="L36" s="49" t="s">
        <v>1831</v>
      </c>
      <c r="M36" s="49" t="s">
        <v>1831</v>
      </c>
      <c r="N36" t="s">
        <v>1773</v>
      </c>
    </row>
    <row r="37" spans="1:14" x14ac:dyDescent="0.3">
      <c r="A37" s="45" t="s">
        <v>1571</v>
      </c>
      <c r="B37" s="45" t="s">
        <v>1570</v>
      </c>
      <c r="C37" s="45" t="s">
        <v>1078</v>
      </c>
      <c r="D37" s="48" t="s">
        <v>1832</v>
      </c>
      <c r="E37" s="48" t="s">
        <v>1832</v>
      </c>
      <c r="F37" s="48" t="s">
        <v>1832</v>
      </c>
      <c r="G37" s="48" t="s">
        <v>1832</v>
      </c>
      <c r="H37" s="48" t="s">
        <v>1831</v>
      </c>
      <c r="I37" s="48" t="s">
        <v>1831</v>
      </c>
      <c r="J37" s="48" t="s">
        <v>1831</v>
      </c>
      <c r="K37" s="48" t="s">
        <v>1831</v>
      </c>
      <c r="L37" s="48" t="s">
        <v>1831</v>
      </c>
      <c r="M37" s="48" t="s">
        <v>1831</v>
      </c>
      <c r="N37" s="45" t="s">
        <v>1773</v>
      </c>
    </row>
    <row r="38" spans="1:14" x14ac:dyDescent="0.3">
      <c r="A38" t="s">
        <v>1572</v>
      </c>
      <c r="B38" t="s">
        <v>1570</v>
      </c>
      <c r="C38" t="s">
        <v>1074</v>
      </c>
      <c r="D38" s="49" t="s">
        <v>1832</v>
      </c>
      <c r="E38" s="49" t="s">
        <v>1832</v>
      </c>
      <c r="F38" s="49" t="s">
        <v>1832</v>
      </c>
      <c r="G38" s="49" t="s">
        <v>1832</v>
      </c>
      <c r="H38" s="49" t="s">
        <v>1831</v>
      </c>
      <c r="I38" s="49" t="s">
        <v>1831</v>
      </c>
      <c r="J38" s="49" t="s">
        <v>1831</v>
      </c>
      <c r="K38" s="49" t="s">
        <v>1831</v>
      </c>
      <c r="L38" s="49" t="s">
        <v>1831</v>
      </c>
      <c r="M38" s="49" t="s">
        <v>1831</v>
      </c>
      <c r="N38" t="s">
        <v>1773</v>
      </c>
    </row>
    <row r="39" spans="1:14" x14ac:dyDescent="0.3">
      <c r="A39" s="45" t="s">
        <v>1573</v>
      </c>
      <c r="B39" s="45" t="s">
        <v>1570</v>
      </c>
      <c r="C39" s="45" t="s">
        <v>1090</v>
      </c>
      <c r="D39" s="48" t="s">
        <v>1832</v>
      </c>
      <c r="E39" s="48" t="s">
        <v>1832</v>
      </c>
      <c r="F39" s="48" t="s">
        <v>1832</v>
      </c>
      <c r="G39" s="48" t="s">
        <v>1832</v>
      </c>
      <c r="H39" s="48" t="s">
        <v>1832</v>
      </c>
      <c r="I39" s="48" t="s">
        <v>1832</v>
      </c>
      <c r="J39" s="48" t="s">
        <v>1832</v>
      </c>
      <c r="K39" s="48" t="s">
        <v>1831</v>
      </c>
      <c r="L39" s="48" t="s">
        <v>1831</v>
      </c>
      <c r="M39" s="48" t="s">
        <v>1831</v>
      </c>
      <c r="N39" s="45" t="s">
        <v>1778</v>
      </c>
    </row>
    <row r="40" spans="1:14" x14ac:dyDescent="0.3">
      <c r="A40" t="s">
        <v>567</v>
      </c>
      <c r="B40" t="s">
        <v>1035</v>
      </c>
      <c r="C40" t="s">
        <v>1539</v>
      </c>
      <c r="D40" s="49" t="s">
        <v>1831</v>
      </c>
      <c r="E40" s="49" t="s">
        <v>1831</v>
      </c>
      <c r="F40" s="49" t="s">
        <v>1831</v>
      </c>
      <c r="G40" s="49" t="s">
        <v>1831</v>
      </c>
      <c r="H40" s="49" t="s">
        <v>1831</v>
      </c>
      <c r="I40" s="49" t="s">
        <v>1831</v>
      </c>
      <c r="J40" s="49" t="s">
        <v>1831</v>
      </c>
      <c r="K40" s="49" t="s">
        <v>1831</v>
      </c>
      <c r="L40" s="49" t="s">
        <v>1831</v>
      </c>
      <c r="M40" s="49" t="s">
        <v>1831</v>
      </c>
      <c r="N40" t="s">
        <v>566</v>
      </c>
    </row>
    <row r="41" spans="1:14" x14ac:dyDescent="0.3">
      <c r="A41" s="45" t="s">
        <v>1038</v>
      </c>
      <c r="B41" s="45" t="s">
        <v>1035</v>
      </c>
      <c r="C41" s="45" t="s">
        <v>1539</v>
      </c>
      <c r="D41" s="48" t="s">
        <v>1831</v>
      </c>
      <c r="E41" s="48" t="s">
        <v>1831</v>
      </c>
      <c r="F41" s="48" t="s">
        <v>1831</v>
      </c>
      <c r="G41" s="48" t="s">
        <v>1831</v>
      </c>
      <c r="H41" s="48" t="s">
        <v>1831</v>
      </c>
      <c r="I41" s="48" t="s">
        <v>1831</v>
      </c>
      <c r="J41" s="48" t="s">
        <v>1831</v>
      </c>
      <c r="K41" s="48" t="s">
        <v>1831</v>
      </c>
      <c r="L41" s="48" t="s">
        <v>1831</v>
      </c>
      <c r="M41" s="48" t="s">
        <v>1831</v>
      </c>
      <c r="N41" s="45" t="s">
        <v>571</v>
      </c>
    </row>
    <row r="42" spans="1:14" x14ac:dyDescent="0.3">
      <c r="A42" t="s">
        <v>1574</v>
      </c>
      <c r="B42" t="s">
        <v>1035</v>
      </c>
      <c r="C42" t="s">
        <v>1539</v>
      </c>
      <c r="D42" s="49" t="s">
        <v>1831</v>
      </c>
      <c r="E42" s="49" t="s">
        <v>1831</v>
      </c>
      <c r="F42" s="49" t="s">
        <v>1831</v>
      </c>
      <c r="G42" s="49" t="s">
        <v>1831</v>
      </c>
      <c r="H42" s="49" t="s">
        <v>1831</v>
      </c>
      <c r="I42" s="49" t="s">
        <v>1831</v>
      </c>
      <c r="J42" s="49" t="s">
        <v>1831</v>
      </c>
      <c r="K42" s="49" t="s">
        <v>1831</v>
      </c>
      <c r="L42" s="49" t="s">
        <v>1831</v>
      </c>
      <c r="M42" s="49" t="s">
        <v>1831</v>
      </c>
      <c r="N42" t="s">
        <v>573</v>
      </c>
    </row>
    <row r="43" spans="1:14" x14ac:dyDescent="0.3">
      <c r="A43" s="45" t="s">
        <v>595</v>
      </c>
      <c r="B43" s="45" t="s">
        <v>1035</v>
      </c>
      <c r="C43" s="45" t="s">
        <v>1539</v>
      </c>
      <c r="D43" s="48" t="s">
        <v>1831</v>
      </c>
      <c r="E43" s="48" t="s">
        <v>1831</v>
      </c>
      <c r="F43" s="48" t="s">
        <v>1831</v>
      </c>
      <c r="G43" s="48" t="s">
        <v>1831</v>
      </c>
      <c r="H43" s="48" t="s">
        <v>1831</v>
      </c>
      <c r="I43" s="48" t="s">
        <v>1831</v>
      </c>
      <c r="J43" s="48" t="s">
        <v>1831</v>
      </c>
      <c r="K43" s="48" t="s">
        <v>1831</v>
      </c>
      <c r="L43" s="48" t="s">
        <v>1831</v>
      </c>
      <c r="M43" s="48" t="s">
        <v>1831</v>
      </c>
      <c r="N43" s="45" t="s">
        <v>594</v>
      </c>
    </row>
    <row r="44" spans="1:14" x14ac:dyDescent="0.3">
      <c r="A44" t="s">
        <v>601</v>
      </c>
      <c r="B44" t="s">
        <v>1035</v>
      </c>
      <c r="C44" t="s">
        <v>1539</v>
      </c>
      <c r="D44" s="49" t="s">
        <v>1831</v>
      </c>
      <c r="E44" s="49" t="s">
        <v>1831</v>
      </c>
      <c r="F44" s="49" t="s">
        <v>1831</v>
      </c>
      <c r="G44" s="49" t="s">
        <v>1831</v>
      </c>
      <c r="H44" s="49" t="s">
        <v>1831</v>
      </c>
      <c r="I44" s="49" t="s">
        <v>1831</v>
      </c>
      <c r="J44" s="49" t="s">
        <v>1831</v>
      </c>
      <c r="K44" s="49" t="s">
        <v>1831</v>
      </c>
      <c r="L44" s="49" t="s">
        <v>1831</v>
      </c>
      <c r="M44" s="49" t="s">
        <v>1831</v>
      </c>
      <c r="N44" t="s">
        <v>600</v>
      </c>
    </row>
    <row r="45" spans="1:14" x14ac:dyDescent="0.3">
      <c r="A45" s="45" t="s">
        <v>598</v>
      </c>
      <c r="B45" s="45" t="s">
        <v>1035</v>
      </c>
      <c r="C45" s="45" t="s">
        <v>1539</v>
      </c>
      <c r="D45" s="48" t="s">
        <v>1831</v>
      </c>
      <c r="E45" s="48" t="s">
        <v>1831</v>
      </c>
      <c r="F45" s="48" t="s">
        <v>1831</v>
      </c>
      <c r="G45" s="48" t="s">
        <v>1831</v>
      </c>
      <c r="H45" s="48" t="s">
        <v>1831</v>
      </c>
      <c r="I45" s="48" t="s">
        <v>1831</v>
      </c>
      <c r="J45" s="48" t="s">
        <v>1831</v>
      </c>
      <c r="K45" s="48" t="s">
        <v>1831</v>
      </c>
      <c r="L45" s="48" t="s">
        <v>1831</v>
      </c>
      <c r="M45" s="48" t="s">
        <v>1831</v>
      </c>
      <c r="N45" s="45" t="s">
        <v>597</v>
      </c>
    </row>
    <row r="46" spans="1:14" x14ac:dyDescent="0.3">
      <c r="A46" t="s">
        <v>577</v>
      </c>
      <c r="B46" t="s">
        <v>33</v>
      </c>
      <c r="C46" t="s">
        <v>1539</v>
      </c>
      <c r="D46" s="49" t="s">
        <v>1831</v>
      </c>
      <c r="E46" s="49" t="s">
        <v>1831</v>
      </c>
      <c r="F46" s="49" t="s">
        <v>1831</v>
      </c>
      <c r="G46" s="49" t="s">
        <v>1831</v>
      </c>
      <c r="H46" s="49" t="s">
        <v>1831</v>
      </c>
      <c r="I46" s="49" t="s">
        <v>1831</v>
      </c>
      <c r="J46" s="49" t="s">
        <v>1831</v>
      </c>
      <c r="K46" s="49" t="s">
        <v>1831</v>
      </c>
      <c r="L46" s="49" t="s">
        <v>1831</v>
      </c>
      <c r="M46" s="49" t="s">
        <v>1831</v>
      </c>
      <c r="N46" t="s">
        <v>576</v>
      </c>
    </row>
    <row r="47" spans="1:14" x14ac:dyDescent="0.3">
      <c r="A47" s="45" t="s">
        <v>581</v>
      </c>
      <c r="B47" s="45" t="s">
        <v>33</v>
      </c>
      <c r="C47" s="45" t="s">
        <v>1539</v>
      </c>
      <c r="D47" s="48" t="s">
        <v>1831</v>
      </c>
      <c r="E47" s="48" t="s">
        <v>1831</v>
      </c>
      <c r="F47" s="48" t="s">
        <v>1831</v>
      </c>
      <c r="G47" s="48" t="s">
        <v>1831</v>
      </c>
      <c r="H47" s="48" t="s">
        <v>1831</v>
      </c>
      <c r="I47" s="48" t="s">
        <v>1831</v>
      </c>
      <c r="J47" s="48" t="s">
        <v>1831</v>
      </c>
      <c r="K47" s="48" t="s">
        <v>1831</v>
      </c>
      <c r="L47" s="48" t="s">
        <v>1831</v>
      </c>
      <c r="M47" s="48" t="s">
        <v>1831</v>
      </c>
      <c r="N47" s="45" t="s">
        <v>580</v>
      </c>
    </row>
    <row r="48" spans="1:14" x14ac:dyDescent="0.3">
      <c r="A48" t="s">
        <v>584</v>
      </c>
      <c r="B48" t="s">
        <v>33</v>
      </c>
      <c r="C48" t="s">
        <v>1539</v>
      </c>
      <c r="D48" s="49" t="s">
        <v>1831</v>
      </c>
      <c r="E48" s="49" t="s">
        <v>1831</v>
      </c>
      <c r="F48" s="49" t="s">
        <v>1831</v>
      </c>
      <c r="G48" s="49" t="s">
        <v>1831</v>
      </c>
      <c r="H48" s="49" t="s">
        <v>1831</v>
      </c>
      <c r="I48" s="49" t="s">
        <v>1831</v>
      </c>
      <c r="J48" s="49" t="s">
        <v>1831</v>
      </c>
      <c r="K48" s="49" t="s">
        <v>1831</v>
      </c>
      <c r="L48" s="49" t="s">
        <v>1831</v>
      </c>
      <c r="M48" s="49" t="s">
        <v>1831</v>
      </c>
      <c r="N48" t="s">
        <v>583</v>
      </c>
    </row>
    <row r="49" spans="1:14" x14ac:dyDescent="0.3">
      <c r="A49" s="45" t="s">
        <v>588</v>
      </c>
      <c r="B49" s="45" t="s">
        <v>33</v>
      </c>
      <c r="C49" s="45" t="s">
        <v>1539</v>
      </c>
      <c r="D49" s="48" t="s">
        <v>1831</v>
      </c>
      <c r="E49" s="48" t="s">
        <v>1831</v>
      </c>
      <c r="F49" s="48" t="s">
        <v>1831</v>
      </c>
      <c r="G49" s="48" t="s">
        <v>1831</v>
      </c>
      <c r="H49" s="48" t="s">
        <v>1831</v>
      </c>
      <c r="I49" s="48" t="s">
        <v>1831</v>
      </c>
      <c r="J49" s="48" t="s">
        <v>1831</v>
      </c>
      <c r="K49" s="48" t="s">
        <v>1831</v>
      </c>
      <c r="L49" s="48" t="s">
        <v>1831</v>
      </c>
      <c r="M49" s="48" t="s">
        <v>1831</v>
      </c>
      <c r="N49" s="45" t="s">
        <v>587</v>
      </c>
    </row>
    <row r="50" spans="1:14" x14ac:dyDescent="0.3">
      <c r="A50" t="s">
        <v>1068</v>
      </c>
      <c r="B50" t="s">
        <v>1575</v>
      </c>
      <c r="C50" t="s">
        <v>1539</v>
      </c>
      <c r="D50" s="49" t="s">
        <v>1832</v>
      </c>
      <c r="E50" s="49" t="s">
        <v>1832</v>
      </c>
      <c r="F50" s="49" t="s">
        <v>1832</v>
      </c>
      <c r="G50" s="49" t="s">
        <v>1832</v>
      </c>
      <c r="H50" s="49" t="s">
        <v>1832</v>
      </c>
      <c r="I50" s="49" t="s">
        <v>1832</v>
      </c>
      <c r="J50" s="49" t="s">
        <v>1832</v>
      </c>
      <c r="K50" s="49" t="s">
        <v>1832</v>
      </c>
      <c r="L50" s="49" t="s">
        <v>1832</v>
      </c>
      <c r="M50" s="49" t="s">
        <v>1831</v>
      </c>
      <c r="N50" t="s">
        <v>11</v>
      </c>
    </row>
    <row r="51" spans="1:14" x14ac:dyDescent="0.3">
      <c r="A51" s="45" t="s">
        <v>1576</v>
      </c>
      <c r="B51" s="45" t="s">
        <v>1575</v>
      </c>
      <c r="C51" s="45" t="s">
        <v>1539</v>
      </c>
      <c r="D51" s="48" t="s">
        <v>1831</v>
      </c>
      <c r="E51" s="48" t="s">
        <v>1831</v>
      </c>
      <c r="F51" s="48" t="s">
        <v>1831</v>
      </c>
      <c r="G51" s="48" t="s">
        <v>1831</v>
      </c>
      <c r="H51" s="48" t="s">
        <v>1831</v>
      </c>
      <c r="I51" s="48" t="s">
        <v>1831</v>
      </c>
      <c r="J51" s="48" t="s">
        <v>1831</v>
      </c>
      <c r="K51" s="48" t="s">
        <v>1831</v>
      </c>
      <c r="L51" s="48" t="s">
        <v>1831</v>
      </c>
      <c r="M51" s="48" t="s">
        <v>1831</v>
      </c>
      <c r="N51" s="45" t="s">
        <v>590</v>
      </c>
    </row>
    <row r="53" spans="1:14" ht="15.6" x14ac:dyDescent="0.3">
      <c r="A53" s="200" t="s">
        <v>14184</v>
      </c>
      <c r="B53" s="200"/>
      <c r="C53" s="200"/>
      <c r="D53" s="200"/>
      <c r="E53" s="200"/>
      <c r="F53" s="200"/>
      <c r="G53" s="200"/>
      <c r="H53" s="200"/>
      <c r="I53" s="200"/>
      <c r="J53" s="200"/>
      <c r="K53" s="200"/>
      <c r="L53" s="200"/>
      <c r="M53" s="200"/>
      <c r="N53" s="200"/>
    </row>
    <row r="55" spans="1:14" x14ac:dyDescent="0.3">
      <c r="A55" s="42" t="s">
        <v>1577</v>
      </c>
      <c r="B55" s="42" t="s">
        <v>1578</v>
      </c>
      <c r="C55" s="42" t="s">
        <v>1579</v>
      </c>
      <c r="D55" s="42" t="s">
        <v>1</v>
      </c>
    </row>
    <row r="56" spans="1:14" x14ac:dyDescent="0.3">
      <c r="A56" s="46" t="s">
        <v>74</v>
      </c>
      <c r="B56" s="46" t="s">
        <v>1580</v>
      </c>
      <c r="C56" s="46" t="s">
        <v>643</v>
      </c>
      <c r="D56" s="46" t="s">
        <v>1581</v>
      </c>
    </row>
    <row r="57" spans="1:14" x14ac:dyDescent="0.3">
      <c r="A57" t="s">
        <v>74</v>
      </c>
      <c r="B57" t="s">
        <v>1582</v>
      </c>
      <c r="C57" t="s">
        <v>14173</v>
      </c>
      <c r="D57" s="191" t="s">
        <v>14174</v>
      </c>
    </row>
    <row r="58" spans="1:14" x14ac:dyDescent="0.3">
      <c r="A58" s="46" t="s">
        <v>74</v>
      </c>
      <c r="B58" s="46" t="s">
        <v>1583</v>
      </c>
      <c r="C58" s="46" t="s">
        <v>1813</v>
      </c>
      <c r="D58" s="46" t="s">
        <v>1584</v>
      </c>
    </row>
    <row r="59" spans="1:14" x14ac:dyDescent="0.3">
      <c r="A59" t="s">
        <v>67</v>
      </c>
      <c r="B59" t="s">
        <v>1585</v>
      </c>
      <c r="C59" t="s">
        <v>648</v>
      </c>
      <c r="D59" t="s">
        <v>1586</v>
      </c>
    </row>
    <row r="60" spans="1:14" x14ac:dyDescent="0.3">
      <c r="A60" s="46" t="s">
        <v>67</v>
      </c>
      <c r="B60" s="46" t="s">
        <v>1587</v>
      </c>
      <c r="C60" s="46" t="s">
        <v>13026</v>
      </c>
      <c r="D60" s="46" t="s">
        <v>1588</v>
      </c>
    </row>
    <row r="61" spans="1:14" x14ac:dyDescent="0.3">
      <c r="A61" t="s">
        <v>72</v>
      </c>
      <c r="B61" t="s">
        <v>1589</v>
      </c>
      <c r="C61" t="s">
        <v>1783</v>
      </c>
      <c r="D61" t="s">
        <v>1590</v>
      </c>
    </row>
    <row r="62" spans="1:14" x14ac:dyDescent="0.3">
      <c r="A62" s="46" t="s">
        <v>72</v>
      </c>
      <c r="B62" s="46" t="s">
        <v>1591</v>
      </c>
      <c r="C62" s="46" t="s">
        <v>624</v>
      </c>
      <c r="D62" s="46" t="s">
        <v>1592</v>
      </c>
    </row>
    <row r="63" spans="1:14" x14ac:dyDescent="0.3">
      <c r="A63" t="s">
        <v>63</v>
      </c>
      <c r="B63" t="s">
        <v>1593</v>
      </c>
      <c r="C63" t="s">
        <v>14175</v>
      </c>
      <c r="D63" t="s">
        <v>14176</v>
      </c>
    </row>
    <row r="64" spans="1:14" x14ac:dyDescent="0.3">
      <c r="A64" s="46" t="s">
        <v>63</v>
      </c>
      <c r="B64" s="46" t="s">
        <v>1594</v>
      </c>
      <c r="C64" s="46" t="s">
        <v>37</v>
      </c>
      <c r="D64" s="46" t="s">
        <v>14177</v>
      </c>
    </row>
    <row r="65" spans="1:14" x14ac:dyDescent="0.3">
      <c r="A65" t="s">
        <v>65</v>
      </c>
      <c r="B65" t="s">
        <v>1595</v>
      </c>
      <c r="C65" t="s">
        <v>13555</v>
      </c>
      <c r="D65" t="s">
        <v>1596</v>
      </c>
    </row>
    <row r="66" spans="1:14" x14ac:dyDescent="0.3">
      <c r="A66" s="46" t="s">
        <v>65</v>
      </c>
      <c r="B66" s="46" t="s">
        <v>13556</v>
      </c>
      <c r="C66" s="46" t="s">
        <v>1818</v>
      </c>
      <c r="D66" s="46" t="s">
        <v>13557</v>
      </c>
    </row>
    <row r="67" spans="1:14" x14ac:dyDescent="0.3">
      <c r="A67" t="s">
        <v>1597</v>
      </c>
      <c r="B67" t="s">
        <v>1598</v>
      </c>
      <c r="C67" t="s">
        <v>13558</v>
      </c>
      <c r="D67" t="s">
        <v>1599</v>
      </c>
    </row>
    <row r="68" spans="1:14" x14ac:dyDescent="0.3">
      <c r="A68" s="46" t="s">
        <v>1597</v>
      </c>
      <c r="B68" s="46" t="s">
        <v>1582</v>
      </c>
      <c r="C68" s="46" t="s">
        <v>14173</v>
      </c>
      <c r="D68" s="46" t="s">
        <v>14178</v>
      </c>
    </row>
    <row r="69" spans="1:14" x14ac:dyDescent="0.3">
      <c r="A69" t="s">
        <v>82</v>
      </c>
      <c r="B69" t="s">
        <v>1600</v>
      </c>
      <c r="C69" t="s">
        <v>629</v>
      </c>
      <c r="D69" t="s">
        <v>1601</v>
      </c>
    </row>
    <row r="70" spans="1:14" x14ac:dyDescent="0.3">
      <c r="A70" s="46" t="s">
        <v>82</v>
      </c>
      <c r="B70" s="46" t="s">
        <v>1602</v>
      </c>
      <c r="C70" s="46" t="s">
        <v>14179</v>
      </c>
      <c r="D70" s="46" t="s">
        <v>14180</v>
      </c>
    </row>
    <row r="71" spans="1:14" x14ac:dyDescent="0.3">
      <c r="A71" t="s">
        <v>1603</v>
      </c>
      <c r="B71" t="s">
        <v>1593</v>
      </c>
      <c r="C71" t="s">
        <v>14173</v>
      </c>
      <c r="D71" t="s">
        <v>14181</v>
      </c>
    </row>
    <row r="72" spans="1:14" x14ac:dyDescent="0.3">
      <c r="A72" s="46" t="s">
        <v>1604</v>
      </c>
      <c r="B72" s="46" t="s">
        <v>1582</v>
      </c>
      <c r="C72" s="46" t="s">
        <v>1768</v>
      </c>
      <c r="D72" s="46" t="s">
        <v>1605</v>
      </c>
    </row>
    <row r="74" spans="1:14" ht="15.6" x14ac:dyDescent="0.3">
      <c r="A74" s="200" t="s">
        <v>1606</v>
      </c>
      <c r="B74" s="200"/>
      <c r="C74" s="200"/>
      <c r="D74" s="200"/>
      <c r="E74" s="200"/>
      <c r="F74" s="200"/>
      <c r="G74" s="200"/>
      <c r="H74" s="200"/>
      <c r="I74" s="200"/>
      <c r="J74" s="200"/>
      <c r="K74" s="200"/>
      <c r="L74" s="200"/>
      <c r="M74" s="200"/>
      <c r="N74" s="200"/>
    </row>
    <row r="76" spans="1:14" x14ac:dyDescent="0.3">
      <c r="A76" s="43" t="s">
        <v>1607</v>
      </c>
      <c r="B76" s="43" t="s">
        <v>1608</v>
      </c>
      <c r="C76" s="43" t="s">
        <v>1609</v>
      </c>
      <c r="D76" s="43" t="s">
        <v>1610</v>
      </c>
      <c r="E76" s="43" t="s">
        <v>1611</v>
      </c>
      <c r="F76" s="43" t="s">
        <v>1612</v>
      </c>
    </row>
    <row r="77" spans="1:14" x14ac:dyDescent="0.3">
      <c r="A77" s="47" t="s">
        <v>1074</v>
      </c>
      <c r="B77" s="47" t="s">
        <v>1613</v>
      </c>
      <c r="C77" s="47" t="s">
        <v>1614</v>
      </c>
      <c r="D77" s="47" t="s">
        <v>508</v>
      </c>
      <c r="E77" s="47" t="s">
        <v>1615</v>
      </c>
      <c r="F77" s="47" t="s">
        <v>1616</v>
      </c>
    </row>
    <row r="78" spans="1:14" x14ac:dyDescent="0.3">
      <c r="A78" t="s">
        <v>1074</v>
      </c>
      <c r="B78" t="s">
        <v>1617</v>
      </c>
      <c r="C78" t="s">
        <v>1614</v>
      </c>
      <c r="D78" t="s">
        <v>513</v>
      </c>
      <c r="E78" t="s">
        <v>1618</v>
      </c>
      <c r="F78" t="s">
        <v>1619</v>
      </c>
    </row>
    <row r="79" spans="1:14" x14ac:dyDescent="0.3">
      <c r="A79" s="47" t="s">
        <v>1078</v>
      </c>
      <c r="B79" s="47" t="s">
        <v>1620</v>
      </c>
      <c r="C79" s="47" t="s">
        <v>1614</v>
      </c>
      <c r="D79" s="47" t="s">
        <v>517</v>
      </c>
      <c r="E79" s="47" t="s">
        <v>14182</v>
      </c>
      <c r="F79" s="47" t="s">
        <v>1621</v>
      </c>
    </row>
    <row r="80" spans="1:14" x14ac:dyDescent="0.3">
      <c r="A80" t="s">
        <v>1078</v>
      </c>
      <c r="B80" t="s">
        <v>1622</v>
      </c>
      <c r="C80" t="s">
        <v>1614</v>
      </c>
      <c r="D80" t="s">
        <v>13424</v>
      </c>
      <c r="E80" t="s">
        <v>13562</v>
      </c>
      <c r="F80" t="s">
        <v>1623</v>
      </c>
    </row>
    <row r="81" spans="1:6" x14ac:dyDescent="0.3">
      <c r="A81" s="47" t="s">
        <v>1078</v>
      </c>
      <c r="B81" s="47" t="s">
        <v>1624</v>
      </c>
      <c r="C81" s="47" t="s">
        <v>1625</v>
      </c>
      <c r="D81" s="47" t="s">
        <v>28</v>
      </c>
      <c r="E81" s="47" t="s">
        <v>1626</v>
      </c>
      <c r="F81" s="47" t="s">
        <v>1627</v>
      </c>
    </row>
    <row r="82" spans="1:6" x14ac:dyDescent="0.3">
      <c r="A82" t="s">
        <v>1081</v>
      </c>
      <c r="B82" t="s">
        <v>1637</v>
      </c>
      <c r="C82" t="s">
        <v>1628</v>
      </c>
      <c r="D82" t="s">
        <v>1798</v>
      </c>
      <c r="E82" t="s">
        <v>1629</v>
      </c>
      <c r="F82" t="s">
        <v>1630</v>
      </c>
    </row>
    <row r="83" spans="1:6" x14ac:dyDescent="0.3">
      <c r="A83" s="47" t="s">
        <v>1081</v>
      </c>
      <c r="B83" s="47" t="s">
        <v>1631</v>
      </c>
      <c r="C83" s="47" t="s">
        <v>1632</v>
      </c>
      <c r="D83" s="47" t="s">
        <v>13424</v>
      </c>
      <c r="E83" s="47" t="s">
        <v>13563</v>
      </c>
      <c r="F83" s="47" t="s">
        <v>1633</v>
      </c>
    </row>
    <row r="84" spans="1:6" x14ac:dyDescent="0.3">
      <c r="A84" t="s">
        <v>1084</v>
      </c>
      <c r="B84" t="s">
        <v>1634</v>
      </c>
      <c r="C84" t="s">
        <v>1628</v>
      </c>
      <c r="D84" t="s">
        <v>26</v>
      </c>
      <c r="E84" t="s">
        <v>1635</v>
      </c>
      <c r="F84" t="s">
        <v>1636</v>
      </c>
    </row>
    <row r="85" spans="1:6" x14ac:dyDescent="0.3">
      <c r="A85" s="47" t="s">
        <v>1084</v>
      </c>
      <c r="B85" s="47" t="s">
        <v>1637</v>
      </c>
      <c r="C85" s="47" t="s">
        <v>1628</v>
      </c>
      <c r="D85" s="47" t="s">
        <v>26</v>
      </c>
      <c r="E85" s="47" t="s">
        <v>1638</v>
      </c>
      <c r="F85" s="47" t="s">
        <v>1630</v>
      </c>
    </row>
    <row r="86" spans="1:6" x14ac:dyDescent="0.3">
      <c r="A86" t="s">
        <v>1084</v>
      </c>
      <c r="B86" t="s">
        <v>1639</v>
      </c>
      <c r="C86" t="s">
        <v>1628</v>
      </c>
      <c r="D86" t="s">
        <v>26</v>
      </c>
      <c r="E86" t="s">
        <v>1640</v>
      </c>
      <c r="F86" t="s">
        <v>1641</v>
      </c>
    </row>
    <row r="87" spans="1:6" x14ac:dyDescent="0.3">
      <c r="A87" s="47" t="s">
        <v>1084</v>
      </c>
      <c r="B87" s="47" t="s">
        <v>1642</v>
      </c>
      <c r="C87" s="47" t="s">
        <v>1632</v>
      </c>
      <c r="D87" s="47" t="s">
        <v>16</v>
      </c>
      <c r="E87" s="47" t="s">
        <v>1643</v>
      </c>
      <c r="F87" s="47" t="s">
        <v>1633</v>
      </c>
    </row>
    <row r="88" spans="1:6" x14ac:dyDescent="0.3">
      <c r="A88" t="s">
        <v>1084</v>
      </c>
      <c r="B88" t="s">
        <v>1644</v>
      </c>
      <c r="C88" t="s">
        <v>1570</v>
      </c>
      <c r="D88" t="s">
        <v>16</v>
      </c>
      <c r="E88" t="s">
        <v>1645</v>
      </c>
      <c r="F88" t="s">
        <v>1646</v>
      </c>
    </row>
    <row r="89" spans="1:6" x14ac:dyDescent="0.3">
      <c r="A89" s="47" t="s">
        <v>1084</v>
      </c>
      <c r="B89" s="47" t="s">
        <v>1647</v>
      </c>
      <c r="C89" s="47" t="s">
        <v>1570</v>
      </c>
      <c r="D89" s="47" t="s">
        <v>16</v>
      </c>
      <c r="E89" s="47" t="s">
        <v>1648</v>
      </c>
      <c r="F89" s="47" t="s">
        <v>1649</v>
      </c>
    </row>
    <row r="90" spans="1:6" x14ac:dyDescent="0.3">
      <c r="A90" t="s">
        <v>1084</v>
      </c>
      <c r="B90" t="s">
        <v>1650</v>
      </c>
      <c r="C90" t="s">
        <v>63</v>
      </c>
      <c r="D90" t="s">
        <v>13424</v>
      </c>
      <c r="E90" t="s">
        <v>13564</v>
      </c>
      <c r="F90" t="s">
        <v>1651</v>
      </c>
    </row>
    <row r="91" spans="1:6" x14ac:dyDescent="0.3">
      <c r="A91" s="47" t="s">
        <v>1090</v>
      </c>
      <c r="B91" s="47" t="s">
        <v>1642</v>
      </c>
      <c r="C91" s="47" t="s">
        <v>1632</v>
      </c>
      <c r="D91" s="47" t="s">
        <v>34</v>
      </c>
      <c r="E91" s="47" t="s">
        <v>1652</v>
      </c>
      <c r="F91" s="47" t="s">
        <v>1633</v>
      </c>
    </row>
    <row r="92" spans="1:6" x14ac:dyDescent="0.3">
      <c r="A92" t="s">
        <v>1090</v>
      </c>
      <c r="B92" t="s">
        <v>1653</v>
      </c>
      <c r="C92" t="s">
        <v>1628</v>
      </c>
      <c r="D92" t="s">
        <v>15</v>
      </c>
      <c r="E92" t="s">
        <v>1654</v>
      </c>
      <c r="F92" t="s">
        <v>1655</v>
      </c>
    </row>
    <row r="93" spans="1:6" x14ac:dyDescent="0.3">
      <c r="A93" s="47" t="s">
        <v>1090</v>
      </c>
      <c r="B93" s="47" t="s">
        <v>1656</v>
      </c>
      <c r="C93" s="47" t="s">
        <v>1628</v>
      </c>
      <c r="D93" s="47" t="s">
        <v>15</v>
      </c>
      <c r="E93" s="47" t="s">
        <v>1657</v>
      </c>
      <c r="F93" s="47" t="s">
        <v>1658</v>
      </c>
    </row>
    <row r="94" spans="1:6" x14ac:dyDescent="0.3">
      <c r="A94" t="s">
        <v>1090</v>
      </c>
      <c r="B94" t="s">
        <v>1659</v>
      </c>
      <c r="C94" t="s">
        <v>1632</v>
      </c>
      <c r="D94" t="s">
        <v>15</v>
      </c>
      <c r="E94" t="s">
        <v>1660</v>
      </c>
      <c r="F94" t="s">
        <v>1661</v>
      </c>
    </row>
    <row r="95" spans="1:6" x14ac:dyDescent="0.3">
      <c r="A95" s="47" t="s">
        <v>1090</v>
      </c>
      <c r="B95" s="47" t="s">
        <v>13565</v>
      </c>
      <c r="C95" s="47" t="s">
        <v>1632</v>
      </c>
      <c r="D95" s="47" t="s">
        <v>1805</v>
      </c>
      <c r="E95" s="47" t="s">
        <v>13566</v>
      </c>
      <c r="F95" s="47" t="s">
        <v>13567</v>
      </c>
    </row>
    <row r="96" spans="1:6" x14ac:dyDescent="0.3">
      <c r="A96" t="s">
        <v>1090</v>
      </c>
      <c r="B96" t="s">
        <v>1650</v>
      </c>
      <c r="C96" t="s">
        <v>63</v>
      </c>
      <c r="D96" t="s">
        <v>37</v>
      </c>
      <c r="E96" t="s">
        <v>1662</v>
      </c>
      <c r="F96" t="s">
        <v>1663</v>
      </c>
    </row>
    <row r="97" spans="1:14" x14ac:dyDescent="0.3">
      <c r="A97" s="47" t="s">
        <v>1090</v>
      </c>
      <c r="B97" s="47" t="s">
        <v>1664</v>
      </c>
      <c r="C97" s="47" t="s">
        <v>1628</v>
      </c>
      <c r="D97" s="47" t="s">
        <v>1802</v>
      </c>
      <c r="E97" s="47" t="s">
        <v>1665</v>
      </c>
      <c r="F97" s="47" t="s">
        <v>1666</v>
      </c>
    </row>
    <row r="98" spans="1:14" x14ac:dyDescent="0.3">
      <c r="A98" t="s">
        <v>1090</v>
      </c>
      <c r="B98" t="s">
        <v>1667</v>
      </c>
      <c r="C98" t="s">
        <v>1628</v>
      </c>
      <c r="D98" t="s">
        <v>17</v>
      </c>
      <c r="E98" t="s">
        <v>1668</v>
      </c>
      <c r="F98" t="s">
        <v>1669</v>
      </c>
    </row>
    <row r="99" spans="1:14" x14ac:dyDescent="0.3">
      <c r="A99" s="47" t="s">
        <v>1093</v>
      </c>
      <c r="B99" s="47" t="s">
        <v>1670</v>
      </c>
      <c r="C99" s="47" t="s">
        <v>1628</v>
      </c>
      <c r="D99" s="47" t="s">
        <v>36</v>
      </c>
      <c r="E99" s="47" t="s">
        <v>1671</v>
      </c>
      <c r="F99" s="47" t="s">
        <v>1672</v>
      </c>
    </row>
    <row r="100" spans="1:14" x14ac:dyDescent="0.3">
      <c r="A100" t="s">
        <v>1093</v>
      </c>
      <c r="B100" t="s">
        <v>1673</v>
      </c>
      <c r="C100" t="s">
        <v>1628</v>
      </c>
      <c r="D100" t="s">
        <v>40</v>
      </c>
      <c r="E100" t="s">
        <v>1674</v>
      </c>
      <c r="F100" t="s">
        <v>1675</v>
      </c>
    </row>
    <row r="101" spans="1:14" x14ac:dyDescent="0.3">
      <c r="A101" s="47" t="s">
        <v>1093</v>
      </c>
      <c r="B101" s="47" t="s">
        <v>1676</v>
      </c>
      <c r="C101" s="47" t="s">
        <v>1632</v>
      </c>
      <c r="D101" s="47" t="s">
        <v>35</v>
      </c>
      <c r="E101" s="47" t="s">
        <v>1677</v>
      </c>
      <c r="F101" s="47" t="s">
        <v>1678</v>
      </c>
    </row>
    <row r="102" spans="1:14" x14ac:dyDescent="0.3">
      <c r="A102" t="s">
        <v>1093</v>
      </c>
      <c r="B102" t="s">
        <v>1679</v>
      </c>
      <c r="C102" t="s">
        <v>1680</v>
      </c>
      <c r="D102" t="s">
        <v>22</v>
      </c>
      <c r="E102" t="s">
        <v>1681</v>
      </c>
      <c r="F102" t="s">
        <v>1682</v>
      </c>
    </row>
    <row r="103" spans="1:14" x14ac:dyDescent="0.3">
      <c r="A103" s="47" t="s">
        <v>1093</v>
      </c>
      <c r="B103" s="47" t="s">
        <v>1683</v>
      </c>
      <c r="C103" s="47" t="s">
        <v>1684</v>
      </c>
      <c r="D103" s="47" t="s">
        <v>1795</v>
      </c>
      <c r="E103" s="47" t="s">
        <v>1685</v>
      </c>
      <c r="F103" s="47" t="s">
        <v>1686</v>
      </c>
    </row>
    <row r="104" spans="1:14" x14ac:dyDescent="0.3">
      <c r="A104" t="s">
        <v>1093</v>
      </c>
      <c r="B104" t="s">
        <v>1687</v>
      </c>
      <c r="C104" t="s">
        <v>76</v>
      </c>
      <c r="D104" t="s">
        <v>54</v>
      </c>
      <c r="E104" t="s">
        <v>1688</v>
      </c>
      <c r="F104" t="s">
        <v>1689</v>
      </c>
    </row>
    <row r="105" spans="1:14" x14ac:dyDescent="0.3">
      <c r="A105" s="47" t="s">
        <v>1097</v>
      </c>
      <c r="B105" s="47" t="s">
        <v>1690</v>
      </c>
      <c r="C105" s="47" t="s">
        <v>1575</v>
      </c>
      <c r="D105" s="47" t="s">
        <v>301</v>
      </c>
      <c r="E105" s="47" t="s">
        <v>1691</v>
      </c>
      <c r="F105" s="47" t="s">
        <v>1692</v>
      </c>
    </row>
    <row r="106" spans="1:14" x14ac:dyDescent="0.3">
      <c r="A106" t="s">
        <v>1097</v>
      </c>
      <c r="B106" t="s">
        <v>1693</v>
      </c>
      <c r="C106" t="s">
        <v>1625</v>
      </c>
      <c r="D106" t="s">
        <v>13424</v>
      </c>
      <c r="E106" t="s">
        <v>13568</v>
      </c>
      <c r="F106" t="s">
        <v>1694</v>
      </c>
    </row>
    <row r="107" spans="1:14" x14ac:dyDescent="0.3">
      <c r="A107" s="47" t="s">
        <v>1100</v>
      </c>
      <c r="B107" s="47" t="s">
        <v>1695</v>
      </c>
      <c r="C107" s="47" t="s">
        <v>76</v>
      </c>
      <c r="D107" s="47" t="s">
        <v>1806</v>
      </c>
      <c r="E107" s="47" t="s">
        <v>1696</v>
      </c>
      <c r="F107" s="47" t="s">
        <v>1697</v>
      </c>
    </row>
    <row r="108" spans="1:14" x14ac:dyDescent="0.3">
      <c r="A108" t="s">
        <v>1100</v>
      </c>
      <c r="B108" t="s">
        <v>1698</v>
      </c>
      <c r="C108" t="s">
        <v>1570</v>
      </c>
      <c r="D108" t="s">
        <v>1810</v>
      </c>
      <c r="E108" t="s">
        <v>1699</v>
      </c>
      <c r="F108" t="s">
        <v>1700</v>
      </c>
    </row>
    <row r="110" spans="1:14" ht="15.6" x14ac:dyDescent="0.3">
      <c r="A110" s="200" t="s">
        <v>1701</v>
      </c>
      <c r="B110" s="200"/>
      <c r="C110" s="200"/>
      <c r="D110" s="200"/>
      <c r="E110" s="200"/>
      <c r="F110" s="200"/>
      <c r="G110" s="200"/>
      <c r="H110" s="200"/>
      <c r="I110" s="200"/>
      <c r="J110" s="200"/>
      <c r="K110" s="200"/>
      <c r="L110" s="200"/>
      <c r="M110" s="200"/>
      <c r="N110" s="200"/>
    </row>
    <row r="112" spans="1:14" x14ac:dyDescent="0.3">
      <c r="A112" s="44" t="s">
        <v>1702</v>
      </c>
      <c r="B112" s="44" t="s">
        <v>1703</v>
      </c>
      <c r="C112" s="44" t="s">
        <v>1704</v>
      </c>
      <c r="D112" s="44" t="s">
        <v>1610</v>
      </c>
      <c r="E112" s="44" t="s">
        <v>1245</v>
      </c>
    </row>
    <row r="113" spans="1:5" x14ac:dyDescent="0.3">
      <c r="A113" s="46" t="s">
        <v>1560</v>
      </c>
      <c r="B113" s="46" t="s">
        <v>1705</v>
      </c>
      <c r="C113" s="46" t="s">
        <v>962</v>
      </c>
      <c r="D113" s="46" t="s">
        <v>26</v>
      </c>
      <c r="E113" s="46" t="s">
        <v>1706</v>
      </c>
    </row>
    <row r="114" spans="1:5" x14ac:dyDescent="0.3">
      <c r="A114" t="s">
        <v>1561</v>
      </c>
      <c r="B114" t="s">
        <v>1705</v>
      </c>
      <c r="C114" t="s">
        <v>962</v>
      </c>
      <c r="D114" t="s">
        <v>26</v>
      </c>
      <c r="E114" t="s">
        <v>1707</v>
      </c>
    </row>
    <row r="115" spans="1:5" x14ac:dyDescent="0.3">
      <c r="A115" s="46" t="s">
        <v>1562</v>
      </c>
      <c r="B115" s="46" t="s">
        <v>1705</v>
      </c>
      <c r="C115" s="46" t="s">
        <v>962</v>
      </c>
      <c r="D115" s="46" t="s">
        <v>26</v>
      </c>
      <c r="E115" s="46" t="s">
        <v>1708</v>
      </c>
    </row>
    <row r="116" spans="1:5" x14ac:dyDescent="0.3">
      <c r="A116" t="s">
        <v>1563</v>
      </c>
      <c r="B116" t="s">
        <v>1705</v>
      </c>
      <c r="C116" t="s">
        <v>1709</v>
      </c>
      <c r="D116" t="s">
        <v>1823</v>
      </c>
      <c r="E116" t="s">
        <v>1710</v>
      </c>
    </row>
    <row r="117" spans="1:5" x14ac:dyDescent="0.3">
      <c r="A117" s="46" t="s">
        <v>1564</v>
      </c>
      <c r="B117" s="46" t="s">
        <v>1705</v>
      </c>
      <c r="C117" s="46" t="s">
        <v>1709</v>
      </c>
      <c r="D117" s="46" t="s">
        <v>13424</v>
      </c>
      <c r="E117" s="46" t="s">
        <v>13569</v>
      </c>
    </row>
    <row r="118" spans="1:5" x14ac:dyDescent="0.3">
      <c r="A118" t="s">
        <v>1565</v>
      </c>
      <c r="B118" t="s">
        <v>1711</v>
      </c>
      <c r="C118" t="s">
        <v>962</v>
      </c>
      <c r="D118" t="s">
        <v>1802</v>
      </c>
      <c r="E118" t="s">
        <v>1712</v>
      </c>
    </row>
    <row r="119" spans="1:5" x14ac:dyDescent="0.3">
      <c r="A119" s="46" t="s">
        <v>1474</v>
      </c>
      <c r="B119" s="46" t="s">
        <v>1711</v>
      </c>
      <c r="C119" s="46" t="s">
        <v>1090</v>
      </c>
      <c r="D119" s="46" t="s">
        <v>15</v>
      </c>
      <c r="E119" s="46" t="s">
        <v>1713</v>
      </c>
    </row>
    <row r="120" spans="1:5" x14ac:dyDescent="0.3">
      <c r="A120" t="s">
        <v>1568</v>
      </c>
      <c r="B120" t="s">
        <v>1711</v>
      </c>
      <c r="C120" t="s">
        <v>1714</v>
      </c>
      <c r="D120" t="s">
        <v>15</v>
      </c>
      <c r="E120" t="s">
        <v>1715</v>
      </c>
    </row>
    <row r="121" spans="1:5" x14ac:dyDescent="0.3">
      <c r="A121" s="46" t="s">
        <v>1476</v>
      </c>
      <c r="B121" s="46" t="s">
        <v>1716</v>
      </c>
      <c r="C121" s="46" t="s">
        <v>1717</v>
      </c>
      <c r="D121" s="46" t="s">
        <v>17</v>
      </c>
      <c r="E121" s="46" t="s">
        <v>1718</v>
      </c>
    </row>
    <row r="122" spans="1:5" x14ac:dyDescent="0.3">
      <c r="A122" t="s">
        <v>82</v>
      </c>
      <c r="B122" t="s">
        <v>1719</v>
      </c>
      <c r="C122" t="s">
        <v>1720</v>
      </c>
      <c r="D122" t="s">
        <v>36</v>
      </c>
      <c r="E122" t="s">
        <v>1721</v>
      </c>
    </row>
    <row r="123" spans="1:5" x14ac:dyDescent="0.3">
      <c r="A123" s="46" t="s">
        <v>1722</v>
      </c>
      <c r="B123" s="46" t="s">
        <v>1719</v>
      </c>
      <c r="C123" s="46" t="s">
        <v>1723</v>
      </c>
      <c r="D123" s="46" t="s">
        <v>35</v>
      </c>
      <c r="E123" s="46" t="s">
        <v>1724</v>
      </c>
    </row>
    <row r="124" spans="1:5" x14ac:dyDescent="0.3">
      <c r="A124" t="s">
        <v>1725</v>
      </c>
      <c r="B124" t="s">
        <v>1711</v>
      </c>
      <c r="C124" t="s">
        <v>1726</v>
      </c>
      <c r="D124" t="s">
        <v>37</v>
      </c>
      <c r="E124" t="s">
        <v>1727</v>
      </c>
    </row>
    <row r="125" spans="1:5" x14ac:dyDescent="0.3">
      <c r="A125" s="46" t="s">
        <v>1728</v>
      </c>
      <c r="B125" s="46" t="s">
        <v>1719</v>
      </c>
      <c r="C125" s="46" t="s">
        <v>1729</v>
      </c>
      <c r="D125" s="46" t="s">
        <v>1795</v>
      </c>
      <c r="E125" s="46" t="s">
        <v>1730</v>
      </c>
    </row>
    <row r="126" spans="1:5" x14ac:dyDescent="0.3">
      <c r="A126" t="s">
        <v>976</v>
      </c>
      <c r="B126" t="s">
        <v>1711</v>
      </c>
      <c r="C126" t="s">
        <v>13570</v>
      </c>
      <c r="D126" t="s">
        <v>1805</v>
      </c>
      <c r="E126" t="s">
        <v>13571</v>
      </c>
    </row>
    <row r="127" spans="1:5" x14ac:dyDescent="0.3">
      <c r="A127" s="46" t="s">
        <v>1570</v>
      </c>
      <c r="B127" s="46" t="s">
        <v>1705</v>
      </c>
      <c r="C127" s="46" t="s">
        <v>1731</v>
      </c>
      <c r="D127" s="46" t="s">
        <v>16</v>
      </c>
      <c r="E127" s="46" t="s">
        <v>1732</v>
      </c>
    </row>
  </sheetData>
  <mergeCells count="5">
    <mergeCell ref="A1:N1"/>
    <mergeCell ref="A2:N2"/>
    <mergeCell ref="A53:N53"/>
    <mergeCell ref="A74:N74"/>
    <mergeCell ref="A110:N1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4416-A884-4BAC-9DB3-83FDA3599E01}">
  <sheetPr>
    <tabColor rgb="FFFFFF00"/>
  </sheetPr>
  <dimension ref="A1:D19"/>
  <sheetViews>
    <sheetView workbookViewId="0">
      <selection activeCell="G16" sqref="G16"/>
    </sheetView>
  </sheetViews>
  <sheetFormatPr defaultRowHeight="14.4" x14ac:dyDescent="0.3"/>
  <cols>
    <col min="1" max="1" width="22.21875" customWidth="1"/>
    <col min="2" max="2" width="46.33203125" customWidth="1"/>
    <col min="3" max="3" width="33.33203125" customWidth="1"/>
    <col min="4" max="4" width="27.77734375" customWidth="1"/>
  </cols>
  <sheetData>
    <row r="1" spans="1:4" ht="18" x14ac:dyDescent="0.35">
      <c r="A1" s="17" t="s">
        <v>18998</v>
      </c>
    </row>
    <row r="2" spans="1:4" x14ac:dyDescent="0.3">
      <c r="A2" t="s">
        <v>18999</v>
      </c>
    </row>
    <row r="3" spans="1:4" x14ac:dyDescent="0.3">
      <c r="A3" t="s">
        <v>19000</v>
      </c>
    </row>
    <row r="5" spans="1:4" x14ac:dyDescent="0.3">
      <c r="A5" s="16" t="s">
        <v>19001</v>
      </c>
    </row>
    <row r="6" spans="1:4" x14ac:dyDescent="0.3">
      <c r="A6" s="1" t="s">
        <v>1068</v>
      </c>
      <c r="B6" s="1" t="s">
        <v>1</v>
      </c>
      <c r="C6" s="1" t="s">
        <v>1183</v>
      </c>
      <c r="D6" s="1" t="s">
        <v>1184</v>
      </c>
    </row>
    <row r="7" spans="1:4" x14ac:dyDescent="0.3">
      <c r="A7" t="s">
        <v>1070</v>
      </c>
      <c r="B7" t="s">
        <v>19002</v>
      </c>
      <c r="C7" t="s">
        <v>1073</v>
      </c>
      <c r="D7" t="s">
        <v>962</v>
      </c>
    </row>
    <row r="8" spans="1:4" x14ac:dyDescent="0.3">
      <c r="A8" t="s">
        <v>1074</v>
      </c>
      <c r="B8" t="s">
        <v>19003</v>
      </c>
      <c r="C8" t="s">
        <v>19004</v>
      </c>
      <c r="D8" t="s">
        <v>962</v>
      </c>
    </row>
    <row r="9" spans="1:4" x14ac:dyDescent="0.3">
      <c r="A9" t="s">
        <v>1078</v>
      </c>
      <c r="B9" t="s">
        <v>19005</v>
      </c>
      <c r="C9" t="s">
        <v>19006</v>
      </c>
      <c r="D9" t="s">
        <v>962</v>
      </c>
    </row>
    <row r="10" spans="1:4" x14ac:dyDescent="0.3">
      <c r="A10" t="s">
        <v>1081</v>
      </c>
      <c r="B10" t="s">
        <v>1192</v>
      </c>
      <c r="C10" t="s">
        <v>19007</v>
      </c>
      <c r="D10" t="s">
        <v>962</v>
      </c>
    </row>
    <row r="11" spans="1:4" x14ac:dyDescent="0.3">
      <c r="A11" t="s">
        <v>1084</v>
      </c>
      <c r="B11" t="s">
        <v>19008</v>
      </c>
      <c r="C11" t="s">
        <v>19360</v>
      </c>
      <c r="D11" t="s">
        <v>962</v>
      </c>
    </row>
    <row r="12" spans="1:4" x14ac:dyDescent="0.3">
      <c r="A12" t="s">
        <v>13935</v>
      </c>
      <c r="B12" t="s">
        <v>19009</v>
      </c>
      <c r="C12" t="s">
        <v>19010</v>
      </c>
      <c r="D12" t="s">
        <v>962</v>
      </c>
    </row>
    <row r="13" spans="1:4" x14ac:dyDescent="0.3">
      <c r="A13" t="s">
        <v>1090</v>
      </c>
      <c r="B13" t="s">
        <v>19011</v>
      </c>
      <c r="C13" t="s">
        <v>19012</v>
      </c>
      <c r="D13" t="s">
        <v>962</v>
      </c>
    </row>
    <row r="14" spans="1:4" x14ac:dyDescent="0.3">
      <c r="A14" t="s">
        <v>1093</v>
      </c>
      <c r="B14" t="s">
        <v>19013</v>
      </c>
      <c r="C14" t="s">
        <v>19014</v>
      </c>
      <c r="D14" t="s">
        <v>962</v>
      </c>
    </row>
    <row r="15" spans="1:4" x14ac:dyDescent="0.3">
      <c r="A15" t="s">
        <v>1097</v>
      </c>
      <c r="B15" t="s">
        <v>19015</v>
      </c>
      <c r="C15" t="s">
        <v>1099</v>
      </c>
      <c r="D15" t="s">
        <v>1196</v>
      </c>
    </row>
    <row r="16" spans="1:4" x14ac:dyDescent="0.3">
      <c r="A16" t="s">
        <v>1100</v>
      </c>
      <c r="B16" t="s">
        <v>19016</v>
      </c>
      <c r="C16" t="s">
        <v>19017</v>
      </c>
      <c r="D16" t="s">
        <v>19018</v>
      </c>
    </row>
    <row r="17" spans="1:4" x14ac:dyDescent="0.3">
      <c r="A17" t="s">
        <v>1106</v>
      </c>
      <c r="B17" t="s">
        <v>19019</v>
      </c>
      <c r="C17" t="s">
        <v>19020</v>
      </c>
      <c r="D17" t="s">
        <v>962</v>
      </c>
    </row>
    <row r="18" spans="1:4" x14ac:dyDescent="0.3">
      <c r="A18" t="s">
        <v>1104</v>
      </c>
      <c r="B18" t="s">
        <v>19021</v>
      </c>
      <c r="C18" t="s">
        <v>19017</v>
      </c>
      <c r="D18" t="s">
        <v>19018</v>
      </c>
    </row>
    <row r="19" spans="1:4" x14ac:dyDescent="0.3">
      <c r="A19" t="s">
        <v>1110</v>
      </c>
      <c r="B19" t="s">
        <v>19022</v>
      </c>
      <c r="C19" t="s">
        <v>19004</v>
      </c>
      <c r="D19" t="s">
        <v>962</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D856-6A69-4B33-A7E5-91069F4A42B3}">
  <sheetPr>
    <tabColor rgb="FFFFFF00"/>
  </sheetPr>
  <dimension ref="A1:E25"/>
  <sheetViews>
    <sheetView workbookViewId="0">
      <selection activeCell="G16" sqref="G16"/>
    </sheetView>
  </sheetViews>
  <sheetFormatPr defaultRowHeight="14.4" x14ac:dyDescent="0.3"/>
  <cols>
    <col min="1" max="1" width="24.109375" customWidth="1"/>
    <col min="2" max="2" width="48.109375" customWidth="1"/>
    <col min="3" max="4" width="37" customWidth="1"/>
    <col min="5" max="5" width="27.77734375" customWidth="1"/>
  </cols>
  <sheetData>
    <row r="1" spans="1:5" ht="18" x14ac:dyDescent="0.35">
      <c r="A1" s="17" t="s">
        <v>19270</v>
      </c>
    </row>
    <row r="2" spans="1:5" x14ac:dyDescent="0.3">
      <c r="A2" t="s">
        <v>19211</v>
      </c>
    </row>
    <row r="3" spans="1:5" x14ac:dyDescent="0.3">
      <c r="A3" t="s">
        <v>19271</v>
      </c>
    </row>
    <row r="5" spans="1:5" x14ac:dyDescent="0.3">
      <c r="A5" s="16" t="s">
        <v>19272</v>
      </c>
    </row>
    <row r="6" spans="1:5" x14ac:dyDescent="0.3">
      <c r="A6" s="486" t="s">
        <v>1609</v>
      </c>
      <c r="B6" s="486" t="s">
        <v>1</v>
      </c>
      <c r="C6" s="486" t="s">
        <v>19273</v>
      </c>
      <c r="D6" s="486" t="s">
        <v>19274</v>
      </c>
    </row>
    <row r="7" spans="1:5" x14ac:dyDescent="0.3">
      <c r="A7" t="s">
        <v>14905</v>
      </c>
      <c r="B7" t="s">
        <v>19275</v>
      </c>
      <c r="C7" t="s">
        <v>19276</v>
      </c>
      <c r="D7" t="s">
        <v>19277</v>
      </c>
    </row>
    <row r="8" spans="1:5" x14ac:dyDescent="0.3">
      <c r="A8" t="s">
        <v>17217</v>
      </c>
      <c r="B8" t="s">
        <v>19278</v>
      </c>
      <c r="C8" t="s">
        <v>19279</v>
      </c>
      <c r="D8" t="s">
        <v>19280</v>
      </c>
    </row>
    <row r="9" spans="1:5" x14ac:dyDescent="0.3">
      <c r="A9" t="s">
        <v>65</v>
      </c>
      <c r="B9" t="s">
        <v>19281</v>
      </c>
      <c r="C9" t="s">
        <v>19282</v>
      </c>
      <c r="D9" t="s">
        <v>19283</v>
      </c>
    </row>
    <row r="10" spans="1:5" x14ac:dyDescent="0.3">
      <c r="A10" t="s">
        <v>67</v>
      </c>
      <c r="B10" t="s">
        <v>19284</v>
      </c>
      <c r="C10" t="s">
        <v>19285</v>
      </c>
      <c r="D10" t="s">
        <v>19286</v>
      </c>
    </row>
    <row r="11" spans="1:5" x14ac:dyDescent="0.3">
      <c r="A11" t="s">
        <v>1140</v>
      </c>
      <c r="B11" t="s">
        <v>19287</v>
      </c>
      <c r="C11" t="s">
        <v>19288</v>
      </c>
      <c r="D11" t="s">
        <v>19289</v>
      </c>
    </row>
    <row r="12" spans="1:5" x14ac:dyDescent="0.3">
      <c r="A12" t="s">
        <v>14853</v>
      </c>
      <c r="B12" t="s">
        <v>19290</v>
      </c>
      <c r="C12" t="s">
        <v>19291</v>
      </c>
      <c r="D12" t="s">
        <v>19292</v>
      </c>
    </row>
    <row r="13" spans="1:5" x14ac:dyDescent="0.3">
      <c r="A13" t="s">
        <v>17259</v>
      </c>
      <c r="B13" t="s">
        <v>19293</v>
      </c>
      <c r="C13" t="s">
        <v>19294</v>
      </c>
      <c r="D13" t="s">
        <v>19295</v>
      </c>
    </row>
    <row r="14" spans="1:5" x14ac:dyDescent="0.3">
      <c r="A14" t="s">
        <v>17234</v>
      </c>
      <c r="B14" t="s">
        <v>19296</v>
      </c>
      <c r="C14" t="s">
        <v>19297</v>
      </c>
      <c r="D14" t="s">
        <v>19298</v>
      </c>
    </row>
    <row r="15" spans="1:5" x14ac:dyDescent="0.3">
      <c r="A15" s="487" t="s">
        <v>19299</v>
      </c>
      <c r="B15" s="219"/>
      <c r="C15" s="219"/>
      <c r="D15" s="219"/>
      <c r="E15" s="219"/>
    </row>
    <row r="17" spans="1:5" ht="15.6" x14ac:dyDescent="0.3">
      <c r="A17" s="472" t="s">
        <v>19001</v>
      </c>
    </row>
    <row r="18" spans="1:5" x14ac:dyDescent="0.3">
      <c r="A18" s="486" t="s">
        <v>1068</v>
      </c>
      <c r="B18" s="486" t="s">
        <v>1</v>
      </c>
      <c r="C18" s="486" t="s">
        <v>1183</v>
      </c>
      <c r="D18" s="486" t="s">
        <v>1184</v>
      </c>
      <c r="E18" s="486" t="s">
        <v>13593</v>
      </c>
    </row>
    <row r="19" spans="1:5" x14ac:dyDescent="0.3">
      <c r="A19" t="s">
        <v>1220</v>
      </c>
      <c r="B19" t="s">
        <v>19300</v>
      </c>
      <c r="C19" t="s">
        <v>19301</v>
      </c>
      <c r="D19" t="s">
        <v>962</v>
      </c>
      <c r="E19" t="s">
        <v>14628</v>
      </c>
    </row>
    <row r="20" spans="1:5" x14ac:dyDescent="0.3">
      <c r="A20" t="s">
        <v>19302</v>
      </c>
      <c r="B20" t="s">
        <v>19303</v>
      </c>
      <c r="C20" t="s">
        <v>1224</v>
      </c>
      <c r="D20" t="s">
        <v>962</v>
      </c>
      <c r="E20" t="s">
        <v>19304</v>
      </c>
    </row>
    <row r="21" spans="1:5" x14ac:dyDescent="0.3">
      <c r="A21" t="s">
        <v>1224</v>
      </c>
      <c r="B21" t="s">
        <v>19305</v>
      </c>
      <c r="C21" t="s">
        <v>19306</v>
      </c>
      <c r="D21" t="s">
        <v>962</v>
      </c>
      <c r="E21" t="s">
        <v>19304</v>
      </c>
    </row>
    <row r="22" spans="1:5" x14ac:dyDescent="0.3">
      <c r="A22" t="s">
        <v>1246</v>
      </c>
      <c r="B22" t="s">
        <v>19307</v>
      </c>
      <c r="C22" t="s">
        <v>19129</v>
      </c>
      <c r="D22" t="s">
        <v>962</v>
      </c>
      <c r="E22" t="s">
        <v>19304</v>
      </c>
    </row>
    <row r="23" spans="1:5" x14ac:dyDescent="0.3">
      <c r="A23" t="s">
        <v>1228</v>
      </c>
      <c r="B23" t="s">
        <v>19308</v>
      </c>
      <c r="C23" t="s">
        <v>19159</v>
      </c>
      <c r="D23" t="s">
        <v>962</v>
      </c>
      <c r="E23" t="s">
        <v>15765</v>
      </c>
    </row>
    <row r="24" spans="1:5" x14ac:dyDescent="0.3">
      <c r="A24" t="s">
        <v>1232</v>
      </c>
      <c r="B24" t="s">
        <v>19309</v>
      </c>
      <c r="C24" t="s">
        <v>1100</v>
      </c>
      <c r="D24" t="s">
        <v>962</v>
      </c>
      <c r="E24" t="s">
        <v>19304</v>
      </c>
    </row>
    <row r="25" spans="1:5" x14ac:dyDescent="0.3">
      <c r="A25" s="46" t="s">
        <v>1100</v>
      </c>
      <c r="B25" s="46" t="s">
        <v>19161</v>
      </c>
      <c r="C25" s="46" t="s">
        <v>19017</v>
      </c>
      <c r="D25" s="363" t="s">
        <v>19018</v>
      </c>
      <c r="E25" s="46" t="s">
        <v>14628</v>
      </c>
    </row>
  </sheetData>
  <mergeCells count="1">
    <mergeCell ref="A15:E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078B-94FF-4B77-8DB2-3F331FE03F25}">
  <sheetPr>
    <tabColor rgb="FFFFFF00"/>
  </sheetPr>
  <dimension ref="A1:E20"/>
  <sheetViews>
    <sheetView workbookViewId="0">
      <selection activeCell="G16" sqref="G16"/>
    </sheetView>
  </sheetViews>
  <sheetFormatPr defaultRowHeight="14.4" x14ac:dyDescent="0.3"/>
  <cols>
    <col min="1" max="1" width="25.88671875" customWidth="1"/>
    <col min="2" max="2" width="48.109375" customWidth="1"/>
    <col min="3" max="4" width="33.33203125" customWidth="1"/>
    <col min="5" max="5" width="27.77734375" customWidth="1"/>
  </cols>
  <sheetData>
    <row r="1" spans="1:5" ht="18" x14ac:dyDescent="0.35">
      <c r="A1" s="17" t="s">
        <v>19244</v>
      </c>
    </row>
    <row r="2" spans="1:5" x14ac:dyDescent="0.3">
      <c r="A2" t="s">
        <v>19211</v>
      </c>
    </row>
    <row r="3" spans="1:5" x14ac:dyDescent="0.3">
      <c r="A3" t="s">
        <v>19245</v>
      </c>
    </row>
    <row r="5" spans="1:5" x14ac:dyDescent="0.3">
      <c r="A5" s="16" t="s">
        <v>19246</v>
      </c>
    </row>
    <row r="6" spans="1:5" x14ac:dyDescent="0.3">
      <c r="A6" s="486" t="s">
        <v>275</v>
      </c>
      <c r="B6" s="486" t="s">
        <v>1</v>
      </c>
      <c r="C6" s="486" t="s">
        <v>19247</v>
      </c>
      <c r="D6" s="486" t="s">
        <v>19248</v>
      </c>
      <c r="E6" s="486" t="s">
        <v>6476</v>
      </c>
    </row>
    <row r="7" spans="1:5" x14ac:dyDescent="0.3">
      <c r="A7" t="s">
        <v>1132</v>
      </c>
      <c r="B7" t="s">
        <v>19249</v>
      </c>
      <c r="C7" t="s">
        <v>1528</v>
      </c>
      <c r="D7" t="s">
        <v>14597</v>
      </c>
      <c r="E7" t="s">
        <v>19250</v>
      </c>
    </row>
    <row r="8" spans="1:5" x14ac:dyDescent="0.3">
      <c r="A8" t="s">
        <v>1134</v>
      </c>
      <c r="B8" t="s">
        <v>19251</v>
      </c>
      <c r="C8" t="s">
        <v>1522</v>
      </c>
      <c r="D8" t="s">
        <v>14613</v>
      </c>
      <c r="E8" t="s">
        <v>19252</v>
      </c>
    </row>
    <row r="9" spans="1:5" x14ac:dyDescent="0.3">
      <c r="A9" t="s">
        <v>1136</v>
      </c>
      <c r="B9" t="s">
        <v>19253</v>
      </c>
      <c r="C9" t="s">
        <v>19254</v>
      </c>
      <c r="D9" t="s">
        <v>19255</v>
      </c>
      <c r="E9" t="s">
        <v>19256</v>
      </c>
    </row>
    <row r="10" spans="1:5" x14ac:dyDescent="0.3">
      <c r="A10" t="s">
        <v>1138</v>
      </c>
      <c r="B10" t="s">
        <v>19257</v>
      </c>
      <c r="C10" t="s">
        <v>14597</v>
      </c>
      <c r="D10" t="s">
        <v>19258</v>
      </c>
      <c r="E10" t="s">
        <v>19259</v>
      </c>
    </row>
    <row r="11" spans="1:5" x14ac:dyDescent="0.3">
      <c r="A11" s="487" t="s">
        <v>19260</v>
      </c>
      <c r="B11" s="219"/>
      <c r="C11" s="219"/>
      <c r="D11" s="219"/>
      <c r="E11" s="219"/>
    </row>
    <row r="13" spans="1:5" ht="15.6" x14ac:dyDescent="0.3">
      <c r="A13" s="472" t="s">
        <v>19001</v>
      </c>
    </row>
    <row r="14" spans="1:5" x14ac:dyDescent="0.3">
      <c r="A14" s="486" t="s">
        <v>1068</v>
      </c>
      <c r="B14" s="486" t="s">
        <v>1</v>
      </c>
      <c r="C14" s="486" t="s">
        <v>1183</v>
      </c>
      <c r="D14" s="486" t="s">
        <v>1184</v>
      </c>
      <c r="E14" s="486" t="s">
        <v>13593</v>
      </c>
    </row>
    <row r="15" spans="1:5" x14ac:dyDescent="0.3">
      <c r="A15" t="s">
        <v>1075</v>
      </c>
      <c r="B15" t="s">
        <v>19261</v>
      </c>
      <c r="C15" t="s">
        <v>19262</v>
      </c>
      <c r="D15" t="s">
        <v>962</v>
      </c>
      <c r="E15" t="s">
        <v>19263</v>
      </c>
    </row>
    <row r="16" spans="1:5" x14ac:dyDescent="0.3">
      <c r="A16" t="s">
        <v>1371</v>
      </c>
      <c r="B16" t="s">
        <v>19264</v>
      </c>
      <c r="C16" t="s">
        <v>19236</v>
      </c>
      <c r="D16" t="s">
        <v>962</v>
      </c>
      <c r="E16" t="s">
        <v>19265</v>
      </c>
    </row>
    <row r="17" spans="1:5" x14ac:dyDescent="0.3">
      <c r="A17" t="s">
        <v>1305</v>
      </c>
      <c r="B17" t="s">
        <v>19266</v>
      </c>
      <c r="C17" t="s">
        <v>1314</v>
      </c>
      <c r="D17" t="s">
        <v>962</v>
      </c>
      <c r="E17" t="s">
        <v>19265</v>
      </c>
    </row>
    <row r="18" spans="1:5" x14ac:dyDescent="0.3">
      <c r="A18" t="s">
        <v>1228</v>
      </c>
      <c r="B18" t="s">
        <v>19267</v>
      </c>
      <c r="C18" t="s">
        <v>19236</v>
      </c>
      <c r="D18" t="s">
        <v>962</v>
      </c>
      <c r="E18" t="s">
        <v>19071</v>
      </c>
    </row>
    <row r="19" spans="1:5" x14ac:dyDescent="0.3">
      <c r="A19" t="s">
        <v>1232</v>
      </c>
      <c r="B19" t="s">
        <v>19268</v>
      </c>
      <c r="C19" t="s">
        <v>1100</v>
      </c>
      <c r="D19" t="s">
        <v>962</v>
      </c>
      <c r="E19" t="s">
        <v>19265</v>
      </c>
    </row>
    <row r="20" spans="1:5" x14ac:dyDescent="0.3">
      <c r="A20" t="s">
        <v>1100</v>
      </c>
      <c r="B20" t="s">
        <v>19269</v>
      </c>
      <c r="C20" t="s">
        <v>19017</v>
      </c>
      <c r="D20" t="s">
        <v>19018</v>
      </c>
      <c r="E20" t="s">
        <v>19263</v>
      </c>
    </row>
  </sheetData>
  <mergeCells count="1">
    <mergeCell ref="A11:E11"/>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CE018-D739-472E-8914-2FE4A46DAE5E}">
  <sheetPr>
    <tabColor rgb="FFFFFF00"/>
  </sheetPr>
  <dimension ref="A1:E22"/>
  <sheetViews>
    <sheetView topLeftCell="A3" workbookViewId="0">
      <selection activeCell="G16" sqref="G16"/>
    </sheetView>
  </sheetViews>
  <sheetFormatPr defaultRowHeight="14.4" x14ac:dyDescent="0.3"/>
  <cols>
    <col min="1" max="1" width="29.6640625" customWidth="1"/>
    <col min="2" max="2" width="55.5546875" customWidth="1"/>
    <col min="3" max="3" width="33.33203125" customWidth="1"/>
    <col min="4" max="4" width="27.77734375" customWidth="1"/>
    <col min="5" max="5" width="33.33203125" customWidth="1"/>
  </cols>
  <sheetData>
    <row r="1" spans="1:5" ht="18" x14ac:dyDescent="0.35">
      <c r="A1" s="17" t="s">
        <v>19023</v>
      </c>
    </row>
    <row r="2" spans="1:5" x14ac:dyDescent="0.3">
      <c r="A2" t="s">
        <v>18999</v>
      </c>
    </row>
    <row r="3" spans="1:5" x14ac:dyDescent="0.3">
      <c r="A3" t="s">
        <v>19024</v>
      </c>
    </row>
    <row r="5" spans="1:5" x14ac:dyDescent="0.3">
      <c r="A5" s="481" t="s">
        <v>19025</v>
      </c>
    </row>
    <row r="7" spans="1:5" x14ac:dyDescent="0.3">
      <c r="A7" s="16" t="s">
        <v>1161</v>
      </c>
    </row>
    <row r="8" spans="1:5" x14ac:dyDescent="0.3">
      <c r="A8" s="42" t="s">
        <v>17650</v>
      </c>
      <c r="B8" s="42" t="s">
        <v>1</v>
      </c>
      <c r="C8" s="42" t="s">
        <v>19026</v>
      </c>
      <c r="D8" s="42" t="s">
        <v>14913</v>
      </c>
    </row>
    <row r="9" spans="1:5" x14ac:dyDescent="0.3">
      <c r="A9" t="s">
        <v>14910</v>
      </c>
      <c r="B9" t="s">
        <v>19027</v>
      </c>
      <c r="C9" t="s">
        <v>19028</v>
      </c>
      <c r="D9" t="s">
        <v>14909</v>
      </c>
    </row>
    <row r="10" spans="1:5" x14ac:dyDescent="0.3">
      <c r="A10" t="s">
        <v>14907</v>
      </c>
      <c r="B10" t="s">
        <v>19029</v>
      </c>
      <c r="C10" t="s">
        <v>19030</v>
      </c>
      <c r="D10" t="s">
        <v>14907</v>
      </c>
    </row>
    <row r="11" spans="1:5" x14ac:dyDescent="0.3">
      <c r="A11" t="s">
        <v>19031</v>
      </c>
      <c r="B11" t="s">
        <v>19032</v>
      </c>
      <c r="C11" t="s">
        <v>19033</v>
      </c>
      <c r="D11" t="s">
        <v>19034</v>
      </c>
    </row>
    <row r="12" spans="1:5" x14ac:dyDescent="0.3">
      <c r="A12" t="s">
        <v>19035</v>
      </c>
      <c r="B12" t="s">
        <v>19036</v>
      </c>
      <c r="C12" t="s">
        <v>19037</v>
      </c>
      <c r="D12" t="s">
        <v>19038</v>
      </c>
    </row>
    <row r="15" spans="1:5" x14ac:dyDescent="0.3">
      <c r="A15" s="16" t="s">
        <v>19001</v>
      </c>
    </row>
    <row r="16" spans="1:5" x14ac:dyDescent="0.3">
      <c r="A16" s="42" t="s">
        <v>1068</v>
      </c>
      <c r="B16" s="42" t="s">
        <v>1</v>
      </c>
      <c r="C16" s="42" t="s">
        <v>1183</v>
      </c>
      <c r="D16" s="42" t="s">
        <v>1184</v>
      </c>
      <c r="E16" s="42" t="s">
        <v>13593</v>
      </c>
    </row>
    <row r="17" spans="1:5" x14ac:dyDescent="0.3">
      <c r="A17" t="s">
        <v>1246</v>
      </c>
      <c r="B17" t="s">
        <v>1247</v>
      </c>
      <c r="C17" t="s">
        <v>1266</v>
      </c>
      <c r="D17" t="s">
        <v>962</v>
      </c>
      <c r="E17" t="s">
        <v>17688</v>
      </c>
    </row>
    <row r="18" spans="1:5" x14ac:dyDescent="0.3">
      <c r="A18" t="s">
        <v>1087</v>
      </c>
      <c r="B18" t="s">
        <v>19039</v>
      </c>
      <c r="C18" t="s">
        <v>19017</v>
      </c>
      <c r="D18" s="481" t="s">
        <v>19018</v>
      </c>
      <c r="E18" t="s">
        <v>989</v>
      </c>
    </row>
    <row r="19" spans="1:5" x14ac:dyDescent="0.3">
      <c r="A19" t="s">
        <v>1116</v>
      </c>
      <c r="B19" t="s">
        <v>19040</v>
      </c>
      <c r="C19" t="s">
        <v>19017</v>
      </c>
      <c r="D19" s="481" t="s">
        <v>19018</v>
      </c>
      <c r="E19" t="s">
        <v>989</v>
      </c>
    </row>
    <row r="20" spans="1:5" x14ac:dyDescent="0.3">
      <c r="A20" t="s">
        <v>1271</v>
      </c>
      <c r="B20" t="s">
        <v>19041</v>
      </c>
      <c r="C20" t="s">
        <v>19017</v>
      </c>
      <c r="D20" s="481" t="s">
        <v>19018</v>
      </c>
      <c r="E20" t="s">
        <v>989</v>
      </c>
    </row>
    <row r="21" spans="1:5" x14ac:dyDescent="0.3">
      <c r="A21" t="s">
        <v>1260</v>
      </c>
      <c r="B21" t="s">
        <v>19042</v>
      </c>
      <c r="C21" t="s">
        <v>19017</v>
      </c>
      <c r="D21" s="481" t="s">
        <v>19018</v>
      </c>
      <c r="E21" t="s">
        <v>989</v>
      </c>
    </row>
    <row r="22" spans="1:5" x14ac:dyDescent="0.3">
      <c r="A22" t="s">
        <v>1257</v>
      </c>
      <c r="B22" t="s">
        <v>19043</v>
      </c>
      <c r="C22" t="s">
        <v>19017</v>
      </c>
      <c r="D22" s="481" t="s">
        <v>19018</v>
      </c>
      <c r="E22" t="s">
        <v>989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5C13-6F4D-4052-8EFA-5DCD41AD0D31}">
  <sheetPr>
    <tabColor rgb="FFFFFF00"/>
  </sheetPr>
  <dimension ref="A1:E23"/>
  <sheetViews>
    <sheetView workbookViewId="0">
      <selection activeCell="G16" sqref="G16"/>
    </sheetView>
  </sheetViews>
  <sheetFormatPr defaultRowHeight="14.4" x14ac:dyDescent="0.3"/>
  <cols>
    <col min="1" max="1" width="33.33203125" customWidth="1"/>
    <col min="2" max="2" width="64.77734375" customWidth="1"/>
    <col min="3" max="3" width="37" customWidth="1"/>
    <col min="4" max="4" width="27.77734375" customWidth="1"/>
    <col min="5" max="5" width="33.33203125" customWidth="1"/>
  </cols>
  <sheetData>
    <row r="1" spans="1:5" ht="18" x14ac:dyDescent="0.35">
      <c r="A1" s="488" t="s">
        <v>19310</v>
      </c>
    </row>
    <row r="2" spans="1:5" x14ac:dyDescent="0.3">
      <c r="A2" s="226" t="s">
        <v>19311</v>
      </c>
    </row>
    <row r="3" spans="1:5" x14ac:dyDescent="0.3">
      <c r="A3" s="226" t="s">
        <v>19312</v>
      </c>
    </row>
    <row r="5" spans="1:5" x14ac:dyDescent="0.3">
      <c r="A5" s="489" t="s">
        <v>19313</v>
      </c>
    </row>
    <row r="7" spans="1:5" x14ac:dyDescent="0.3">
      <c r="A7" s="480" t="s">
        <v>19314</v>
      </c>
      <c r="B7" s="480"/>
      <c r="C7" s="480"/>
      <c r="D7" s="480"/>
      <c r="E7" s="480"/>
    </row>
    <row r="8" spans="1:5" x14ac:dyDescent="0.3">
      <c r="A8" s="490" t="s">
        <v>14920</v>
      </c>
      <c r="B8" s="490" t="s">
        <v>1</v>
      </c>
      <c r="C8" s="490" t="s">
        <v>19026</v>
      </c>
      <c r="D8" s="490" t="s">
        <v>18968</v>
      </c>
      <c r="E8" s="490"/>
    </row>
    <row r="9" spans="1:5" x14ac:dyDescent="0.3">
      <c r="A9" t="s">
        <v>17690</v>
      </c>
      <c r="B9" t="s">
        <v>19315</v>
      </c>
      <c r="C9" t="s">
        <v>19030</v>
      </c>
      <c r="D9" t="s">
        <v>19316</v>
      </c>
    </row>
    <row r="10" spans="1:5" x14ac:dyDescent="0.3">
      <c r="A10" t="s">
        <v>14918</v>
      </c>
      <c r="B10" t="s">
        <v>19317</v>
      </c>
      <c r="C10" t="s">
        <v>19030</v>
      </c>
      <c r="D10" t="s">
        <v>19318</v>
      </c>
    </row>
    <row r="11" spans="1:5" x14ac:dyDescent="0.3">
      <c r="A11" t="s">
        <v>14917</v>
      </c>
      <c r="B11" t="s">
        <v>19319</v>
      </c>
      <c r="C11" t="s">
        <v>19320</v>
      </c>
      <c r="D11" t="s">
        <v>19321</v>
      </c>
    </row>
    <row r="12" spans="1:5" x14ac:dyDescent="0.3">
      <c r="A12" t="s">
        <v>19322</v>
      </c>
      <c r="B12" t="s">
        <v>19323</v>
      </c>
      <c r="C12" t="s">
        <v>19028</v>
      </c>
      <c r="D12" t="s">
        <v>19324</v>
      </c>
    </row>
    <row r="13" spans="1:5" x14ac:dyDescent="0.3">
      <c r="A13" t="s">
        <v>19325</v>
      </c>
      <c r="B13" t="s">
        <v>19326</v>
      </c>
      <c r="C13" t="s">
        <v>19030</v>
      </c>
      <c r="D13" t="s">
        <v>19327</v>
      </c>
    </row>
    <row r="14" spans="1:5" x14ac:dyDescent="0.3">
      <c r="A14" s="480"/>
      <c r="B14" s="480"/>
      <c r="C14" s="480"/>
      <c r="D14" s="480"/>
      <c r="E14" s="480"/>
    </row>
    <row r="15" spans="1:5" x14ac:dyDescent="0.3">
      <c r="A15" s="490" t="s">
        <v>19001</v>
      </c>
      <c r="B15" s="490"/>
      <c r="C15" s="490"/>
      <c r="D15" s="490"/>
      <c r="E15" s="490"/>
    </row>
    <row r="16" spans="1:5" x14ac:dyDescent="0.3">
      <c r="A16" t="s">
        <v>1068</v>
      </c>
      <c r="B16" t="s">
        <v>1</v>
      </c>
      <c r="C16" t="s">
        <v>1183</v>
      </c>
      <c r="D16" t="s">
        <v>1184</v>
      </c>
      <c r="E16" t="s">
        <v>13593</v>
      </c>
    </row>
    <row r="17" spans="1:5" x14ac:dyDescent="0.3">
      <c r="A17" t="s">
        <v>1246</v>
      </c>
      <c r="B17" t="s">
        <v>1265</v>
      </c>
      <c r="C17" t="s">
        <v>1266</v>
      </c>
      <c r="D17" t="s">
        <v>962</v>
      </c>
      <c r="E17" t="s">
        <v>19328</v>
      </c>
    </row>
    <row r="18" spans="1:5" x14ac:dyDescent="0.3">
      <c r="A18" t="s">
        <v>1087</v>
      </c>
      <c r="B18" t="s">
        <v>19329</v>
      </c>
      <c r="C18" t="s">
        <v>19017</v>
      </c>
      <c r="D18" t="s">
        <v>19018</v>
      </c>
      <c r="E18" t="s">
        <v>989</v>
      </c>
    </row>
    <row r="19" spans="1:5" x14ac:dyDescent="0.3">
      <c r="A19" t="s">
        <v>1116</v>
      </c>
      <c r="B19" t="s">
        <v>19330</v>
      </c>
      <c r="C19" t="s">
        <v>19017</v>
      </c>
      <c r="D19" t="s">
        <v>19018</v>
      </c>
      <c r="E19" t="s">
        <v>989</v>
      </c>
    </row>
    <row r="20" spans="1:5" x14ac:dyDescent="0.3">
      <c r="A20" t="s">
        <v>1271</v>
      </c>
      <c r="B20" t="s">
        <v>19331</v>
      </c>
      <c r="C20" t="s">
        <v>19017</v>
      </c>
      <c r="D20" t="s">
        <v>19018</v>
      </c>
      <c r="E20" t="s">
        <v>989</v>
      </c>
    </row>
    <row r="21" spans="1:5" x14ac:dyDescent="0.3">
      <c r="A21" t="s">
        <v>1260</v>
      </c>
      <c r="B21" t="s">
        <v>19042</v>
      </c>
      <c r="C21" t="s">
        <v>19017</v>
      </c>
      <c r="D21" t="s">
        <v>19018</v>
      </c>
      <c r="E21" t="s">
        <v>989</v>
      </c>
    </row>
    <row r="22" spans="1:5" x14ac:dyDescent="0.3">
      <c r="A22" s="480" t="s">
        <v>1257</v>
      </c>
      <c r="B22" s="480" t="s">
        <v>19043</v>
      </c>
      <c r="C22" s="480" t="s">
        <v>19017</v>
      </c>
      <c r="D22" s="480" t="s">
        <v>19018</v>
      </c>
      <c r="E22" s="480" t="s">
        <v>989</v>
      </c>
    </row>
    <row r="23" spans="1:5" x14ac:dyDescent="0.3">
      <c r="A23" s="490"/>
      <c r="B23" s="490"/>
      <c r="C23" s="490"/>
      <c r="D23" s="490"/>
      <c r="E23" s="49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07B4-66B3-4D1C-8CA5-B66E44EAC466}">
  <sheetPr>
    <tabColor rgb="FFFFFF00"/>
  </sheetPr>
  <dimension ref="A1:E21"/>
  <sheetViews>
    <sheetView workbookViewId="0">
      <selection activeCell="G16" sqref="G16"/>
    </sheetView>
  </sheetViews>
  <sheetFormatPr defaultRowHeight="14.4" x14ac:dyDescent="0.3"/>
  <cols>
    <col min="1" max="1" width="24.109375" customWidth="1"/>
    <col min="2" max="2" width="46.33203125" customWidth="1"/>
    <col min="3" max="4" width="33.33203125" customWidth="1"/>
    <col min="5" max="5" width="27.77734375" customWidth="1"/>
  </cols>
  <sheetData>
    <row r="1" spans="1:5" ht="18" x14ac:dyDescent="0.35">
      <c r="A1" s="17" t="s">
        <v>19044</v>
      </c>
    </row>
    <row r="2" spans="1:5" x14ac:dyDescent="0.3">
      <c r="A2" t="s">
        <v>19045</v>
      </c>
    </row>
    <row r="3" spans="1:5" x14ac:dyDescent="0.3">
      <c r="A3" t="s">
        <v>19046</v>
      </c>
    </row>
    <row r="5" spans="1:5" x14ac:dyDescent="0.3">
      <c r="A5" s="16" t="s">
        <v>19047</v>
      </c>
    </row>
    <row r="6" spans="1:5" x14ac:dyDescent="0.3">
      <c r="A6" s="43" t="s">
        <v>14941</v>
      </c>
      <c r="B6" s="43" t="s">
        <v>14940</v>
      </c>
      <c r="C6" s="43" t="s">
        <v>14368</v>
      </c>
      <c r="D6" s="43" t="s">
        <v>19048</v>
      </c>
      <c r="E6" s="43" t="s">
        <v>14938</v>
      </c>
    </row>
    <row r="7" spans="1:5" x14ac:dyDescent="0.3">
      <c r="A7" t="s">
        <v>14689</v>
      </c>
      <c r="B7" s="82" t="s">
        <v>19049</v>
      </c>
      <c r="C7" t="s">
        <v>19050</v>
      </c>
      <c r="D7" t="s">
        <v>15083</v>
      </c>
      <c r="E7" t="s">
        <v>14628</v>
      </c>
    </row>
    <row r="8" spans="1:5" x14ac:dyDescent="0.3">
      <c r="A8" t="s">
        <v>1125</v>
      </c>
      <c r="B8" s="82" t="s">
        <v>19051</v>
      </c>
      <c r="C8" t="s">
        <v>19052</v>
      </c>
      <c r="D8" t="s">
        <v>14932</v>
      </c>
      <c r="E8" t="s">
        <v>14628</v>
      </c>
    </row>
    <row r="9" spans="1:5" x14ac:dyDescent="0.3">
      <c r="A9" t="s">
        <v>14697</v>
      </c>
      <c r="B9" s="82" t="s">
        <v>19053</v>
      </c>
      <c r="C9" t="s">
        <v>19054</v>
      </c>
      <c r="D9" t="s">
        <v>15072</v>
      </c>
      <c r="E9" t="s">
        <v>14624</v>
      </c>
    </row>
    <row r="10" spans="1:5" x14ac:dyDescent="0.3">
      <c r="A10" t="s">
        <v>14588</v>
      </c>
      <c r="B10" s="82" t="s">
        <v>19055</v>
      </c>
      <c r="C10" t="s">
        <v>19056</v>
      </c>
      <c r="D10" t="s">
        <v>15066</v>
      </c>
      <c r="E10" t="s">
        <v>17305</v>
      </c>
    </row>
    <row r="11" spans="1:5" x14ac:dyDescent="0.3">
      <c r="A11" t="s">
        <v>17299</v>
      </c>
      <c r="B11" s="82" t="s">
        <v>19057</v>
      </c>
      <c r="C11" t="s">
        <v>19058</v>
      </c>
      <c r="D11" t="s">
        <v>15059</v>
      </c>
      <c r="E11" t="s">
        <v>19059</v>
      </c>
    </row>
    <row r="13" spans="1:5" x14ac:dyDescent="0.3">
      <c r="A13" s="16" t="s">
        <v>19001</v>
      </c>
    </row>
    <row r="14" spans="1:5" x14ac:dyDescent="0.3">
      <c r="A14" s="43" t="s">
        <v>1068</v>
      </c>
      <c r="B14" s="43" t="s">
        <v>1</v>
      </c>
      <c r="C14" s="43" t="s">
        <v>1183</v>
      </c>
      <c r="D14" s="43" t="s">
        <v>13593</v>
      </c>
      <c r="E14" t="s">
        <v>1184</v>
      </c>
    </row>
    <row r="15" spans="1:5" x14ac:dyDescent="0.3">
      <c r="A15" t="s">
        <v>1220</v>
      </c>
      <c r="B15" t="s">
        <v>19060</v>
      </c>
      <c r="C15" t="s">
        <v>19061</v>
      </c>
      <c r="D15" t="s">
        <v>17214</v>
      </c>
      <c r="E15" t="s">
        <v>962</v>
      </c>
    </row>
    <row r="16" spans="1:5" x14ac:dyDescent="0.3">
      <c r="A16" t="s">
        <v>1224</v>
      </c>
      <c r="B16" t="s">
        <v>19062</v>
      </c>
      <c r="C16" t="s">
        <v>19063</v>
      </c>
      <c r="D16" t="s">
        <v>17214</v>
      </c>
      <c r="E16" t="s">
        <v>962</v>
      </c>
    </row>
    <row r="17" spans="1:5" x14ac:dyDescent="0.3">
      <c r="A17" t="s">
        <v>1287</v>
      </c>
      <c r="B17" t="s">
        <v>19064</v>
      </c>
      <c r="C17" t="s">
        <v>19065</v>
      </c>
      <c r="D17" t="s">
        <v>17214</v>
      </c>
      <c r="E17" t="s">
        <v>962</v>
      </c>
    </row>
    <row r="18" spans="1:5" x14ac:dyDescent="0.3">
      <c r="A18" t="s">
        <v>1295</v>
      </c>
      <c r="B18" t="s">
        <v>19066</v>
      </c>
      <c r="C18" t="s">
        <v>19067</v>
      </c>
      <c r="D18" t="s">
        <v>19068</v>
      </c>
      <c r="E18" t="s">
        <v>962</v>
      </c>
    </row>
    <row r="19" spans="1:5" x14ac:dyDescent="0.3">
      <c r="A19" t="s">
        <v>1228</v>
      </c>
      <c r="B19" t="s">
        <v>19069</v>
      </c>
      <c r="C19" t="s">
        <v>19070</v>
      </c>
      <c r="D19" t="s">
        <v>19071</v>
      </c>
      <c r="E19" t="s">
        <v>962</v>
      </c>
    </row>
    <row r="20" spans="1:5" x14ac:dyDescent="0.3">
      <c r="A20" t="s">
        <v>17220</v>
      </c>
      <c r="B20" t="s">
        <v>19072</v>
      </c>
      <c r="C20" t="s">
        <v>19073</v>
      </c>
      <c r="D20" t="s">
        <v>17214</v>
      </c>
      <c r="E20" t="s">
        <v>962</v>
      </c>
    </row>
    <row r="21" spans="1:5" x14ac:dyDescent="0.3">
      <c r="A21" t="s">
        <v>1100</v>
      </c>
      <c r="B21" t="s">
        <v>19074</v>
      </c>
      <c r="C21" t="s">
        <v>19017</v>
      </c>
      <c r="D21" t="s">
        <v>17214</v>
      </c>
      <c r="E21" t="s">
        <v>19018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8E27-F7B0-4A8E-B63E-363109CE52C0}">
  <sheetPr>
    <tabColor rgb="FFFFFF00"/>
  </sheetPr>
  <dimension ref="A1:E26"/>
  <sheetViews>
    <sheetView workbookViewId="0">
      <selection activeCell="G16" sqref="G16"/>
    </sheetView>
  </sheetViews>
  <sheetFormatPr defaultRowHeight="14.4" x14ac:dyDescent="0.3"/>
  <cols>
    <col min="1" max="1" width="24.109375" customWidth="1"/>
    <col min="2" max="2" width="46.33203125" customWidth="1"/>
    <col min="3" max="3" width="40.77734375" customWidth="1"/>
    <col min="4" max="4" width="31.44140625" customWidth="1"/>
    <col min="5" max="5" width="27.77734375" customWidth="1"/>
  </cols>
  <sheetData>
    <row r="1" spans="1:4" ht="18" x14ac:dyDescent="0.35">
      <c r="A1" s="17" t="s">
        <v>19091</v>
      </c>
    </row>
    <row r="2" spans="1:4" x14ac:dyDescent="0.3">
      <c r="A2" t="s">
        <v>19045</v>
      </c>
    </row>
    <row r="3" spans="1:4" x14ac:dyDescent="0.3">
      <c r="A3" t="s">
        <v>19092</v>
      </c>
    </row>
    <row r="5" spans="1:4" x14ac:dyDescent="0.3">
      <c r="A5" s="16" t="s">
        <v>1175</v>
      </c>
    </row>
    <row r="6" spans="1:4" x14ac:dyDescent="0.3">
      <c r="A6" s="43" t="s">
        <v>17555</v>
      </c>
      <c r="B6" s="43" t="s">
        <v>1</v>
      </c>
      <c r="C6" s="43" t="s">
        <v>19093</v>
      </c>
      <c r="D6" s="43" t="s">
        <v>19094</v>
      </c>
    </row>
    <row r="7" spans="1:4" x14ac:dyDescent="0.3">
      <c r="A7" t="s">
        <v>19095</v>
      </c>
      <c r="B7" t="s">
        <v>19096</v>
      </c>
      <c r="C7" t="s">
        <v>19097</v>
      </c>
      <c r="D7" t="s">
        <v>19098</v>
      </c>
    </row>
    <row r="8" spans="1:4" x14ac:dyDescent="0.3">
      <c r="A8" t="s">
        <v>17872</v>
      </c>
      <c r="B8" t="s">
        <v>19099</v>
      </c>
      <c r="C8" t="s">
        <v>19100</v>
      </c>
      <c r="D8" t="s">
        <v>19101</v>
      </c>
    </row>
    <row r="9" spans="1:4" x14ac:dyDescent="0.3">
      <c r="A9" t="s">
        <v>14853</v>
      </c>
      <c r="B9" t="s">
        <v>19102</v>
      </c>
      <c r="C9" t="s">
        <v>19103</v>
      </c>
      <c r="D9" t="s">
        <v>19104</v>
      </c>
    </row>
    <row r="10" spans="1:4" x14ac:dyDescent="0.3">
      <c r="A10" t="s">
        <v>17217</v>
      </c>
      <c r="B10" t="s">
        <v>19105</v>
      </c>
      <c r="C10" t="s">
        <v>19106</v>
      </c>
      <c r="D10" t="s">
        <v>19107</v>
      </c>
    </row>
    <row r="11" spans="1:4" x14ac:dyDescent="0.3">
      <c r="A11" t="s">
        <v>1140</v>
      </c>
      <c r="B11" t="s">
        <v>19108</v>
      </c>
      <c r="C11" t="s">
        <v>19109</v>
      </c>
      <c r="D11" t="s">
        <v>14338</v>
      </c>
    </row>
    <row r="12" spans="1:4" x14ac:dyDescent="0.3">
      <c r="A12" t="s">
        <v>19110</v>
      </c>
      <c r="B12" t="s">
        <v>19111</v>
      </c>
      <c r="C12" t="s">
        <v>19112</v>
      </c>
      <c r="D12" t="s">
        <v>19113</v>
      </c>
    </row>
    <row r="13" spans="1:4" x14ac:dyDescent="0.3">
      <c r="A13" t="s">
        <v>16579</v>
      </c>
      <c r="B13" t="s">
        <v>19114</v>
      </c>
      <c r="C13" t="s">
        <v>19115</v>
      </c>
      <c r="D13" t="s">
        <v>19116</v>
      </c>
    </row>
    <row r="15" spans="1:4" x14ac:dyDescent="0.3">
      <c r="A15" s="16" t="s">
        <v>19001</v>
      </c>
    </row>
    <row r="16" spans="1:4" x14ac:dyDescent="0.3">
      <c r="A16" s="43" t="s">
        <v>1068</v>
      </c>
      <c r="B16" s="43" t="s">
        <v>1</v>
      </c>
      <c r="C16" s="43" t="s">
        <v>1183</v>
      </c>
      <c r="D16" s="43" t="s">
        <v>13593</v>
      </c>
    </row>
    <row r="17" spans="1:5" x14ac:dyDescent="0.3">
      <c r="A17" t="s">
        <v>1279</v>
      </c>
      <c r="B17" t="s">
        <v>19117</v>
      </c>
      <c r="C17" t="s">
        <v>19118</v>
      </c>
      <c r="D17" t="s">
        <v>14628</v>
      </c>
    </row>
    <row r="18" spans="1:5" x14ac:dyDescent="0.3">
      <c r="A18" t="s">
        <v>1246</v>
      </c>
      <c r="B18" t="s">
        <v>19119</v>
      </c>
      <c r="C18" t="s">
        <v>19120</v>
      </c>
      <c r="D18" t="s">
        <v>14628</v>
      </c>
    </row>
    <row r="19" spans="1:5" x14ac:dyDescent="0.3">
      <c r="A19" t="s">
        <v>1720</v>
      </c>
      <c r="B19" t="s">
        <v>19121</v>
      </c>
      <c r="C19" t="s">
        <v>1224</v>
      </c>
      <c r="D19" t="s">
        <v>19122</v>
      </c>
    </row>
    <row r="20" spans="1:5" x14ac:dyDescent="0.3">
      <c r="A20" t="s">
        <v>1224</v>
      </c>
      <c r="B20" t="s">
        <v>19123</v>
      </c>
      <c r="C20" t="s">
        <v>19124</v>
      </c>
      <c r="D20" t="s">
        <v>19125</v>
      </c>
    </row>
    <row r="21" spans="1:5" x14ac:dyDescent="0.3">
      <c r="A21" t="s">
        <v>1332</v>
      </c>
      <c r="B21" t="s">
        <v>19126</v>
      </c>
      <c r="C21" t="s">
        <v>19127</v>
      </c>
      <c r="D21" t="s">
        <v>14628</v>
      </c>
    </row>
    <row r="22" spans="1:5" x14ac:dyDescent="0.3">
      <c r="A22" t="s">
        <v>1106</v>
      </c>
      <c r="B22" t="s">
        <v>19128</v>
      </c>
      <c r="C22" t="s">
        <v>19129</v>
      </c>
      <c r="D22" t="s">
        <v>19130</v>
      </c>
    </row>
    <row r="23" spans="1:5" x14ac:dyDescent="0.3">
      <c r="A23" t="s">
        <v>1228</v>
      </c>
      <c r="B23" t="s">
        <v>19131</v>
      </c>
      <c r="C23" t="s">
        <v>19132</v>
      </c>
      <c r="D23" t="s">
        <v>17305</v>
      </c>
    </row>
    <row r="24" spans="1:5" x14ac:dyDescent="0.3">
      <c r="A24" t="s">
        <v>1232</v>
      </c>
      <c r="B24" t="s">
        <v>19133</v>
      </c>
      <c r="C24" t="s">
        <v>1100</v>
      </c>
      <c r="D24" t="s">
        <v>14628</v>
      </c>
    </row>
    <row r="25" spans="1:5" x14ac:dyDescent="0.3">
      <c r="A25" t="s">
        <v>1329</v>
      </c>
      <c r="B25" t="s">
        <v>19134</v>
      </c>
      <c r="C25" t="s">
        <v>1100</v>
      </c>
      <c r="D25" t="s">
        <v>14628</v>
      </c>
    </row>
    <row r="26" spans="1:5" x14ac:dyDescent="0.3">
      <c r="A26" t="s">
        <v>1100</v>
      </c>
      <c r="B26" t="s">
        <v>19135</v>
      </c>
      <c r="C26" t="s">
        <v>1103</v>
      </c>
      <c r="D26" t="s">
        <v>14628</v>
      </c>
      <c r="E26" t="s">
        <v>19018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CAEF-ADDF-4CC0-8943-A44899867277}">
  <sheetPr>
    <tabColor rgb="FFFFFF00"/>
  </sheetPr>
  <dimension ref="A1:E45"/>
  <sheetViews>
    <sheetView topLeftCell="A9" workbookViewId="0">
      <selection activeCell="G16" sqref="G16"/>
    </sheetView>
  </sheetViews>
  <sheetFormatPr defaultRowHeight="14.4" x14ac:dyDescent="0.3"/>
  <cols>
    <col min="1" max="1" width="24.109375" customWidth="1"/>
    <col min="2" max="2" width="50" customWidth="1"/>
    <col min="3" max="4" width="33.33203125" customWidth="1"/>
    <col min="5" max="5" width="27.77734375" customWidth="1"/>
  </cols>
  <sheetData>
    <row r="1" spans="1:5" ht="18" x14ac:dyDescent="0.35">
      <c r="A1" s="17" t="s">
        <v>19136</v>
      </c>
    </row>
    <row r="2" spans="1:5" x14ac:dyDescent="0.3">
      <c r="A2" t="s">
        <v>19137</v>
      </c>
    </row>
    <row r="3" spans="1:5" x14ac:dyDescent="0.3">
      <c r="A3" t="s">
        <v>19138</v>
      </c>
    </row>
    <row r="5" spans="1:5" ht="15.6" x14ac:dyDescent="0.3">
      <c r="A5" s="175" t="s">
        <v>19139</v>
      </c>
      <c r="B5" s="175"/>
      <c r="C5" s="175"/>
      <c r="D5" s="175"/>
      <c r="E5" s="175"/>
    </row>
    <row r="6" spans="1:5" x14ac:dyDescent="0.3">
      <c r="A6" s="221" t="s">
        <v>14545</v>
      </c>
      <c r="B6" s="221" t="s">
        <v>1</v>
      </c>
      <c r="C6" s="221" t="s">
        <v>19140</v>
      </c>
      <c r="D6" s="221" t="s">
        <v>19141</v>
      </c>
    </row>
    <row r="7" spans="1:5" x14ac:dyDescent="0.3">
      <c r="A7" t="s">
        <v>82</v>
      </c>
      <c r="B7" t="s">
        <v>19142</v>
      </c>
      <c r="C7" t="s">
        <v>19143</v>
      </c>
      <c r="D7" t="s">
        <v>19144</v>
      </c>
    </row>
    <row r="8" spans="1:5" x14ac:dyDescent="0.3">
      <c r="A8" t="s">
        <v>19145</v>
      </c>
      <c r="B8" t="s">
        <v>19146</v>
      </c>
      <c r="C8" t="s">
        <v>19147</v>
      </c>
      <c r="D8" t="s">
        <v>19148</v>
      </c>
    </row>
    <row r="9" spans="1:5" x14ac:dyDescent="0.3">
      <c r="A9" t="s">
        <v>16380</v>
      </c>
      <c r="B9" t="s">
        <v>19149</v>
      </c>
      <c r="C9" t="s">
        <v>19150</v>
      </c>
      <c r="D9" t="s">
        <v>19151</v>
      </c>
    </row>
    <row r="11" spans="1:5" x14ac:dyDescent="0.3">
      <c r="A11" s="482" t="s">
        <v>19152</v>
      </c>
      <c r="B11" s="482"/>
      <c r="C11" s="482"/>
      <c r="D11" s="482"/>
      <c r="E11" s="482"/>
    </row>
    <row r="13" spans="1:5" ht="15.6" x14ac:dyDescent="0.3">
      <c r="A13" s="175" t="s">
        <v>19001</v>
      </c>
      <c r="B13" s="175"/>
      <c r="C13" s="175"/>
      <c r="D13" s="175"/>
      <c r="E13" s="175"/>
    </row>
    <row r="14" spans="1:5" x14ac:dyDescent="0.3">
      <c r="A14" s="221" t="s">
        <v>1068</v>
      </c>
      <c r="B14" s="221" t="s">
        <v>1</v>
      </c>
      <c r="C14" s="221" t="s">
        <v>1183</v>
      </c>
      <c r="D14" s="221" t="s">
        <v>1184</v>
      </c>
    </row>
    <row r="15" spans="1:5" x14ac:dyDescent="0.3">
      <c r="A15" t="s">
        <v>1220</v>
      </c>
      <c r="B15" t="s">
        <v>19153</v>
      </c>
      <c r="C15" t="s">
        <v>19129</v>
      </c>
      <c r="D15" t="s">
        <v>962</v>
      </c>
    </row>
    <row r="16" spans="1:5" x14ac:dyDescent="0.3">
      <c r="A16" t="s">
        <v>1224</v>
      </c>
      <c r="B16" t="s">
        <v>19154</v>
      </c>
      <c r="C16" t="s">
        <v>19155</v>
      </c>
      <c r="D16" t="s">
        <v>962</v>
      </c>
    </row>
    <row r="17" spans="1:5" x14ac:dyDescent="0.3">
      <c r="A17" t="s">
        <v>17119</v>
      </c>
      <c r="B17" t="s">
        <v>19156</v>
      </c>
      <c r="C17" t="s">
        <v>19157</v>
      </c>
      <c r="D17" t="s">
        <v>962</v>
      </c>
    </row>
    <row r="18" spans="1:5" x14ac:dyDescent="0.3">
      <c r="A18" t="s">
        <v>1228</v>
      </c>
      <c r="B18" t="s">
        <v>19158</v>
      </c>
      <c r="C18" t="s">
        <v>19159</v>
      </c>
      <c r="D18" t="s">
        <v>962</v>
      </c>
    </row>
    <row r="19" spans="1:5" x14ac:dyDescent="0.3">
      <c r="A19" t="s">
        <v>1232</v>
      </c>
      <c r="B19" t="s">
        <v>19160</v>
      </c>
      <c r="C19" t="s">
        <v>1100</v>
      </c>
      <c r="D19" t="s">
        <v>962</v>
      </c>
    </row>
    <row r="20" spans="1:5" x14ac:dyDescent="0.3">
      <c r="A20" s="40" t="s">
        <v>1100</v>
      </c>
      <c r="B20" s="40" t="s">
        <v>19161</v>
      </c>
      <c r="C20" s="40" t="s">
        <v>19017</v>
      </c>
      <c r="D20" s="40" t="s">
        <v>19018</v>
      </c>
    </row>
    <row r="22" spans="1:5" ht="15.6" x14ac:dyDescent="0.3">
      <c r="A22" s="483" t="s">
        <v>19162</v>
      </c>
      <c r="B22" s="483"/>
      <c r="C22" s="483"/>
      <c r="D22" s="483"/>
      <c r="E22" s="483"/>
    </row>
    <row r="24" spans="1:5" x14ac:dyDescent="0.3">
      <c r="A24" s="484" t="s">
        <v>19163</v>
      </c>
      <c r="B24" s="484" t="s">
        <v>19164</v>
      </c>
      <c r="C24" s="484" t="s">
        <v>19165</v>
      </c>
      <c r="D24" s="484" t="s">
        <v>19166</v>
      </c>
    </row>
    <row r="25" spans="1:5" x14ac:dyDescent="0.3">
      <c r="A25" t="s">
        <v>19167</v>
      </c>
      <c r="B25" t="s">
        <v>19168</v>
      </c>
      <c r="C25" t="s">
        <v>19169</v>
      </c>
      <c r="D25" t="s">
        <v>19170</v>
      </c>
    </row>
    <row r="26" spans="1:5" x14ac:dyDescent="0.3">
      <c r="A26" t="s">
        <v>19171</v>
      </c>
      <c r="B26" t="s">
        <v>19172</v>
      </c>
      <c r="C26" t="s">
        <v>19173</v>
      </c>
      <c r="D26" t="s">
        <v>19174</v>
      </c>
    </row>
    <row r="27" spans="1:5" x14ac:dyDescent="0.3">
      <c r="A27" t="s">
        <v>19175</v>
      </c>
      <c r="B27" t="s">
        <v>19176</v>
      </c>
      <c r="C27" t="s">
        <v>19177</v>
      </c>
      <c r="D27" t="s">
        <v>19178</v>
      </c>
    </row>
    <row r="29" spans="1:5" x14ac:dyDescent="0.3">
      <c r="A29" s="485" t="s">
        <v>19179</v>
      </c>
      <c r="B29" s="485"/>
      <c r="C29" s="485"/>
      <c r="D29" s="485"/>
      <c r="E29" s="485"/>
    </row>
    <row r="30" spans="1:5" x14ac:dyDescent="0.3">
      <c r="A30" s="484" t="s">
        <v>19180</v>
      </c>
      <c r="B30" s="484" t="s">
        <v>15146</v>
      </c>
      <c r="C30" s="484" t="s">
        <v>19181</v>
      </c>
      <c r="D30" s="484" t="s">
        <v>19182</v>
      </c>
    </row>
    <row r="31" spans="1:5" x14ac:dyDescent="0.3">
      <c r="A31">
        <v>1</v>
      </c>
      <c r="B31" t="s">
        <v>19183</v>
      </c>
      <c r="C31" t="s">
        <v>14</v>
      </c>
      <c r="D31" t="s">
        <v>19184</v>
      </c>
    </row>
    <row r="32" spans="1:5" x14ac:dyDescent="0.3">
      <c r="A32">
        <v>2</v>
      </c>
      <c r="B32" t="s">
        <v>19185</v>
      </c>
      <c r="C32" t="s">
        <v>19186</v>
      </c>
      <c r="D32" t="s">
        <v>19187</v>
      </c>
    </row>
    <row r="33" spans="1:5" x14ac:dyDescent="0.3">
      <c r="C33" t="s">
        <v>19188</v>
      </c>
      <c r="D33" t="s">
        <v>19189</v>
      </c>
    </row>
    <row r="34" spans="1:5" x14ac:dyDescent="0.3">
      <c r="A34">
        <v>3</v>
      </c>
      <c r="B34" t="s">
        <v>19190</v>
      </c>
      <c r="C34" t="s">
        <v>19191</v>
      </c>
      <c r="D34" t="s">
        <v>19192</v>
      </c>
    </row>
    <row r="36" spans="1:5" x14ac:dyDescent="0.3">
      <c r="A36" s="485" t="s">
        <v>19193</v>
      </c>
      <c r="B36" s="485"/>
      <c r="C36" s="485"/>
      <c r="D36" s="485"/>
      <c r="E36" s="485"/>
    </row>
    <row r="37" spans="1:5" x14ac:dyDescent="0.3">
      <c r="A37" s="484" t="s">
        <v>1614</v>
      </c>
      <c r="B37" s="484" t="s">
        <v>19194</v>
      </c>
      <c r="C37" s="484" t="s">
        <v>15006</v>
      </c>
    </row>
    <row r="38" spans="1:5" x14ac:dyDescent="0.3">
      <c r="A38" t="s">
        <v>14545</v>
      </c>
      <c r="B38" t="s">
        <v>19195</v>
      </c>
      <c r="C38" t="s">
        <v>17872</v>
      </c>
    </row>
    <row r="39" spans="1:5" x14ac:dyDescent="0.3">
      <c r="A39" t="s">
        <v>17104</v>
      </c>
      <c r="B39" t="s">
        <v>19196</v>
      </c>
      <c r="C39" t="s">
        <v>19197</v>
      </c>
    </row>
    <row r="40" spans="1:5" x14ac:dyDescent="0.3">
      <c r="A40" t="s">
        <v>17105</v>
      </c>
      <c r="B40" t="s">
        <v>19198</v>
      </c>
      <c r="C40" t="s">
        <v>19199</v>
      </c>
    </row>
    <row r="41" spans="1:5" x14ac:dyDescent="0.3">
      <c r="A41" t="s">
        <v>1140</v>
      </c>
      <c r="B41" t="s">
        <v>19200</v>
      </c>
      <c r="C41" t="s">
        <v>19201</v>
      </c>
    </row>
    <row r="42" spans="1:5" x14ac:dyDescent="0.3">
      <c r="A42" t="s">
        <v>19202</v>
      </c>
      <c r="B42" t="s">
        <v>19203</v>
      </c>
      <c r="C42" t="s">
        <v>19204</v>
      </c>
    </row>
    <row r="43" spans="1:5" x14ac:dyDescent="0.3">
      <c r="A43" t="s">
        <v>1068</v>
      </c>
      <c r="B43" t="s">
        <v>1220</v>
      </c>
      <c r="C43" t="s">
        <v>19205</v>
      </c>
    </row>
    <row r="44" spans="1:5" x14ac:dyDescent="0.3">
      <c r="A44" t="s">
        <v>19206</v>
      </c>
      <c r="B44" t="s">
        <v>19207</v>
      </c>
      <c r="C44" t="s">
        <v>19197</v>
      </c>
    </row>
    <row r="45" spans="1:5" x14ac:dyDescent="0.3">
      <c r="A45" t="s">
        <v>19208</v>
      </c>
      <c r="B45" t="s">
        <v>19209</v>
      </c>
      <c r="C45" t="s">
        <v>17872</v>
      </c>
    </row>
  </sheetData>
  <mergeCells count="3">
    <mergeCell ref="A22:E22"/>
    <mergeCell ref="A29:E29"/>
    <mergeCell ref="A36: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F2E8-1712-411F-B31D-1F56DE23A962}">
  <sheetPr>
    <tabColor rgb="FFFFFF00"/>
  </sheetPr>
  <dimension ref="A1:D24"/>
  <sheetViews>
    <sheetView workbookViewId="0">
      <selection activeCell="G16" sqref="G16"/>
    </sheetView>
  </sheetViews>
  <sheetFormatPr defaultRowHeight="14.4" x14ac:dyDescent="0.3"/>
  <cols>
    <col min="1" max="1" width="24.109375" customWidth="1"/>
    <col min="2" max="2" width="46.33203125" customWidth="1"/>
    <col min="3" max="3" width="33.33203125" customWidth="1"/>
    <col min="4" max="5" width="27.77734375" customWidth="1"/>
  </cols>
  <sheetData>
    <row r="1" spans="1:4" ht="18" x14ac:dyDescent="0.35">
      <c r="A1" s="17" t="s">
        <v>19210</v>
      </c>
    </row>
    <row r="2" spans="1:4" x14ac:dyDescent="0.3">
      <c r="A2" t="s">
        <v>19211</v>
      </c>
    </row>
    <row r="3" spans="1:4" x14ac:dyDescent="0.3">
      <c r="A3" t="s">
        <v>19212</v>
      </c>
    </row>
    <row r="5" spans="1:4" x14ac:dyDescent="0.3">
      <c r="A5" s="16" t="s">
        <v>19213</v>
      </c>
    </row>
    <row r="6" spans="1:4" x14ac:dyDescent="0.3">
      <c r="A6" s="486" t="s">
        <v>18666</v>
      </c>
      <c r="B6" s="486" t="s">
        <v>1</v>
      </c>
      <c r="C6" s="486" t="s">
        <v>15006</v>
      </c>
      <c r="D6" s="486" t="s">
        <v>19214</v>
      </c>
    </row>
    <row r="7" spans="1:4" x14ac:dyDescent="0.3">
      <c r="A7" t="s">
        <v>1555</v>
      </c>
      <c r="B7" t="s">
        <v>19215</v>
      </c>
      <c r="C7" t="s">
        <v>19216</v>
      </c>
      <c r="D7" t="s">
        <v>962</v>
      </c>
    </row>
    <row r="8" spans="1:4" x14ac:dyDescent="0.3">
      <c r="A8" t="s">
        <v>19217</v>
      </c>
      <c r="B8" t="s">
        <v>19218</v>
      </c>
      <c r="C8" t="s">
        <v>19219</v>
      </c>
      <c r="D8" t="s">
        <v>962</v>
      </c>
    </row>
    <row r="9" spans="1:4" x14ac:dyDescent="0.3">
      <c r="A9" t="s">
        <v>1140</v>
      </c>
      <c r="B9" t="s">
        <v>19220</v>
      </c>
      <c r="C9" t="s">
        <v>19221</v>
      </c>
      <c r="D9" t="s">
        <v>962</v>
      </c>
    </row>
    <row r="10" spans="1:4" x14ac:dyDescent="0.3">
      <c r="A10" t="s">
        <v>1597</v>
      </c>
      <c r="B10" t="s">
        <v>870</v>
      </c>
      <c r="C10" t="s">
        <v>19222</v>
      </c>
      <c r="D10" t="s">
        <v>962</v>
      </c>
    </row>
    <row r="11" spans="1:4" x14ac:dyDescent="0.3">
      <c r="A11" t="s">
        <v>19223</v>
      </c>
      <c r="B11" t="s">
        <v>19224</v>
      </c>
      <c r="C11" t="s">
        <v>19225</v>
      </c>
      <c r="D11" t="s">
        <v>962</v>
      </c>
    </row>
    <row r="12" spans="1:4" x14ac:dyDescent="0.3">
      <c r="A12" t="s">
        <v>65</v>
      </c>
      <c r="B12" t="s">
        <v>19226</v>
      </c>
      <c r="C12" t="s">
        <v>19227</v>
      </c>
      <c r="D12" t="s">
        <v>962</v>
      </c>
    </row>
    <row r="13" spans="1:4" x14ac:dyDescent="0.3">
      <c r="A13" t="s">
        <v>14750</v>
      </c>
      <c r="B13" t="s">
        <v>19228</v>
      </c>
      <c r="C13" t="s">
        <v>19229</v>
      </c>
      <c r="D13" t="s">
        <v>988</v>
      </c>
    </row>
    <row r="14" spans="1:4" x14ac:dyDescent="0.3">
      <c r="A14" t="s">
        <v>17872</v>
      </c>
      <c r="B14" t="s">
        <v>19230</v>
      </c>
      <c r="C14" t="s">
        <v>19231</v>
      </c>
      <c r="D14" t="s">
        <v>962</v>
      </c>
    </row>
    <row r="16" spans="1:4" x14ac:dyDescent="0.3">
      <c r="A16" s="16" t="s">
        <v>19001</v>
      </c>
    </row>
    <row r="17" spans="1:4" x14ac:dyDescent="0.3">
      <c r="A17" s="486" t="s">
        <v>1068</v>
      </c>
      <c r="B17" s="486" t="s">
        <v>1</v>
      </c>
      <c r="C17" s="486" t="s">
        <v>1183</v>
      </c>
      <c r="D17" s="486" t="s">
        <v>13593</v>
      </c>
    </row>
    <row r="18" spans="1:4" x14ac:dyDescent="0.3">
      <c r="A18" t="s">
        <v>1075</v>
      </c>
      <c r="B18" t="s">
        <v>19232</v>
      </c>
      <c r="C18" t="s">
        <v>19233</v>
      </c>
      <c r="D18" t="s">
        <v>19234</v>
      </c>
    </row>
    <row r="19" spans="1:4" x14ac:dyDescent="0.3">
      <c r="A19" t="s">
        <v>1371</v>
      </c>
      <c r="B19" t="s">
        <v>19235</v>
      </c>
      <c r="C19" t="s">
        <v>19236</v>
      </c>
      <c r="D19" t="s">
        <v>19234</v>
      </c>
    </row>
    <row r="20" spans="1:4" x14ac:dyDescent="0.3">
      <c r="A20" t="s">
        <v>1305</v>
      </c>
      <c r="B20" t="s">
        <v>19237</v>
      </c>
      <c r="C20" t="s">
        <v>1314</v>
      </c>
      <c r="D20" t="s">
        <v>19234</v>
      </c>
    </row>
    <row r="21" spans="1:4" x14ac:dyDescent="0.3">
      <c r="A21" t="s">
        <v>1228</v>
      </c>
      <c r="B21" t="s">
        <v>19238</v>
      </c>
      <c r="C21" t="s">
        <v>19236</v>
      </c>
      <c r="D21" t="s">
        <v>15765</v>
      </c>
    </row>
    <row r="22" spans="1:4" x14ac:dyDescent="0.3">
      <c r="A22" t="s">
        <v>1232</v>
      </c>
      <c r="B22" t="s">
        <v>19239</v>
      </c>
      <c r="C22" t="s">
        <v>1100</v>
      </c>
      <c r="D22" t="s">
        <v>19234</v>
      </c>
    </row>
    <row r="23" spans="1:4" x14ac:dyDescent="0.3">
      <c r="A23" t="s">
        <v>19240</v>
      </c>
      <c r="B23" t="s">
        <v>19241</v>
      </c>
      <c r="C23" t="s">
        <v>19242</v>
      </c>
      <c r="D23" t="s">
        <v>14871</v>
      </c>
    </row>
    <row r="24" spans="1:4" x14ac:dyDescent="0.3">
      <c r="A24" t="s">
        <v>1100</v>
      </c>
      <c r="B24" t="s">
        <v>19243</v>
      </c>
      <c r="C24" t="s">
        <v>19017</v>
      </c>
      <c r="D24" t="s">
        <v>19018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7CE8-E23E-44BD-8068-93B683252966}">
  <sheetPr>
    <tabColor rgb="FFFFFF00"/>
  </sheetPr>
  <dimension ref="A1:E21"/>
  <sheetViews>
    <sheetView workbookViewId="0">
      <selection activeCell="G16" sqref="G16"/>
    </sheetView>
  </sheetViews>
  <sheetFormatPr defaultRowHeight="14.4" x14ac:dyDescent="0.3"/>
  <cols>
    <col min="1" max="1" width="24.109375" customWidth="1"/>
    <col min="2" max="2" width="46.33203125" customWidth="1"/>
    <col min="3" max="3" width="33.33203125" customWidth="1"/>
    <col min="4" max="5" width="27.77734375" customWidth="1"/>
  </cols>
  <sheetData>
    <row r="1" spans="1:5" x14ac:dyDescent="0.3">
      <c r="A1" t="s">
        <v>19075</v>
      </c>
    </row>
    <row r="2" spans="1:5" x14ac:dyDescent="0.3">
      <c r="A2" t="s">
        <v>19045</v>
      </c>
    </row>
    <row r="3" spans="1:5" x14ac:dyDescent="0.3">
      <c r="A3" t="s">
        <v>19076</v>
      </c>
    </row>
    <row r="5" spans="1:5" x14ac:dyDescent="0.3">
      <c r="A5" t="s">
        <v>19077</v>
      </c>
    </row>
    <row r="6" spans="1:5" x14ac:dyDescent="0.3">
      <c r="A6" t="s">
        <v>19078</v>
      </c>
      <c r="B6" t="s">
        <v>1</v>
      </c>
      <c r="C6" t="s">
        <v>19079</v>
      </c>
      <c r="D6" t="s">
        <v>18667</v>
      </c>
    </row>
    <row r="7" spans="1:5" x14ac:dyDescent="0.3">
      <c r="A7" t="s">
        <v>14858</v>
      </c>
      <c r="B7" t="s">
        <v>19333</v>
      </c>
      <c r="C7" t="s">
        <v>19334</v>
      </c>
      <c r="D7" t="s">
        <v>19335</v>
      </c>
    </row>
    <row r="8" spans="1:5" x14ac:dyDescent="0.3">
      <c r="A8" t="s">
        <v>1066</v>
      </c>
      <c r="B8" t="s">
        <v>19336</v>
      </c>
      <c r="C8" t="s">
        <v>19337</v>
      </c>
      <c r="D8" t="s">
        <v>19338</v>
      </c>
    </row>
    <row r="9" spans="1:5" x14ac:dyDescent="0.3">
      <c r="A9" t="s">
        <v>14853</v>
      </c>
      <c r="B9" t="s">
        <v>19339</v>
      </c>
      <c r="C9" t="s">
        <v>19340</v>
      </c>
      <c r="D9" t="s">
        <v>19341</v>
      </c>
    </row>
    <row r="10" spans="1:5" x14ac:dyDescent="0.3">
      <c r="A10" t="s">
        <v>1427</v>
      </c>
      <c r="B10" t="s">
        <v>19342</v>
      </c>
      <c r="C10" t="s">
        <v>19343</v>
      </c>
      <c r="D10" t="s">
        <v>19344</v>
      </c>
    </row>
    <row r="11" spans="1:5" x14ac:dyDescent="0.3">
      <c r="A11" t="s">
        <v>152</v>
      </c>
      <c r="B11" t="s">
        <v>19345</v>
      </c>
      <c r="C11" t="s">
        <v>19346</v>
      </c>
      <c r="D11" t="s">
        <v>19347</v>
      </c>
    </row>
    <row r="12" spans="1:5" x14ac:dyDescent="0.3">
      <c r="A12" t="s">
        <v>1120</v>
      </c>
      <c r="B12" t="s">
        <v>19348</v>
      </c>
      <c r="C12" t="s">
        <v>19349</v>
      </c>
      <c r="D12" t="s">
        <v>19350</v>
      </c>
    </row>
    <row r="14" spans="1:5" x14ac:dyDescent="0.3">
      <c r="A14" t="s">
        <v>19001</v>
      </c>
    </row>
    <row r="15" spans="1:5" x14ac:dyDescent="0.3">
      <c r="A15" t="s">
        <v>1068</v>
      </c>
      <c r="B15" t="s">
        <v>1</v>
      </c>
      <c r="C15" t="s">
        <v>1183</v>
      </c>
      <c r="D15" t="s">
        <v>13593</v>
      </c>
      <c r="E15" t="s">
        <v>1184</v>
      </c>
    </row>
    <row r="16" spans="1:5" x14ac:dyDescent="0.3">
      <c r="A16" t="s">
        <v>1220</v>
      </c>
      <c r="B16" t="s">
        <v>19080</v>
      </c>
      <c r="C16" t="s">
        <v>19081</v>
      </c>
      <c r="D16" t="s">
        <v>14628</v>
      </c>
      <c r="E16" t="s">
        <v>962</v>
      </c>
    </row>
    <row r="17" spans="1:5" x14ac:dyDescent="0.3">
      <c r="A17" t="s">
        <v>1224</v>
      </c>
      <c r="B17" t="s">
        <v>19082</v>
      </c>
      <c r="C17" t="s">
        <v>19083</v>
      </c>
      <c r="D17" t="s">
        <v>14628</v>
      </c>
      <c r="E17" t="s">
        <v>962</v>
      </c>
    </row>
    <row r="18" spans="1:5" x14ac:dyDescent="0.3">
      <c r="A18" t="s">
        <v>14767</v>
      </c>
      <c r="B18" t="s">
        <v>19084</v>
      </c>
      <c r="C18" t="s">
        <v>19085</v>
      </c>
      <c r="D18" t="s">
        <v>14628</v>
      </c>
      <c r="E18" t="s">
        <v>962</v>
      </c>
    </row>
    <row r="19" spans="1:5" x14ac:dyDescent="0.3">
      <c r="A19" t="s">
        <v>1228</v>
      </c>
      <c r="B19" t="s">
        <v>19086</v>
      </c>
      <c r="C19" t="s">
        <v>19087</v>
      </c>
      <c r="D19" t="s">
        <v>19088</v>
      </c>
      <c r="E19" t="s">
        <v>962</v>
      </c>
    </row>
    <row r="20" spans="1:5" x14ac:dyDescent="0.3">
      <c r="A20" t="s">
        <v>1232</v>
      </c>
      <c r="B20" t="s">
        <v>19089</v>
      </c>
      <c r="C20" t="s">
        <v>1100</v>
      </c>
      <c r="D20" t="s">
        <v>14628</v>
      </c>
      <c r="E20" t="s">
        <v>962</v>
      </c>
    </row>
    <row r="21" spans="1:5" x14ac:dyDescent="0.3">
      <c r="A21" t="s">
        <v>1100</v>
      </c>
      <c r="B21" t="s">
        <v>19090</v>
      </c>
      <c r="C21" t="s">
        <v>19017</v>
      </c>
      <c r="D21" t="s">
        <v>14628</v>
      </c>
      <c r="E21" t="s">
        <v>19018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2A74-75E7-48F5-AF48-A4ABBB8E6A9B}">
  <sheetPr>
    <tabColor theme="5"/>
  </sheetPr>
  <dimension ref="A1:K195"/>
  <sheetViews>
    <sheetView topLeftCell="A26" workbookViewId="0">
      <selection activeCell="H16" sqref="H16"/>
    </sheetView>
  </sheetViews>
  <sheetFormatPr defaultRowHeight="14.4" x14ac:dyDescent="0.3"/>
  <cols>
    <col min="1" max="1" width="37" customWidth="1"/>
    <col min="2" max="2" width="40.6640625" bestFit="1" customWidth="1"/>
    <col min="3" max="3" width="27.21875" bestFit="1" customWidth="1"/>
    <col min="4" max="4" width="30.44140625" bestFit="1" customWidth="1"/>
    <col min="5" max="5" width="23.21875" bestFit="1" customWidth="1"/>
    <col min="6" max="6" width="39.88671875" bestFit="1" customWidth="1"/>
    <col min="7" max="7" width="38.77734375" bestFit="1" customWidth="1"/>
    <col min="8" max="8" width="5.5546875" bestFit="1" customWidth="1"/>
    <col min="9" max="9" width="17.21875" bestFit="1" customWidth="1"/>
    <col min="10" max="11" width="10" bestFit="1" customWidth="1"/>
  </cols>
  <sheetData>
    <row r="1" spans="1:6" ht="23.4" x14ac:dyDescent="0.45">
      <c r="A1" s="273" t="s">
        <v>17860</v>
      </c>
    </row>
    <row r="3" spans="1:6" x14ac:dyDescent="0.3">
      <c r="A3" s="16" t="s">
        <v>16835</v>
      </c>
    </row>
    <row r="4" spans="1:6" x14ac:dyDescent="0.3">
      <c r="A4" t="s">
        <v>17861</v>
      </c>
      <c r="B4" t="s">
        <v>17862</v>
      </c>
    </row>
    <row r="5" spans="1:6" x14ac:dyDescent="0.3">
      <c r="A5" t="s">
        <v>17863</v>
      </c>
      <c r="B5" t="s">
        <v>17864</v>
      </c>
    </row>
    <row r="6" spans="1:6" x14ac:dyDescent="0.3">
      <c r="A6" t="s">
        <v>17865</v>
      </c>
      <c r="B6" t="s">
        <v>17866</v>
      </c>
    </row>
    <row r="7" spans="1:6" x14ac:dyDescent="0.3">
      <c r="A7" t="s">
        <v>17867</v>
      </c>
      <c r="B7" t="s">
        <v>17868</v>
      </c>
    </row>
    <row r="8" spans="1:6" x14ac:dyDescent="0.3">
      <c r="A8" t="s">
        <v>17869</v>
      </c>
      <c r="B8" t="s">
        <v>17870</v>
      </c>
    </row>
    <row r="10" spans="1:6" ht="18" x14ac:dyDescent="0.35">
      <c r="A10" s="213" t="s">
        <v>17871</v>
      </c>
      <c r="B10" s="213"/>
      <c r="C10" s="213"/>
      <c r="D10" s="213"/>
      <c r="E10" s="213"/>
      <c r="F10" s="213"/>
    </row>
    <row r="11" spans="1:6" x14ac:dyDescent="0.3">
      <c r="A11" s="85" t="s">
        <v>17872</v>
      </c>
      <c r="B11" s="85" t="s">
        <v>15432</v>
      </c>
      <c r="C11" s="85" t="s">
        <v>2</v>
      </c>
      <c r="D11" s="85" t="s">
        <v>17873</v>
      </c>
      <c r="E11" s="85" t="s">
        <v>17874</v>
      </c>
      <c r="F11" s="85" t="s">
        <v>17875</v>
      </c>
    </row>
    <row r="12" spans="1:6" x14ac:dyDescent="0.3">
      <c r="A12" t="s">
        <v>17876</v>
      </c>
      <c r="B12" t="s">
        <v>17877</v>
      </c>
      <c r="C12" t="s">
        <v>14711</v>
      </c>
      <c r="D12" t="s">
        <v>14780</v>
      </c>
      <c r="E12" t="s">
        <v>17878</v>
      </c>
      <c r="F12" t="s">
        <v>17879</v>
      </c>
    </row>
    <row r="13" spans="1:6" x14ac:dyDescent="0.3">
      <c r="A13" t="s">
        <v>15673</v>
      </c>
      <c r="B13" t="s">
        <v>1159</v>
      </c>
      <c r="C13" t="s">
        <v>17880</v>
      </c>
      <c r="D13" t="s">
        <v>17881</v>
      </c>
      <c r="E13" t="s">
        <v>17878</v>
      </c>
      <c r="F13" t="s">
        <v>17882</v>
      </c>
    </row>
    <row r="14" spans="1:6" x14ac:dyDescent="0.3">
      <c r="A14" t="s">
        <v>15643</v>
      </c>
      <c r="B14" t="s">
        <v>14991</v>
      </c>
      <c r="C14" t="s">
        <v>17883</v>
      </c>
      <c r="D14" t="s">
        <v>14780</v>
      </c>
      <c r="E14" t="s">
        <v>17878</v>
      </c>
      <c r="F14" t="s">
        <v>17884</v>
      </c>
    </row>
    <row r="15" spans="1:6" x14ac:dyDescent="0.3">
      <c r="A15" t="s">
        <v>17885</v>
      </c>
      <c r="B15" t="s">
        <v>14993</v>
      </c>
      <c r="C15" t="s">
        <v>17886</v>
      </c>
      <c r="D15" t="s">
        <v>17887</v>
      </c>
      <c r="E15" t="s">
        <v>17878</v>
      </c>
      <c r="F15" t="s">
        <v>17888</v>
      </c>
    </row>
    <row r="18" spans="1:9" ht="18" x14ac:dyDescent="0.35">
      <c r="A18" s="460" t="s">
        <v>17889</v>
      </c>
      <c r="B18" s="460"/>
      <c r="C18" s="460"/>
      <c r="D18" s="460"/>
      <c r="E18" s="460"/>
      <c r="F18" s="460"/>
      <c r="G18" s="460"/>
      <c r="H18" s="460"/>
      <c r="I18" s="460"/>
    </row>
    <row r="19" spans="1:9" x14ac:dyDescent="0.3">
      <c r="A19" s="461" t="s">
        <v>17890</v>
      </c>
      <c r="B19" s="461" t="s">
        <v>1158</v>
      </c>
      <c r="C19" s="461" t="s">
        <v>1159</v>
      </c>
      <c r="D19" s="461" t="s">
        <v>14991</v>
      </c>
      <c r="E19" s="461" t="s">
        <v>14993</v>
      </c>
      <c r="F19" s="461" t="s">
        <v>14992</v>
      </c>
      <c r="G19" s="461" t="s">
        <v>14994</v>
      </c>
      <c r="H19" s="461" t="s">
        <v>14990</v>
      </c>
      <c r="I19" s="461" t="s">
        <v>152</v>
      </c>
    </row>
    <row r="20" spans="1:9" x14ac:dyDescent="0.3">
      <c r="A20" s="461" t="s">
        <v>1158</v>
      </c>
      <c r="B20" s="224" t="s">
        <v>14</v>
      </c>
      <c r="C20" s="224" t="s">
        <v>17891</v>
      </c>
      <c r="D20" s="224" t="s">
        <v>17891</v>
      </c>
      <c r="E20" s="224" t="s">
        <v>17891</v>
      </c>
      <c r="F20" s="224" t="s">
        <v>17891</v>
      </c>
      <c r="G20" s="224" t="s">
        <v>17891</v>
      </c>
      <c r="H20" s="224" t="s">
        <v>17891</v>
      </c>
      <c r="I20" s="224" t="s">
        <v>17892</v>
      </c>
    </row>
    <row r="21" spans="1:9" x14ac:dyDescent="0.3">
      <c r="A21" s="461" t="s">
        <v>1159</v>
      </c>
      <c r="B21" s="224" t="s">
        <v>17891</v>
      </c>
      <c r="C21" s="224" t="s">
        <v>14</v>
      </c>
      <c r="D21" s="224" t="s">
        <v>17891</v>
      </c>
      <c r="E21" s="224" t="s">
        <v>17892</v>
      </c>
      <c r="F21" s="224" t="s">
        <v>17892</v>
      </c>
      <c r="G21" s="224" t="s">
        <v>17892</v>
      </c>
      <c r="H21" s="224" t="s">
        <v>17891</v>
      </c>
      <c r="I21" s="224" t="s">
        <v>17891</v>
      </c>
    </row>
    <row r="22" spans="1:9" x14ac:dyDescent="0.3">
      <c r="A22" s="461" t="s">
        <v>14991</v>
      </c>
      <c r="B22" s="224" t="s">
        <v>17891</v>
      </c>
      <c r="C22" s="224" t="s">
        <v>17891</v>
      </c>
      <c r="D22" s="224" t="s">
        <v>14</v>
      </c>
      <c r="E22" s="224" t="s">
        <v>17891</v>
      </c>
      <c r="F22" s="224" t="s">
        <v>17891</v>
      </c>
      <c r="G22" s="224" t="s">
        <v>17891</v>
      </c>
      <c r="H22" s="224" t="s">
        <v>17891</v>
      </c>
      <c r="I22" s="224" t="s">
        <v>17891</v>
      </c>
    </row>
    <row r="23" spans="1:9" x14ac:dyDescent="0.3">
      <c r="A23" s="461" t="s">
        <v>14993</v>
      </c>
      <c r="B23" s="224" t="s">
        <v>17891</v>
      </c>
      <c r="C23" s="224" t="s">
        <v>17892</v>
      </c>
      <c r="D23" s="224" t="s">
        <v>17891</v>
      </c>
      <c r="E23" s="224" t="s">
        <v>14</v>
      </c>
      <c r="F23" s="224" t="s">
        <v>17891</v>
      </c>
      <c r="G23" s="224" t="s">
        <v>17891</v>
      </c>
      <c r="H23" s="224" t="s">
        <v>17891</v>
      </c>
      <c r="I23" s="224" t="s">
        <v>17892</v>
      </c>
    </row>
    <row r="24" spans="1:9" x14ac:dyDescent="0.3">
      <c r="A24" s="461" t="s">
        <v>14992</v>
      </c>
      <c r="B24" s="224" t="s">
        <v>17891</v>
      </c>
      <c r="C24" s="224" t="s">
        <v>17892</v>
      </c>
      <c r="D24" s="224" t="s">
        <v>17891</v>
      </c>
      <c r="E24" s="224" t="s">
        <v>17891</v>
      </c>
      <c r="F24" s="224" t="s">
        <v>14</v>
      </c>
      <c r="G24" s="224" t="s">
        <v>17891</v>
      </c>
      <c r="H24" s="224" t="s">
        <v>17892</v>
      </c>
      <c r="I24" s="224" t="s">
        <v>17892</v>
      </c>
    </row>
    <row r="25" spans="1:9" x14ac:dyDescent="0.3">
      <c r="A25" s="461" t="s">
        <v>14994</v>
      </c>
      <c r="B25" s="224" t="s">
        <v>17891</v>
      </c>
      <c r="C25" s="224" t="s">
        <v>17892</v>
      </c>
      <c r="D25" s="224" t="s">
        <v>17891</v>
      </c>
      <c r="E25" s="224" t="s">
        <v>17891</v>
      </c>
      <c r="F25" s="224" t="s">
        <v>17891</v>
      </c>
      <c r="G25" s="224" t="s">
        <v>14</v>
      </c>
      <c r="H25" s="224" t="s">
        <v>17892</v>
      </c>
      <c r="I25" s="224" t="s">
        <v>17892</v>
      </c>
    </row>
    <row r="26" spans="1:9" x14ac:dyDescent="0.3">
      <c r="A26" s="461" t="s">
        <v>14990</v>
      </c>
      <c r="B26" s="224" t="s">
        <v>17891</v>
      </c>
      <c r="C26" s="224" t="s">
        <v>17891</v>
      </c>
      <c r="D26" s="224" t="s">
        <v>17891</v>
      </c>
      <c r="E26" s="224" t="s">
        <v>17891</v>
      </c>
      <c r="F26" s="224" t="s">
        <v>17892</v>
      </c>
      <c r="G26" s="224" t="s">
        <v>17892</v>
      </c>
      <c r="H26" s="224" t="s">
        <v>14</v>
      </c>
      <c r="I26" s="224" t="s">
        <v>17891</v>
      </c>
    </row>
    <row r="27" spans="1:9" x14ac:dyDescent="0.3">
      <c r="A27" s="461" t="s">
        <v>152</v>
      </c>
      <c r="B27" s="224" t="s">
        <v>17892</v>
      </c>
      <c r="C27" s="224" t="s">
        <v>17891</v>
      </c>
      <c r="D27" s="224" t="s">
        <v>17891</v>
      </c>
      <c r="E27" s="224" t="s">
        <v>17892</v>
      </c>
      <c r="F27" s="224" t="s">
        <v>17892</v>
      </c>
      <c r="G27" s="224" t="s">
        <v>17892</v>
      </c>
      <c r="H27" s="224" t="s">
        <v>17891</v>
      </c>
      <c r="I27" s="224" t="s">
        <v>14</v>
      </c>
    </row>
    <row r="29" spans="1:9" x14ac:dyDescent="0.3">
      <c r="A29" s="16" t="s">
        <v>17893</v>
      </c>
      <c r="B29" t="s">
        <v>17894</v>
      </c>
    </row>
    <row r="30" spans="1:9" x14ac:dyDescent="0.3">
      <c r="A30" s="16" t="s">
        <v>17895</v>
      </c>
      <c r="B30" t="s">
        <v>17896</v>
      </c>
    </row>
    <row r="33" spans="1:7" ht="18" x14ac:dyDescent="0.35">
      <c r="A33" s="462" t="s">
        <v>17897</v>
      </c>
      <c r="B33" s="462"/>
      <c r="C33" s="462"/>
      <c r="D33" s="462"/>
      <c r="E33" s="462"/>
      <c r="F33" s="462"/>
      <c r="G33" s="462"/>
    </row>
    <row r="34" spans="1:7" x14ac:dyDescent="0.3">
      <c r="A34" s="463" t="s">
        <v>17898</v>
      </c>
      <c r="B34" s="463" t="s">
        <v>17899</v>
      </c>
      <c r="C34" s="463" t="s">
        <v>17900</v>
      </c>
      <c r="D34" s="463" t="s">
        <v>17901</v>
      </c>
      <c r="E34" s="463" t="s">
        <v>17902</v>
      </c>
      <c r="F34" s="463" t="s">
        <v>17903</v>
      </c>
      <c r="G34" s="463" t="s">
        <v>17904</v>
      </c>
    </row>
    <row r="35" spans="1:7" x14ac:dyDescent="0.3">
      <c r="A35" s="224" t="s">
        <v>17905</v>
      </c>
      <c r="B35" s="224" t="s">
        <v>17885</v>
      </c>
      <c r="C35" s="224" t="s">
        <v>17906</v>
      </c>
      <c r="D35" s="224" t="s">
        <v>17907</v>
      </c>
      <c r="E35" s="224" t="s">
        <v>17908</v>
      </c>
      <c r="F35" s="224" t="s">
        <v>17909</v>
      </c>
      <c r="G35" s="224" t="s">
        <v>17910</v>
      </c>
    </row>
    <row r="36" spans="1:7" x14ac:dyDescent="0.3">
      <c r="A36" s="224" t="s">
        <v>17911</v>
      </c>
      <c r="B36" s="224" t="s">
        <v>17906</v>
      </c>
      <c r="C36" s="224" t="s">
        <v>15673</v>
      </c>
      <c r="D36" s="224" t="s">
        <v>17912</v>
      </c>
      <c r="E36" s="224" t="s">
        <v>17913</v>
      </c>
      <c r="F36" s="224" t="s">
        <v>17914</v>
      </c>
      <c r="G36" s="224" t="s">
        <v>17915</v>
      </c>
    </row>
    <row r="37" spans="1:7" x14ac:dyDescent="0.3">
      <c r="A37" s="224" t="s">
        <v>17916</v>
      </c>
      <c r="B37" s="224" t="s">
        <v>15673</v>
      </c>
      <c r="C37" s="224" t="s">
        <v>17917</v>
      </c>
      <c r="D37" s="224" t="s">
        <v>17918</v>
      </c>
      <c r="E37" s="224" t="s">
        <v>17908</v>
      </c>
      <c r="F37" s="224" t="s">
        <v>17919</v>
      </c>
      <c r="G37" s="224" t="s">
        <v>17920</v>
      </c>
    </row>
    <row r="38" spans="1:7" x14ac:dyDescent="0.3">
      <c r="A38" s="224" t="s">
        <v>17921</v>
      </c>
      <c r="B38" s="224" t="s">
        <v>17922</v>
      </c>
      <c r="C38" s="224" t="s">
        <v>15560</v>
      </c>
      <c r="D38" s="224" t="s">
        <v>17923</v>
      </c>
      <c r="E38" s="224" t="s">
        <v>17924</v>
      </c>
      <c r="F38" s="224" t="s">
        <v>17925</v>
      </c>
      <c r="G38" s="224" t="s">
        <v>17926</v>
      </c>
    </row>
    <row r="39" spans="1:7" x14ac:dyDescent="0.3">
      <c r="A39" s="224" t="s">
        <v>17927</v>
      </c>
      <c r="B39" s="224" t="s">
        <v>15560</v>
      </c>
      <c r="C39" s="224" t="s">
        <v>17928</v>
      </c>
      <c r="D39" s="224" t="s">
        <v>258</v>
      </c>
      <c r="E39" s="224" t="s">
        <v>17908</v>
      </c>
      <c r="F39" s="224" t="s">
        <v>17929</v>
      </c>
      <c r="G39" s="224" t="s">
        <v>17930</v>
      </c>
    </row>
    <row r="40" spans="1:7" x14ac:dyDescent="0.3">
      <c r="A40" s="224" t="s">
        <v>17931</v>
      </c>
      <c r="B40" s="224" t="s">
        <v>15643</v>
      </c>
      <c r="C40" s="224" t="s">
        <v>15738</v>
      </c>
      <c r="D40" s="224" t="s">
        <v>258</v>
      </c>
      <c r="E40" s="224" t="s">
        <v>17908</v>
      </c>
      <c r="F40" s="224" t="s">
        <v>17932</v>
      </c>
      <c r="G40" s="224" t="s">
        <v>17933</v>
      </c>
    </row>
    <row r="41" spans="1:7" x14ac:dyDescent="0.3">
      <c r="A41" s="224" t="s">
        <v>17934</v>
      </c>
      <c r="B41" s="224" t="s">
        <v>17935</v>
      </c>
      <c r="C41" s="224" t="s">
        <v>15741</v>
      </c>
      <c r="D41" s="224" t="s">
        <v>258</v>
      </c>
      <c r="E41" s="224" t="s">
        <v>17908</v>
      </c>
      <c r="F41" s="224" t="s">
        <v>17936</v>
      </c>
      <c r="G41" s="224" t="s">
        <v>17937</v>
      </c>
    </row>
    <row r="42" spans="1:7" x14ac:dyDescent="0.3">
      <c r="A42" s="224" t="s">
        <v>17938</v>
      </c>
      <c r="B42" s="224" t="s">
        <v>15717</v>
      </c>
      <c r="C42" s="224" t="s">
        <v>17906</v>
      </c>
      <c r="D42" s="224" t="s">
        <v>258</v>
      </c>
      <c r="E42" s="224" t="s">
        <v>17939</v>
      </c>
      <c r="F42" s="224" t="s">
        <v>17940</v>
      </c>
      <c r="G42" s="224" t="s">
        <v>17941</v>
      </c>
    </row>
    <row r="43" spans="1:7" x14ac:dyDescent="0.3">
      <c r="A43" s="224" t="s">
        <v>17942</v>
      </c>
      <c r="B43" s="224" t="s">
        <v>15449</v>
      </c>
      <c r="C43" s="224" t="s">
        <v>17906</v>
      </c>
      <c r="D43" s="224" t="s">
        <v>17943</v>
      </c>
      <c r="E43" s="224" t="s">
        <v>17913</v>
      </c>
      <c r="F43" s="224" t="s">
        <v>17944</v>
      </c>
      <c r="G43" s="224" t="s">
        <v>17945</v>
      </c>
    </row>
    <row r="44" spans="1:7" x14ac:dyDescent="0.3">
      <c r="A44" s="224" t="s">
        <v>17946</v>
      </c>
      <c r="B44" s="224" t="s">
        <v>17947</v>
      </c>
      <c r="C44" s="224" t="s">
        <v>17948</v>
      </c>
      <c r="D44" s="224" t="s">
        <v>17943</v>
      </c>
      <c r="E44" s="224" t="s">
        <v>17949</v>
      </c>
      <c r="F44" s="224" t="s">
        <v>17950</v>
      </c>
      <c r="G44" s="224" t="s">
        <v>17951</v>
      </c>
    </row>
    <row r="45" spans="1:7" x14ac:dyDescent="0.3">
      <c r="A45" s="224" t="s">
        <v>17952</v>
      </c>
      <c r="B45" s="224" t="s">
        <v>17885</v>
      </c>
      <c r="C45" s="224" t="s">
        <v>15608</v>
      </c>
      <c r="D45" s="224" t="s">
        <v>258</v>
      </c>
      <c r="E45" s="224" t="s">
        <v>17908</v>
      </c>
      <c r="F45" s="224" t="s">
        <v>17953</v>
      </c>
      <c r="G45" s="224" t="s">
        <v>17954</v>
      </c>
    </row>
    <row r="46" spans="1:7" x14ac:dyDescent="0.3">
      <c r="A46" s="224" t="s">
        <v>17955</v>
      </c>
      <c r="B46" s="224" t="s">
        <v>17906</v>
      </c>
      <c r="C46" s="224" t="s">
        <v>15539</v>
      </c>
      <c r="D46" s="224" t="s">
        <v>17943</v>
      </c>
      <c r="E46" s="224" t="s">
        <v>17913</v>
      </c>
      <c r="F46" s="224" t="s">
        <v>17956</v>
      </c>
      <c r="G46" s="224" t="s">
        <v>17957</v>
      </c>
    </row>
    <row r="47" spans="1:7" x14ac:dyDescent="0.3">
      <c r="A47" s="224" t="s">
        <v>17958</v>
      </c>
      <c r="B47" s="224" t="s">
        <v>17959</v>
      </c>
      <c r="C47" s="224" t="s">
        <v>15747</v>
      </c>
      <c r="D47" s="224" t="s">
        <v>258</v>
      </c>
      <c r="E47" s="224" t="s">
        <v>17908</v>
      </c>
      <c r="F47" s="224" t="s">
        <v>17960</v>
      </c>
      <c r="G47" s="224" t="s">
        <v>17961</v>
      </c>
    </row>
    <row r="48" spans="1:7" x14ac:dyDescent="0.3">
      <c r="A48" s="224" t="s">
        <v>17962</v>
      </c>
      <c r="B48" s="224" t="s">
        <v>17963</v>
      </c>
      <c r="C48" s="224" t="s">
        <v>17964</v>
      </c>
      <c r="D48" s="224" t="s">
        <v>258</v>
      </c>
      <c r="E48" s="224" t="s">
        <v>17913</v>
      </c>
      <c r="F48" s="224" t="s">
        <v>17965</v>
      </c>
      <c r="G48" s="224" t="s">
        <v>17966</v>
      </c>
    </row>
    <row r="49" spans="1:11" x14ac:dyDescent="0.3">
      <c r="A49" s="224" t="s">
        <v>17967</v>
      </c>
      <c r="B49" s="224" t="s">
        <v>15512</v>
      </c>
      <c r="C49" s="224" t="s">
        <v>17906</v>
      </c>
      <c r="D49" s="224" t="s">
        <v>258</v>
      </c>
      <c r="E49" s="224" t="s">
        <v>17913</v>
      </c>
      <c r="F49" s="224" t="s">
        <v>17968</v>
      </c>
      <c r="G49" s="224" t="s">
        <v>17969</v>
      </c>
    </row>
    <row r="52" spans="1:11" ht="18" x14ac:dyDescent="0.35">
      <c r="A52" s="464" t="s">
        <v>17970</v>
      </c>
      <c r="B52" s="464"/>
      <c r="C52" s="464"/>
      <c r="D52" s="464"/>
      <c r="E52" s="464"/>
      <c r="F52" s="464"/>
      <c r="G52" s="464"/>
      <c r="H52" s="464"/>
      <c r="I52" s="464"/>
      <c r="J52" s="464"/>
      <c r="K52" s="464"/>
    </row>
    <row r="53" spans="1:11" x14ac:dyDescent="0.3">
      <c r="A53" s="219"/>
      <c r="B53" s="219"/>
      <c r="C53" s="219"/>
      <c r="D53" s="219"/>
      <c r="E53" s="219"/>
      <c r="F53" s="219"/>
      <c r="G53" s="219"/>
      <c r="H53" s="219"/>
      <c r="I53" s="219"/>
      <c r="J53" s="219"/>
      <c r="K53" s="219"/>
    </row>
    <row r="54" spans="1:11" x14ac:dyDescent="0.3">
      <c r="A54" s="465" t="s">
        <v>17971</v>
      </c>
      <c r="B54" s="465"/>
      <c r="C54" s="465"/>
      <c r="D54" s="465"/>
      <c r="E54" s="465"/>
      <c r="F54" s="465"/>
      <c r="G54" s="465"/>
      <c r="H54" s="465"/>
      <c r="I54" s="465"/>
      <c r="J54" s="465"/>
      <c r="K54" s="465"/>
    </row>
    <row r="55" spans="1:11" x14ac:dyDescent="0.3">
      <c r="A55" s="465" t="s">
        <v>17972</v>
      </c>
      <c r="B55" s="465"/>
      <c r="C55" s="465"/>
      <c r="D55" s="465"/>
      <c r="E55" s="465"/>
      <c r="F55" s="465"/>
      <c r="G55" s="465"/>
      <c r="H55" s="465"/>
      <c r="I55" s="465"/>
      <c r="J55" s="465"/>
      <c r="K55" s="465"/>
    </row>
    <row r="56" spans="1:11" x14ac:dyDescent="0.3">
      <c r="A56" s="465" t="s">
        <v>17973</v>
      </c>
      <c r="B56" s="465"/>
      <c r="C56" s="465"/>
      <c r="D56" s="465"/>
      <c r="E56" s="465"/>
      <c r="F56" s="465"/>
      <c r="G56" s="465"/>
      <c r="H56" s="465"/>
      <c r="I56" s="465"/>
      <c r="J56" s="465"/>
      <c r="K56" s="465"/>
    </row>
    <row r="57" spans="1:11" x14ac:dyDescent="0.3">
      <c r="A57" s="465" t="s">
        <v>17974</v>
      </c>
      <c r="B57" s="465"/>
      <c r="C57" s="465"/>
      <c r="D57" s="465"/>
      <c r="E57" s="465"/>
      <c r="F57" s="465"/>
      <c r="G57" s="465"/>
      <c r="H57" s="465"/>
      <c r="I57" s="465"/>
      <c r="J57" s="465"/>
      <c r="K57" s="465"/>
    </row>
    <row r="58" spans="1:11" x14ac:dyDescent="0.3">
      <c r="A58" s="465" t="s">
        <v>17975</v>
      </c>
      <c r="B58" s="465"/>
      <c r="C58" s="465"/>
      <c r="D58" s="465"/>
      <c r="E58" s="465"/>
      <c r="F58" s="465"/>
      <c r="G58" s="465"/>
      <c r="H58" s="465"/>
      <c r="I58" s="465"/>
      <c r="J58" s="465"/>
      <c r="K58" s="465"/>
    </row>
    <row r="59" spans="1:11" x14ac:dyDescent="0.3">
      <c r="A59" s="465" t="s">
        <v>17976</v>
      </c>
      <c r="B59" s="465"/>
      <c r="C59" s="465"/>
      <c r="D59" s="465"/>
      <c r="E59" s="465"/>
      <c r="F59" s="465"/>
      <c r="G59" s="465"/>
      <c r="H59" s="465"/>
      <c r="I59" s="465"/>
      <c r="J59" s="465"/>
      <c r="K59" s="465"/>
    </row>
    <row r="60" spans="1:11" x14ac:dyDescent="0.3">
      <c r="A60" s="465" t="s">
        <v>17977</v>
      </c>
      <c r="B60" s="465"/>
      <c r="C60" s="465"/>
      <c r="D60" s="465"/>
      <c r="E60" s="465"/>
      <c r="F60" s="465"/>
      <c r="G60" s="465"/>
      <c r="H60" s="465"/>
      <c r="I60" s="465"/>
      <c r="J60" s="465"/>
      <c r="K60" s="465"/>
    </row>
    <row r="61" spans="1:11" x14ac:dyDescent="0.3">
      <c r="A61" s="465" t="s">
        <v>17978</v>
      </c>
      <c r="B61" s="465"/>
      <c r="C61" s="465"/>
      <c r="D61" s="465"/>
      <c r="E61" s="465"/>
      <c r="F61" s="465"/>
      <c r="G61" s="465"/>
      <c r="H61" s="465"/>
      <c r="I61" s="465"/>
      <c r="J61" s="465"/>
      <c r="K61" s="465"/>
    </row>
    <row r="62" spans="1:11" x14ac:dyDescent="0.3">
      <c r="A62" s="465" t="s">
        <v>17979</v>
      </c>
      <c r="B62" s="465"/>
      <c r="C62" s="465"/>
      <c r="D62" s="465"/>
      <c r="E62" s="465"/>
      <c r="F62" s="465"/>
      <c r="G62" s="465"/>
      <c r="H62" s="465"/>
      <c r="I62" s="465"/>
      <c r="J62" s="465"/>
      <c r="K62" s="465"/>
    </row>
    <row r="63" spans="1:11" x14ac:dyDescent="0.3">
      <c r="A63" s="465" t="s">
        <v>17980</v>
      </c>
      <c r="B63" s="465"/>
      <c r="C63" s="465"/>
      <c r="D63" s="465"/>
      <c r="E63" s="465"/>
      <c r="F63" s="465"/>
      <c r="G63" s="465"/>
      <c r="H63" s="465"/>
      <c r="I63" s="465"/>
      <c r="J63" s="465"/>
      <c r="K63" s="465"/>
    </row>
    <row r="64" spans="1:11" x14ac:dyDescent="0.3">
      <c r="A64" s="465" t="s">
        <v>17981</v>
      </c>
      <c r="B64" s="465"/>
      <c r="C64" s="465"/>
      <c r="D64" s="465"/>
      <c r="E64" s="465"/>
      <c r="F64" s="465"/>
      <c r="G64" s="465"/>
      <c r="H64" s="465"/>
      <c r="I64" s="465"/>
      <c r="J64" s="465"/>
      <c r="K64" s="465"/>
    </row>
    <row r="65" spans="1:11" x14ac:dyDescent="0.3">
      <c r="A65" s="465" t="s">
        <v>17982</v>
      </c>
      <c r="B65" s="465"/>
      <c r="C65" s="465"/>
      <c r="D65" s="465"/>
      <c r="E65" s="465"/>
      <c r="F65" s="465"/>
      <c r="G65" s="465"/>
      <c r="H65" s="465"/>
      <c r="I65" s="465"/>
      <c r="J65" s="465"/>
      <c r="K65" s="465"/>
    </row>
    <row r="66" spans="1:11" x14ac:dyDescent="0.3">
      <c r="A66" s="465" t="s">
        <v>17983</v>
      </c>
      <c r="B66" s="465"/>
      <c r="C66" s="465"/>
      <c r="D66" s="465"/>
      <c r="E66" s="465"/>
      <c r="F66" s="465"/>
      <c r="G66" s="465"/>
      <c r="H66" s="465"/>
      <c r="I66" s="465"/>
      <c r="J66" s="465"/>
      <c r="K66" s="465"/>
    </row>
    <row r="67" spans="1:11" x14ac:dyDescent="0.3">
      <c r="A67" s="465" t="s">
        <v>17984</v>
      </c>
      <c r="B67" s="465"/>
      <c r="C67" s="465"/>
      <c r="D67" s="465"/>
      <c r="E67" s="465"/>
      <c r="F67" s="465"/>
      <c r="G67" s="465"/>
      <c r="H67" s="465"/>
      <c r="I67" s="465"/>
      <c r="J67" s="465"/>
      <c r="K67" s="465"/>
    </row>
    <row r="68" spans="1:11" x14ac:dyDescent="0.3">
      <c r="A68" s="465" t="s">
        <v>17985</v>
      </c>
      <c r="B68" s="465"/>
      <c r="C68" s="465"/>
      <c r="D68" s="465"/>
      <c r="E68" s="465"/>
      <c r="F68" s="465"/>
      <c r="G68" s="465"/>
      <c r="H68" s="465"/>
      <c r="I68" s="465"/>
      <c r="J68" s="465"/>
      <c r="K68" s="465"/>
    </row>
    <row r="69" spans="1:11" x14ac:dyDescent="0.3">
      <c r="A69" s="465" t="s">
        <v>17986</v>
      </c>
      <c r="B69" s="465"/>
      <c r="C69" s="465"/>
      <c r="D69" s="465"/>
      <c r="E69" s="465"/>
      <c r="F69" s="465"/>
      <c r="G69" s="465"/>
      <c r="H69" s="465"/>
      <c r="I69" s="465"/>
      <c r="J69" s="465"/>
      <c r="K69" s="465"/>
    </row>
    <row r="70" spans="1:11" x14ac:dyDescent="0.3">
      <c r="A70" s="465" t="s">
        <v>17985</v>
      </c>
      <c r="B70" s="465"/>
      <c r="C70" s="465"/>
      <c r="D70" s="465"/>
      <c r="E70" s="465"/>
      <c r="F70" s="465"/>
      <c r="G70" s="465"/>
      <c r="H70" s="465"/>
      <c r="I70" s="465"/>
      <c r="J70" s="465"/>
      <c r="K70" s="465"/>
    </row>
    <row r="71" spans="1:11" x14ac:dyDescent="0.3">
      <c r="A71" s="465" t="s">
        <v>17987</v>
      </c>
      <c r="B71" s="465"/>
      <c r="C71" s="465"/>
      <c r="D71" s="465"/>
      <c r="E71" s="465"/>
      <c r="F71" s="465"/>
      <c r="G71" s="465"/>
      <c r="H71" s="465"/>
      <c r="I71" s="465"/>
      <c r="J71" s="465"/>
      <c r="K71" s="465"/>
    </row>
    <row r="72" spans="1:11" x14ac:dyDescent="0.3">
      <c r="A72" s="465" t="s">
        <v>17988</v>
      </c>
      <c r="B72" s="465"/>
      <c r="C72" s="465"/>
      <c r="D72" s="465"/>
      <c r="E72" s="465"/>
      <c r="F72" s="465"/>
      <c r="G72" s="465"/>
      <c r="H72" s="465"/>
      <c r="I72" s="465"/>
      <c r="J72" s="465"/>
      <c r="K72" s="465"/>
    </row>
    <row r="73" spans="1:11" x14ac:dyDescent="0.3">
      <c r="A73" s="465" t="s">
        <v>17989</v>
      </c>
      <c r="B73" s="465"/>
      <c r="C73" s="465"/>
      <c r="D73" s="465"/>
      <c r="E73" s="465"/>
      <c r="F73" s="465"/>
      <c r="G73" s="465"/>
      <c r="H73" s="465"/>
      <c r="I73" s="465"/>
      <c r="J73" s="465"/>
      <c r="K73" s="465"/>
    </row>
    <row r="74" spans="1:11" x14ac:dyDescent="0.3">
      <c r="A74" s="465" t="s">
        <v>17990</v>
      </c>
      <c r="B74" s="465"/>
      <c r="C74" s="465"/>
      <c r="D74" s="465"/>
      <c r="E74" s="465"/>
      <c r="F74" s="465"/>
      <c r="G74" s="465"/>
      <c r="H74" s="465"/>
      <c r="I74" s="465"/>
      <c r="J74" s="465"/>
      <c r="K74" s="465"/>
    </row>
    <row r="75" spans="1:11" x14ac:dyDescent="0.3">
      <c r="A75" s="465" t="s">
        <v>17991</v>
      </c>
      <c r="B75" s="465"/>
      <c r="C75" s="465"/>
      <c r="D75" s="465"/>
      <c r="E75" s="465"/>
      <c r="F75" s="465"/>
      <c r="G75" s="465"/>
      <c r="H75" s="465"/>
      <c r="I75" s="465"/>
      <c r="J75" s="465"/>
      <c r="K75" s="465"/>
    </row>
    <row r="76" spans="1:11" x14ac:dyDescent="0.3">
      <c r="A76" s="465" t="s">
        <v>17992</v>
      </c>
      <c r="B76" s="465"/>
      <c r="C76" s="465"/>
      <c r="D76" s="465"/>
      <c r="E76" s="465"/>
      <c r="F76" s="465"/>
      <c r="G76" s="465"/>
      <c r="H76" s="465"/>
      <c r="I76" s="465"/>
      <c r="J76" s="465"/>
      <c r="K76" s="465"/>
    </row>
    <row r="77" spans="1:11" x14ac:dyDescent="0.3">
      <c r="A77" s="465" t="s">
        <v>17993</v>
      </c>
      <c r="B77" s="465"/>
      <c r="C77" s="465"/>
      <c r="D77" s="465"/>
      <c r="E77" s="465"/>
      <c r="F77" s="465"/>
      <c r="G77" s="465"/>
      <c r="H77" s="465"/>
      <c r="I77" s="465"/>
      <c r="J77" s="465"/>
      <c r="K77" s="465"/>
    </row>
    <row r="78" spans="1:11" x14ac:dyDescent="0.3">
      <c r="A78" s="465" t="s">
        <v>17994</v>
      </c>
      <c r="B78" s="465"/>
      <c r="C78" s="465"/>
      <c r="D78" s="465"/>
      <c r="E78" s="465"/>
      <c r="F78" s="465"/>
      <c r="G78" s="465"/>
      <c r="H78" s="465"/>
      <c r="I78" s="465"/>
      <c r="J78" s="465"/>
      <c r="K78" s="465"/>
    </row>
    <row r="79" spans="1:11" x14ac:dyDescent="0.3">
      <c r="A79" s="465" t="s">
        <v>17995</v>
      </c>
      <c r="B79" s="465"/>
      <c r="C79" s="465"/>
      <c r="D79" s="465"/>
      <c r="E79" s="465"/>
      <c r="F79" s="465"/>
      <c r="G79" s="465"/>
      <c r="H79" s="465"/>
      <c r="I79" s="465"/>
      <c r="J79" s="465"/>
      <c r="K79" s="465"/>
    </row>
    <row r="80" spans="1:11" x14ac:dyDescent="0.3">
      <c r="A80" s="465" t="s">
        <v>17996</v>
      </c>
      <c r="B80" s="465"/>
      <c r="C80" s="465"/>
      <c r="D80" s="465"/>
      <c r="E80" s="465"/>
      <c r="F80" s="465"/>
      <c r="G80" s="465"/>
      <c r="H80" s="465"/>
      <c r="I80" s="465"/>
      <c r="J80" s="465"/>
      <c r="K80" s="465"/>
    </row>
    <row r="81" spans="1:11" x14ac:dyDescent="0.3">
      <c r="A81" s="465" t="s">
        <v>17997</v>
      </c>
      <c r="B81" s="465"/>
      <c r="C81" s="465"/>
      <c r="D81" s="465"/>
      <c r="E81" s="465"/>
      <c r="F81" s="465"/>
      <c r="G81" s="465"/>
      <c r="H81" s="465"/>
      <c r="I81" s="465"/>
      <c r="J81" s="465"/>
      <c r="K81" s="465"/>
    </row>
    <row r="82" spans="1:11" ht="18" customHeight="1" x14ac:dyDescent="0.3">
      <c r="A82" s="465" t="s">
        <v>17998</v>
      </c>
      <c r="B82" s="465"/>
      <c r="C82" s="465"/>
      <c r="D82" s="465"/>
      <c r="E82" s="465"/>
      <c r="F82" s="465"/>
      <c r="G82" s="465"/>
      <c r="H82" s="465"/>
      <c r="I82" s="465"/>
      <c r="J82" s="465"/>
      <c r="K82" s="465"/>
    </row>
    <row r="83" spans="1:11" x14ac:dyDescent="0.3">
      <c r="A83" s="465" t="s">
        <v>17999</v>
      </c>
      <c r="B83" s="465"/>
      <c r="C83" s="465"/>
      <c r="D83" s="465"/>
      <c r="E83" s="465"/>
      <c r="F83" s="465"/>
      <c r="G83" s="465"/>
      <c r="H83" s="465"/>
      <c r="I83" s="465"/>
      <c r="J83" s="465"/>
      <c r="K83" s="465"/>
    </row>
    <row r="84" spans="1:11" x14ac:dyDescent="0.3">
      <c r="A84" s="466"/>
      <c r="B84" s="219"/>
      <c r="C84" s="219"/>
      <c r="D84" s="219"/>
      <c r="E84" s="219"/>
      <c r="F84" s="219"/>
      <c r="G84" s="219"/>
      <c r="H84" s="219"/>
      <c r="I84" s="219"/>
      <c r="J84" s="219"/>
      <c r="K84" s="219"/>
    </row>
    <row r="85" spans="1:11" x14ac:dyDescent="0.3">
      <c r="A85" s="467" t="s">
        <v>18000</v>
      </c>
      <c r="B85" s="465"/>
      <c r="C85" s="465"/>
      <c r="D85" s="465"/>
      <c r="E85" s="465"/>
      <c r="F85" s="465"/>
      <c r="G85" s="465"/>
      <c r="H85" s="465"/>
      <c r="I85" s="465"/>
      <c r="J85" s="465"/>
      <c r="K85" s="465"/>
    </row>
    <row r="86" spans="1:11" x14ac:dyDescent="0.3">
      <c r="A86" s="467" t="s">
        <v>18001</v>
      </c>
      <c r="B86" s="465"/>
      <c r="C86" s="465"/>
      <c r="D86" s="465"/>
      <c r="E86" s="465"/>
      <c r="F86" s="465"/>
      <c r="G86" s="465"/>
      <c r="H86" s="465"/>
      <c r="I86" s="465"/>
      <c r="J86" s="465"/>
      <c r="K86" s="465"/>
    </row>
    <row r="87" spans="1:11" x14ac:dyDescent="0.3">
      <c r="A87" s="467" t="s">
        <v>18000</v>
      </c>
      <c r="B87" s="465"/>
      <c r="C87" s="465"/>
      <c r="D87" s="465"/>
      <c r="E87" s="465"/>
      <c r="F87" s="465"/>
      <c r="G87" s="465"/>
      <c r="H87" s="465"/>
      <c r="I87" s="465"/>
      <c r="J87" s="465"/>
      <c r="K87" s="465"/>
    </row>
    <row r="88" spans="1:11" x14ac:dyDescent="0.3">
      <c r="A88" s="467" t="s">
        <v>18002</v>
      </c>
      <c r="B88" s="465"/>
      <c r="C88" s="465"/>
      <c r="D88" s="465"/>
      <c r="E88" s="465"/>
      <c r="F88" s="465"/>
      <c r="G88" s="465"/>
      <c r="H88" s="465"/>
      <c r="I88" s="465"/>
      <c r="J88" s="465"/>
      <c r="K88" s="465"/>
    </row>
    <row r="89" spans="1:11" x14ac:dyDescent="0.3">
      <c r="A89" s="467" t="s">
        <v>18003</v>
      </c>
      <c r="B89" s="465"/>
      <c r="C89" s="465"/>
      <c r="D89" s="465"/>
      <c r="E89" s="465"/>
      <c r="F89" s="465"/>
      <c r="G89" s="465"/>
      <c r="H89" s="465"/>
      <c r="I89" s="465"/>
      <c r="J89" s="465"/>
      <c r="K89" s="465"/>
    </row>
    <row r="90" spans="1:11" x14ac:dyDescent="0.3">
      <c r="A90" s="467" t="s">
        <v>18004</v>
      </c>
      <c r="B90" s="465"/>
      <c r="C90" s="465"/>
      <c r="D90" s="465"/>
      <c r="E90" s="465"/>
      <c r="F90" s="465"/>
      <c r="G90" s="465"/>
      <c r="H90" s="465"/>
      <c r="I90" s="465"/>
      <c r="J90" s="465"/>
      <c r="K90" s="465"/>
    </row>
    <row r="91" spans="1:11" x14ac:dyDescent="0.3">
      <c r="A91" s="467" t="s">
        <v>18000</v>
      </c>
      <c r="B91" s="465"/>
      <c r="C91" s="465"/>
      <c r="D91" s="465"/>
      <c r="E91" s="465"/>
      <c r="F91" s="465"/>
      <c r="G91" s="465"/>
      <c r="H91" s="465"/>
      <c r="I91" s="465"/>
      <c r="J91" s="465"/>
      <c r="K91" s="465"/>
    </row>
    <row r="94" spans="1:11" ht="18" x14ac:dyDescent="0.35">
      <c r="A94" s="468" t="s">
        <v>18005</v>
      </c>
      <c r="B94" s="468"/>
      <c r="C94" s="468"/>
      <c r="D94" s="468"/>
      <c r="E94" s="468"/>
      <c r="F94" s="468"/>
    </row>
    <row r="95" spans="1:11" x14ac:dyDescent="0.3">
      <c r="A95" s="469" t="s">
        <v>1140</v>
      </c>
      <c r="B95" s="469" t="s">
        <v>2</v>
      </c>
      <c r="C95" s="469" t="s">
        <v>14795</v>
      </c>
      <c r="D95" s="469" t="s">
        <v>18006</v>
      </c>
      <c r="E95" s="469" t="s">
        <v>1141</v>
      </c>
      <c r="F95" s="469" t="s">
        <v>18007</v>
      </c>
    </row>
    <row r="96" spans="1:11" x14ac:dyDescent="0.3">
      <c r="A96" s="224" t="s">
        <v>16112</v>
      </c>
      <c r="B96" s="224" t="s">
        <v>15441</v>
      </c>
      <c r="C96" s="224" t="s">
        <v>18008</v>
      </c>
      <c r="D96" s="224" t="s">
        <v>18009</v>
      </c>
      <c r="E96" s="224" t="s">
        <v>18010</v>
      </c>
      <c r="F96" s="224" t="s">
        <v>14931</v>
      </c>
    </row>
    <row r="97" spans="1:7" x14ac:dyDescent="0.3">
      <c r="A97" s="224" t="s">
        <v>16278</v>
      </c>
      <c r="B97" s="224" t="s">
        <v>15441</v>
      </c>
      <c r="C97" s="224" t="s">
        <v>1158</v>
      </c>
      <c r="D97" s="224" t="s">
        <v>14618</v>
      </c>
      <c r="E97" s="224" t="s">
        <v>18011</v>
      </c>
      <c r="F97" s="224" t="s">
        <v>1125</v>
      </c>
    </row>
    <row r="98" spans="1:7" x14ac:dyDescent="0.3">
      <c r="A98" s="224" t="s">
        <v>16113</v>
      </c>
      <c r="B98" s="224" t="s">
        <v>1081</v>
      </c>
      <c r="C98" s="224" t="s">
        <v>18012</v>
      </c>
      <c r="D98" s="224" t="s">
        <v>18013</v>
      </c>
      <c r="E98" s="224" t="s">
        <v>18014</v>
      </c>
      <c r="F98" s="224" t="s">
        <v>14931</v>
      </c>
    </row>
    <row r="99" spans="1:7" x14ac:dyDescent="0.3">
      <c r="A99" s="224" t="s">
        <v>16131</v>
      </c>
      <c r="B99" s="224" t="s">
        <v>15441</v>
      </c>
      <c r="C99" s="224" t="s">
        <v>18015</v>
      </c>
      <c r="D99" s="224" t="s">
        <v>18016</v>
      </c>
      <c r="E99" s="224" t="s">
        <v>18011</v>
      </c>
      <c r="F99" s="224" t="s">
        <v>14931</v>
      </c>
    </row>
    <row r="100" spans="1:7" x14ac:dyDescent="0.3">
      <c r="A100" s="224" t="s">
        <v>16132</v>
      </c>
      <c r="B100" s="224" t="s">
        <v>1081</v>
      </c>
      <c r="C100" s="224" t="s">
        <v>14789</v>
      </c>
      <c r="D100" s="224" t="s">
        <v>1196</v>
      </c>
      <c r="E100" s="224" t="s">
        <v>18010</v>
      </c>
      <c r="F100" s="224" t="s">
        <v>14931</v>
      </c>
    </row>
    <row r="101" spans="1:7" x14ac:dyDescent="0.3">
      <c r="A101" s="224" t="s">
        <v>16183</v>
      </c>
      <c r="B101" s="224" t="s">
        <v>15441</v>
      </c>
      <c r="C101" s="224" t="s">
        <v>18017</v>
      </c>
      <c r="D101" s="224" t="s">
        <v>14618</v>
      </c>
      <c r="E101" s="224" t="s">
        <v>18018</v>
      </c>
      <c r="F101" s="224" t="s">
        <v>1125</v>
      </c>
    </row>
    <row r="102" spans="1:7" x14ac:dyDescent="0.3">
      <c r="A102" s="224" t="s">
        <v>16155</v>
      </c>
      <c r="B102" s="224" t="s">
        <v>1081</v>
      </c>
      <c r="C102" s="224" t="s">
        <v>18019</v>
      </c>
      <c r="D102" s="224" t="s">
        <v>14618</v>
      </c>
      <c r="E102" s="224" t="s">
        <v>18011</v>
      </c>
      <c r="F102" s="224" t="s">
        <v>1125</v>
      </c>
    </row>
    <row r="103" spans="1:7" x14ac:dyDescent="0.3">
      <c r="A103" s="224" t="s">
        <v>16263</v>
      </c>
      <c r="B103" s="224" t="s">
        <v>15441</v>
      </c>
      <c r="C103" s="224" t="s">
        <v>18020</v>
      </c>
      <c r="D103" s="224" t="s">
        <v>1196</v>
      </c>
      <c r="E103" s="224" t="s">
        <v>18010</v>
      </c>
      <c r="F103" s="224" t="s">
        <v>14931</v>
      </c>
    </row>
    <row r="104" spans="1:7" x14ac:dyDescent="0.3">
      <c r="A104" s="224" t="s">
        <v>16119</v>
      </c>
      <c r="B104" s="224" t="s">
        <v>15441</v>
      </c>
      <c r="C104" s="224" t="s">
        <v>18021</v>
      </c>
      <c r="D104" s="224" t="s">
        <v>14618</v>
      </c>
      <c r="E104" s="224" t="s">
        <v>18018</v>
      </c>
      <c r="F104" s="224" t="s">
        <v>1125</v>
      </c>
    </row>
    <row r="105" spans="1:7" x14ac:dyDescent="0.3">
      <c r="A105" s="224" t="s">
        <v>16144</v>
      </c>
      <c r="B105" s="224" t="s">
        <v>15441</v>
      </c>
      <c r="C105" s="224" t="s">
        <v>18022</v>
      </c>
      <c r="D105" s="224" t="s">
        <v>18023</v>
      </c>
      <c r="E105" s="224" t="s">
        <v>18010</v>
      </c>
      <c r="F105" s="224" t="s">
        <v>1125</v>
      </c>
    </row>
    <row r="106" spans="1:7" x14ac:dyDescent="0.3">
      <c r="A106" s="224" t="s">
        <v>16136</v>
      </c>
      <c r="B106" s="224" t="s">
        <v>15441</v>
      </c>
      <c r="C106" s="224" t="s">
        <v>18024</v>
      </c>
      <c r="D106" s="224" t="s">
        <v>14618</v>
      </c>
      <c r="E106" s="224" t="s">
        <v>18011</v>
      </c>
      <c r="F106" s="224" t="s">
        <v>14689</v>
      </c>
    </row>
    <row r="107" spans="1:7" x14ac:dyDescent="0.3">
      <c r="A107" s="224" t="s">
        <v>18025</v>
      </c>
      <c r="B107" s="224" t="s">
        <v>1427</v>
      </c>
      <c r="C107" s="224" t="s">
        <v>18026</v>
      </c>
      <c r="D107" s="224" t="s">
        <v>18027</v>
      </c>
      <c r="E107" s="224" t="s">
        <v>18028</v>
      </c>
      <c r="F107" s="224" t="s">
        <v>14927</v>
      </c>
    </row>
    <row r="110" spans="1:7" ht="18" x14ac:dyDescent="0.35">
      <c r="A110" s="470" t="s">
        <v>18029</v>
      </c>
      <c r="B110" s="470"/>
      <c r="C110" s="470"/>
      <c r="D110" s="470"/>
      <c r="E110" s="470"/>
      <c r="F110" s="470"/>
      <c r="G110" s="470"/>
    </row>
    <row r="111" spans="1:7" x14ac:dyDescent="0.3">
      <c r="A111" s="471" t="s">
        <v>18030</v>
      </c>
      <c r="B111" s="471" t="s">
        <v>18031</v>
      </c>
      <c r="C111" s="471" t="s">
        <v>18032</v>
      </c>
      <c r="D111" s="471" t="s">
        <v>18033</v>
      </c>
      <c r="E111" s="471" t="s">
        <v>18034</v>
      </c>
      <c r="F111" s="471" t="s">
        <v>18035</v>
      </c>
      <c r="G111" s="471" t="s">
        <v>1245</v>
      </c>
    </row>
    <row r="112" spans="1:7" x14ac:dyDescent="0.3">
      <c r="A112" s="224" t="s">
        <v>18036</v>
      </c>
      <c r="B112" s="224" t="s">
        <v>18037</v>
      </c>
      <c r="C112" s="224" t="s">
        <v>18038</v>
      </c>
      <c r="D112" s="224" t="s">
        <v>18039</v>
      </c>
      <c r="E112" s="224" t="s">
        <v>18040</v>
      </c>
      <c r="F112" s="224" t="s">
        <v>18041</v>
      </c>
      <c r="G112" s="224" t="s">
        <v>18042</v>
      </c>
    </row>
    <row r="113" spans="1:7" x14ac:dyDescent="0.3">
      <c r="A113" s="224" t="s">
        <v>18043</v>
      </c>
      <c r="B113" s="224" t="s">
        <v>18044</v>
      </c>
      <c r="C113" s="224" t="s">
        <v>18045</v>
      </c>
      <c r="D113" s="224" t="s">
        <v>18046</v>
      </c>
      <c r="E113" s="224" t="s">
        <v>18047</v>
      </c>
      <c r="F113" s="224" t="s">
        <v>18048</v>
      </c>
      <c r="G113" s="224" t="s">
        <v>18049</v>
      </c>
    </row>
    <row r="114" spans="1:7" x14ac:dyDescent="0.3">
      <c r="A114" s="224" t="s">
        <v>18050</v>
      </c>
      <c r="B114" s="224" t="s">
        <v>18051</v>
      </c>
      <c r="C114" s="224" t="s">
        <v>18052</v>
      </c>
      <c r="D114" s="224" t="s">
        <v>18053</v>
      </c>
      <c r="E114" s="224" t="s">
        <v>18054</v>
      </c>
      <c r="F114" s="224" t="s">
        <v>18055</v>
      </c>
      <c r="G114" s="224" t="s">
        <v>18056</v>
      </c>
    </row>
    <row r="115" spans="1:7" x14ac:dyDescent="0.3">
      <c r="A115" s="224" t="s">
        <v>18057</v>
      </c>
      <c r="B115" s="224" t="s">
        <v>18058</v>
      </c>
      <c r="C115" s="224" t="s">
        <v>18059</v>
      </c>
      <c r="D115" s="224" t="s">
        <v>18060</v>
      </c>
      <c r="E115" s="224" t="s">
        <v>18061</v>
      </c>
      <c r="F115" s="224" t="s">
        <v>18062</v>
      </c>
      <c r="G115" s="224" t="s">
        <v>18063</v>
      </c>
    </row>
    <row r="116" spans="1:7" x14ac:dyDescent="0.3">
      <c r="A116" s="224" t="s">
        <v>18064</v>
      </c>
      <c r="B116" s="224" t="s">
        <v>18065</v>
      </c>
      <c r="C116" s="224" t="s">
        <v>18066</v>
      </c>
      <c r="D116" s="224" t="s">
        <v>18067</v>
      </c>
      <c r="E116" s="224" t="s">
        <v>18068</v>
      </c>
      <c r="F116" s="224" t="s">
        <v>18069</v>
      </c>
      <c r="G116" s="224" t="s">
        <v>18070</v>
      </c>
    </row>
    <row r="117" spans="1:7" x14ac:dyDescent="0.3">
      <c r="A117" s="224" t="s">
        <v>18071</v>
      </c>
      <c r="B117" s="224" t="s">
        <v>17933</v>
      </c>
      <c r="C117" s="224" t="s">
        <v>18072</v>
      </c>
      <c r="D117" s="224" t="s">
        <v>18073</v>
      </c>
      <c r="E117" s="224" t="s">
        <v>18074</v>
      </c>
      <c r="F117" s="224" t="s">
        <v>18075</v>
      </c>
      <c r="G117" s="224" t="s">
        <v>18076</v>
      </c>
    </row>
    <row r="118" spans="1:7" x14ac:dyDescent="0.3">
      <c r="A118" s="224" t="s">
        <v>18077</v>
      </c>
      <c r="B118" s="224" t="s">
        <v>18078</v>
      </c>
      <c r="C118" s="224" t="s">
        <v>18079</v>
      </c>
      <c r="D118" s="224" t="s">
        <v>18080</v>
      </c>
      <c r="E118" s="224" t="s">
        <v>18081</v>
      </c>
      <c r="F118" s="224" t="s">
        <v>18082</v>
      </c>
      <c r="G118" s="224" t="s">
        <v>18083</v>
      </c>
    </row>
    <row r="119" spans="1:7" x14ac:dyDescent="0.3">
      <c r="A119" s="224" t="s">
        <v>18084</v>
      </c>
      <c r="B119" s="224" t="s">
        <v>18085</v>
      </c>
      <c r="C119" s="224" t="s">
        <v>18086</v>
      </c>
      <c r="D119" s="224" t="s">
        <v>18087</v>
      </c>
      <c r="E119" s="224" t="s">
        <v>18088</v>
      </c>
      <c r="F119" s="224" t="s">
        <v>18089</v>
      </c>
      <c r="G119" s="224" t="s">
        <v>18090</v>
      </c>
    </row>
    <row r="122" spans="1:7" ht="15.6" x14ac:dyDescent="0.3">
      <c r="A122" s="472" t="s">
        <v>18091</v>
      </c>
    </row>
    <row r="123" spans="1:7" x14ac:dyDescent="0.3">
      <c r="A123" s="272" t="s">
        <v>18092</v>
      </c>
    </row>
    <row r="124" spans="1:7" x14ac:dyDescent="0.3">
      <c r="A124" s="272" t="s">
        <v>18093</v>
      </c>
    </row>
    <row r="125" spans="1:7" x14ac:dyDescent="0.3">
      <c r="A125" s="272" t="s">
        <v>18094</v>
      </c>
    </row>
    <row r="126" spans="1:7" x14ac:dyDescent="0.3">
      <c r="A126" s="272" t="s">
        <v>18095</v>
      </c>
    </row>
    <row r="127" spans="1:7" x14ac:dyDescent="0.3">
      <c r="A127" s="272" t="s">
        <v>18096</v>
      </c>
    </row>
    <row r="128" spans="1:7" x14ac:dyDescent="0.3">
      <c r="A128" s="272" t="s">
        <v>18097</v>
      </c>
    </row>
    <row r="131" spans="1:11" ht="15.6" x14ac:dyDescent="0.3">
      <c r="A131" s="378" t="s">
        <v>18098</v>
      </c>
      <c r="B131" s="378"/>
      <c r="C131" s="378"/>
      <c r="D131" s="378"/>
      <c r="E131" s="378"/>
      <c r="F131" s="378"/>
      <c r="G131" s="378"/>
      <c r="H131" s="378"/>
      <c r="I131" s="378"/>
      <c r="J131" s="378"/>
      <c r="K131" s="378"/>
    </row>
    <row r="132" spans="1:11" x14ac:dyDescent="0.3">
      <c r="A132" s="379"/>
      <c r="B132" s="379"/>
      <c r="C132" s="379"/>
      <c r="D132" s="379"/>
      <c r="E132" s="379"/>
      <c r="F132" s="379"/>
      <c r="G132" s="379"/>
      <c r="H132" s="379"/>
      <c r="I132" s="379"/>
      <c r="J132" s="379"/>
      <c r="K132" s="379"/>
    </row>
    <row r="133" spans="1:11" x14ac:dyDescent="0.3">
      <c r="A133" s="379" t="s">
        <v>18099</v>
      </c>
      <c r="B133" s="379"/>
      <c r="C133" s="379"/>
      <c r="D133" s="379"/>
      <c r="E133" s="379"/>
      <c r="F133" s="379"/>
      <c r="G133" s="379"/>
      <c r="H133" s="379"/>
      <c r="I133" s="379"/>
      <c r="J133" s="379"/>
      <c r="K133" s="379"/>
    </row>
    <row r="134" spans="1:11" x14ac:dyDescent="0.3">
      <c r="A134" s="379"/>
      <c r="B134" s="379"/>
      <c r="C134" s="379"/>
      <c r="D134" s="379"/>
      <c r="E134" s="379"/>
      <c r="F134" s="379"/>
      <c r="G134" s="379"/>
      <c r="H134" s="379"/>
      <c r="I134" s="379"/>
      <c r="J134" s="379"/>
      <c r="K134" s="379"/>
    </row>
    <row r="135" spans="1:11" x14ac:dyDescent="0.3">
      <c r="A135" s="379" t="s">
        <v>18100</v>
      </c>
      <c r="B135" s="379"/>
      <c r="C135" s="379"/>
      <c r="D135" s="379"/>
      <c r="E135" s="379"/>
      <c r="F135" s="379"/>
      <c r="G135" s="379"/>
      <c r="H135" s="379"/>
      <c r="I135" s="379"/>
      <c r="J135" s="379"/>
      <c r="K135" s="379"/>
    </row>
    <row r="136" spans="1:11" x14ac:dyDescent="0.3">
      <c r="A136" s="379"/>
      <c r="B136" s="379"/>
      <c r="C136" s="379"/>
      <c r="D136" s="379"/>
      <c r="E136" s="379"/>
      <c r="F136" s="379"/>
      <c r="G136" s="379"/>
      <c r="H136" s="379"/>
      <c r="I136" s="379"/>
      <c r="J136" s="379"/>
      <c r="K136" s="379"/>
    </row>
    <row r="137" spans="1:11" x14ac:dyDescent="0.3">
      <c r="A137" s="379" t="s">
        <v>18101</v>
      </c>
      <c r="B137" s="379"/>
      <c r="C137" s="379"/>
      <c r="D137" s="379"/>
      <c r="E137" s="379"/>
      <c r="F137" s="379"/>
      <c r="G137" s="379"/>
      <c r="H137" s="379"/>
      <c r="I137" s="379"/>
      <c r="J137" s="379"/>
      <c r="K137" s="379"/>
    </row>
    <row r="138" spans="1:11" x14ac:dyDescent="0.3">
      <c r="A138" s="379"/>
      <c r="B138" s="379"/>
      <c r="C138" s="379"/>
      <c r="D138" s="379"/>
      <c r="E138" s="379"/>
      <c r="F138" s="379"/>
      <c r="G138" s="379"/>
      <c r="H138" s="379"/>
      <c r="I138" s="379"/>
      <c r="J138" s="379"/>
      <c r="K138" s="379"/>
    </row>
    <row r="139" spans="1:11" x14ac:dyDescent="0.3">
      <c r="A139" s="379" t="s">
        <v>17502</v>
      </c>
      <c r="B139" s="379"/>
      <c r="C139" s="379"/>
      <c r="D139" s="379"/>
      <c r="E139" s="379"/>
      <c r="F139" s="379"/>
      <c r="G139" s="379"/>
      <c r="H139" s="379"/>
      <c r="I139" s="379"/>
      <c r="J139" s="379"/>
      <c r="K139" s="379"/>
    </row>
    <row r="141" spans="1:11" ht="18" x14ac:dyDescent="0.35">
      <c r="A141" s="358" t="s">
        <v>18102</v>
      </c>
      <c r="B141" s="358"/>
      <c r="C141" s="358"/>
      <c r="D141" s="358"/>
      <c r="E141" s="358"/>
      <c r="F141" s="358"/>
      <c r="G141" s="358"/>
      <c r="H141" s="358"/>
      <c r="I141" s="358"/>
      <c r="J141" s="358"/>
      <c r="K141" s="358"/>
    </row>
    <row r="143" spans="1:11" ht="15.6" x14ac:dyDescent="0.3">
      <c r="A143" s="380" t="s">
        <v>18103</v>
      </c>
      <c r="B143" s="381"/>
      <c r="C143" s="381"/>
      <c r="D143" s="381"/>
      <c r="E143" s="381"/>
      <c r="F143" s="381"/>
      <c r="G143" s="381"/>
      <c r="H143" s="381"/>
      <c r="I143" s="381"/>
      <c r="J143" s="381"/>
      <c r="K143" s="381"/>
    </row>
    <row r="144" spans="1:11" x14ac:dyDescent="0.3">
      <c r="A144" s="381" t="s">
        <v>18104</v>
      </c>
      <c r="B144" s="381"/>
      <c r="C144" s="381"/>
      <c r="D144" s="381"/>
      <c r="E144" s="381"/>
      <c r="F144" s="381"/>
      <c r="G144" s="381"/>
      <c r="H144" s="381"/>
      <c r="I144" s="381"/>
      <c r="J144" s="381"/>
      <c r="K144" s="381"/>
    </row>
    <row r="145" spans="1:11" x14ac:dyDescent="0.3">
      <c r="A145" s="381" t="s">
        <v>18105</v>
      </c>
      <c r="B145" s="381"/>
      <c r="C145" s="381"/>
      <c r="D145" s="381"/>
      <c r="E145" s="381"/>
      <c r="F145" s="381"/>
      <c r="G145" s="381"/>
      <c r="H145" s="381"/>
      <c r="I145" s="381"/>
      <c r="J145" s="381"/>
      <c r="K145" s="381"/>
    </row>
    <row r="146" spans="1:11" x14ac:dyDescent="0.3">
      <c r="A146" s="381"/>
      <c r="B146" s="381"/>
      <c r="C146" s="381"/>
      <c r="D146" s="381"/>
      <c r="E146" s="381"/>
      <c r="F146" s="381"/>
      <c r="G146" s="381"/>
      <c r="H146" s="381"/>
      <c r="I146" s="381"/>
      <c r="J146" s="381"/>
      <c r="K146" s="381"/>
    </row>
    <row r="147" spans="1:11" x14ac:dyDescent="0.3">
      <c r="A147" s="381" t="s">
        <v>18106</v>
      </c>
      <c r="B147" s="381"/>
      <c r="C147" s="381"/>
      <c r="D147" s="381"/>
      <c r="E147" s="381"/>
      <c r="F147" s="381"/>
      <c r="G147" s="381"/>
      <c r="H147" s="381"/>
      <c r="I147" s="381"/>
      <c r="J147" s="381"/>
      <c r="K147" s="381"/>
    </row>
    <row r="148" spans="1:11" x14ac:dyDescent="0.3">
      <c r="A148" s="381" t="s">
        <v>18107</v>
      </c>
      <c r="B148" s="381"/>
      <c r="C148" s="381"/>
      <c r="D148" s="381"/>
      <c r="E148" s="381"/>
      <c r="F148" s="381"/>
      <c r="G148" s="381"/>
      <c r="H148" s="381"/>
      <c r="I148" s="381"/>
      <c r="J148" s="381"/>
      <c r="K148" s="381"/>
    </row>
    <row r="149" spans="1:11" x14ac:dyDescent="0.3">
      <c r="A149" s="381" t="s">
        <v>18108</v>
      </c>
      <c r="B149" s="381"/>
      <c r="C149" s="381"/>
      <c r="D149" s="381"/>
      <c r="E149" s="381"/>
      <c r="F149" s="381"/>
      <c r="G149" s="381"/>
      <c r="H149" s="381"/>
      <c r="I149" s="381"/>
      <c r="J149" s="381"/>
      <c r="K149" s="381"/>
    </row>
    <row r="150" spans="1:11" x14ac:dyDescent="0.3">
      <c r="A150" s="381" t="s">
        <v>18109</v>
      </c>
      <c r="B150" s="381"/>
      <c r="C150" s="381"/>
      <c r="D150" s="381"/>
      <c r="E150" s="381"/>
      <c r="F150" s="381"/>
      <c r="G150" s="381"/>
      <c r="H150" s="381"/>
      <c r="I150" s="381"/>
      <c r="J150" s="381"/>
      <c r="K150" s="381"/>
    </row>
    <row r="151" spans="1:11" x14ac:dyDescent="0.3">
      <c r="A151" s="381" t="s">
        <v>18110</v>
      </c>
      <c r="B151" s="381"/>
      <c r="C151" s="381"/>
      <c r="D151" s="381"/>
      <c r="E151" s="381"/>
      <c r="F151" s="381"/>
      <c r="G151" s="381"/>
      <c r="H151" s="381"/>
      <c r="I151" s="381"/>
      <c r="J151" s="381"/>
      <c r="K151" s="381"/>
    </row>
    <row r="152" spans="1:11" x14ac:dyDescent="0.3">
      <c r="A152" s="381"/>
      <c r="B152" s="381"/>
      <c r="C152" s="381"/>
      <c r="D152" s="381"/>
      <c r="E152" s="381"/>
      <c r="F152" s="381"/>
      <c r="G152" s="381"/>
      <c r="H152" s="381"/>
      <c r="I152" s="381"/>
      <c r="J152" s="381"/>
      <c r="K152" s="381"/>
    </row>
    <row r="153" spans="1:11" ht="15.6" x14ac:dyDescent="0.3">
      <c r="A153" s="380" t="s">
        <v>18111</v>
      </c>
      <c r="B153" s="381"/>
      <c r="C153" s="381"/>
      <c r="D153" s="381"/>
      <c r="E153" s="381"/>
      <c r="F153" s="381"/>
      <c r="G153" s="381"/>
      <c r="H153" s="381"/>
      <c r="I153" s="381"/>
      <c r="J153" s="381"/>
      <c r="K153" s="381"/>
    </row>
    <row r="154" spans="1:11" x14ac:dyDescent="0.3">
      <c r="A154" s="381"/>
      <c r="B154" s="381"/>
      <c r="C154" s="381"/>
      <c r="D154" s="381"/>
      <c r="E154" s="381"/>
      <c r="F154" s="381"/>
      <c r="G154" s="381"/>
      <c r="H154" s="381"/>
      <c r="I154" s="381"/>
      <c r="J154" s="381"/>
      <c r="K154" s="381"/>
    </row>
    <row r="155" spans="1:11" x14ac:dyDescent="0.3">
      <c r="A155" s="382" t="s">
        <v>18112</v>
      </c>
      <c r="B155" s="381"/>
      <c r="C155" s="381"/>
      <c r="D155" s="381"/>
      <c r="E155" s="381"/>
      <c r="F155" s="381"/>
      <c r="G155" s="381"/>
      <c r="H155" s="381"/>
      <c r="I155" s="381"/>
      <c r="J155" s="381"/>
      <c r="K155" s="381"/>
    </row>
    <row r="156" spans="1:11" x14ac:dyDescent="0.3">
      <c r="A156" s="381" t="s">
        <v>18113</v>
      </c>
      <c r="B156" s="381"/>
      <c r="C156" s="381"/>
      <c r="D156" s="381"/>
      <c r="E156" s="381"/>
      <c r="F156" s="381"/>
      <c r="G156" s="381"/>
      <c r="H156" s="381"/>
      <c r="I156" s="381"/>
      <c r="J156" s="381"/>
      <c r="K156" s="381"/>
    </row>
    <row r="157" spans="1:11" x14ac:dyDescent="0.3">
      <c r="A157" s="381" t="s">
        <v>18114</v>
      </c>
      <c r="B157" s="381"/>
      <c r="C157" s="381"/>
      <c r="D157" s="381"/>
      <c r="E157" s="381"/>
      <c r="F157" s="381"/>
      <c r="G157" s="381"/>
      <c r="H157" s="381"/>
      <c r="I157" s="381"/>
      <c r="J157" s="381"/>
      <c r="K157" s="381"/>
    </row>
    <row r="158" spans="1:11" x14ac:dyDescent="0.3">
      <c r="A158" s="381" t="s">
        <v>18115</v>
      </c>
      <c r="B158" s="381"/>
      <c r="C158" s="381"/>
      <c r="D158" s="381"/>
      <c r="E158" s="381"/>
      <c r="F158" s="381"/>
      <c r="G158" s="381"/>
      <c r="H158" s="381"/>
      <c r="I158" s="381"/>
      <c r="J158" s="381"/>
      <c r="K158" s="381"/>
    </row>
    <row r="159" spans="1:11" x14ac:dyDescent="0.3">
      <c r="A159" s="381" t="s">
        <v>18116</v>
      </c>
      <c r="B159" s="381"/>
      <c r="C159" s="381"/>
      <c r="D159" s="381"/>
      <c r="E159" s="381"/>
      <c r="F159" s="381"/>
      <c r="G159" s="381"/>
      <c r="H159" s="381"/>
      <c r="I159" s="381"/>
      <c r="J159" s="381"/>
      <c r="K159" s="381"/>
    </row>
    <row r="160" spans="1:11" x14ac:dyDescent="0.3">
      <c r="A160" s="381" t="s">
        <v>18117</v>
      </c>
      <c r="B160" s="381"/>
      <c r="C160" s="381"/>
      <c r="D160" s="381"/>
      <c r="E160" s="381"/>
      <c r="F160" s="381"/>
      <c r="G160" s="381"/>
      <c r="H160" s="381"/>
      <c r="I160" s="381"/>
      <c r="J160" s="381"/>
      <c r="K160" s="381"/>
    </row>
    <row r="161" spans="1:11" x14ac:dyDescent="0.3">
      <c r="A161" s="381" t="s">
        <v>18118</v>
      </c>
      <c r="B161" s="381"/>
      <c r="C161" s="381"/>
      <c r="D161" s="381"/>
      <c r="E161" s="381"/>
      <c r="F161" s="381"/>
      <c r="G161" s="381"/>
      <c r="H161" s="381"/>
      <c r="I161" s="381"/>
      <c r="J161" s="381"/>
      <c r="K161" s="381"/>
    </row>
    <row r="162" spans="1:11" x14ac:dyDescent="0.3">
      <c r="A162" s="381" t="s">
        <v>18119</v>
      </c>
      <c r="B162" s="381"/>
      <c r="C162" s="381"/>
      <c r="D162" s="381"/>
      <c r="E162" s="381"/>
      <c r="F162" s="381"/>
      <c r="G162" s="381"/>
      <c r="H162" s="381"/>
      <c r="I162" s="381"/>
      <c r="J162" s="381"/>
      <c r="K162" s="381"/>
    </row>
    <row r="163" spans="1:11" x14ac:dyDescent="0.3">
      <c r="A163" s="381" t="s">
        <v>18120</v>
      </c>
      <c r="B163" s="381"/>
      <c r="C163" s="381"/>
      <c r="D163" s="381"/>
      <c r="E163" s="381"/>
      <c r="F163" s="381"/>
      <c r="G163" s="381"/>
      <c r="H163" s="381"/>
      <c r="I163" s="381"/>
      <c r="J163" s="381"/>
      <c r="K163" s="381"/>
    </row>
    <row r="164" spans="1:11" x14ac:dyDescent="0.3">
      <c r="A164" s="381" t="s">
        <v>18121</v>
      </c>
      <c r="B164" s="381"/>
      <c r="C164" s="381"/>
      <c r="D164" s="381"/>
      <c r="E164" s="381"/>
      <c r="F164" s="381"/>
      <c r="G164" s="381"/>
      <c r="H164" s="381"/>
      <c r="I164" s="381"/>
      <c r="J164" s="381"/>
      <c r="K164" s="381"/>
    </row>
    <row r="165" spans="1:11" x14ac:dyDescent="0.3">
      <c r="A165" s="381" t="s">
        <v>18122</v>
      </c>
      <c r="B165" s="381"/>
      <c r="C165" s="381"/>
      <c r="D165" s="381"/>
      <c r="E165" s="381"/>
      <c r="F165" s="381"/>
      <c r="G165" s="381"/>
      <c r="H165" s="381"/>
      <c r="I165" s="381"/>
      <c r="J165" s="381"/>
      <c r="K165" s="381"/>
    </row>
    <row r="166" spans="1:11" x14ac:dyDescent="0.3">
      <c r="A166" s="381"/>
      <c r="B166" s="381"/>
      <c r="C166" s="381"/>
      <c r="D166" s="381"/>
      <c r="E166" s="381"/>
      <c r="F166" s="381"/>
      <c r="G166" s="381"/>
      <c r="H166" s="381"/>
      <c r="I166" s="381"/>
      <c r="J166" s="381"/>
      <c r="K166" s="381"/>
    </row>
    <row r="167" spans="1:11" ht="15.6" x14ac:dyDescent="0.3">
      <c r="A167" s="380" t="s">
        <v>18123</v>
      </c>
      <c r="B167" s="381"/>
      <c r="C167" s="381"/>
      <c r="D167" s="381"/>
      <c r="E167" s="381"/>
      <c r="F167" s="381"/>
      <c r="G167" s="381"/>
      <c r="H167" s="381"/>
      <c r="I167" s="381"/>
      <c r="J167" s="381"/>
      <c r="K167" s="381"/>
    </row>
    <row r="168" spans="1:11" x14ac:dyDescent="0.3">
      <c r="A168" s="381"/>
      <c r="B168" s="381"/>
      <c r="C168" s="381"/>
      <c r="D168" s="381"/>
      <c r="E168" s="381"/>
      <c r="F168" s="381"/>
      <c r="G168" s="381"/>
      <c r="H168" s="381"/>
      <c r="I168" s="381"/>
      <c r="J168" s="381"/>
      <c r="K168" s="381"/>
    </row>
    <row r="169" spans="1:11" x14ac:dyDescent="0.3">
      <c r="A169" s="381" t="s">
        <v>18124</v>
      </c>
      <c r="B169" s="381"/>
      <c r="C169" s="381"/>
      <c r="D169" s="381"/>
      <c r="E169" s="381"/>
      <c r="F169" s="381"/>
      <c r="G169" s="381"/>
      <c r="H169" s="381"/>
      <c r="I169" s="381"/>
      <c r="J169" s="381"/>
      <c r="K169" s="381"/>
    </row>
    <row r="170" spans="1:11" x14ac:dyDescent="0.3">
      <c r="A170" s="381" t="s">
        <v>18125</v>
      </c>
      <c r="B170" s="381"/>
      <c r="C170" s="381"/>
      <c r="D170" s="381"/>
      <c r="E170" s="381"/>
      <c r="F170" s="381"/>
      <c r="G170" s="381"/>
      <c r="H170" s="381"/>
      <c r="I170" s="381"/>
      <c r="J170" s="381"/>
      <c r="K170" s="381"/>
    </row>
    <row r="171" spans="1:11" x14ac:dyDescent="0.3">
      <c r="A171" s="381" t="s">
        <v>18126</v>
      </c>
      <c r="B171" s="381"/>
      <c r="C171" s="381"/>
      <c r="D171" s="381"/>
      <c r="E171" s="381"/>
      <c r="F171" s="381"/>
      <c r="G171" s="381"/>
      <c r="H171" s="381"/>
      <c r="I171" s="381"/>
      <c r="J171" s="381"/>
      <c r="K171" s="381"/>
    </row>
    <row r="172" spans="1:11" x14ac:dyDescent="0.3">
      <c r="A172" s="381" t="s">
        <v>18127</v>
      </c>
      <c r="B172" s="381"/>
      <c r="C172" s="381"/>
      <c r="D172" s="381"/>
      <c r="E172" s="381"/>
      <c r="F172" s="381"/>
      <c r="G172" s="381"/>
      <c r="H172" s="381"/>
      <c r="I172" s="381"/>
      <c r="J172" s="381"/>
      <c r="K172" s="381"/>
    </row>
    <row r="173" spans="1:11" x14ac:dyDescent="0.3">
      <c r="A173" s="381"/>
      <c r="B173" s="381"/>
      <c r="C173" s="381"/>
      <c r="D173" s="381"/>
      <c r="E173" s="381"/>
      <c r="F173" s="381"/>
      <c r="G173" s="381"/>
      <c r="H173" s="381"/>
      <c r="I173" s="381"/>
      <c r="J173" s="381"/>
      <c r="K173" s="381"/>
    </row>
    <row r="174" spans="1:11" x14ac:dyDescent="0.3">
      <c r="A174" s="381" t="s">
        <v>17842</v>
      </c>
      <c r="B174" s="381"/>
      <c r="C174" s="381"/>
      <c r="D174" s="381"/>
      <c r="E174" s="381"/>
      <c r="F174" s="381"/>
      <c r="G174" s="381"/>
      <c r="H174" s="381"/>
      <c r="I174" s="381"/>
      <c r="J174" s="381"/>
      <c r="K174" s="381"/>
    </row>
    <row r="175" spans="1:11" x14ac:dyDescent="0.3">
      <c r="A175" s="381" t="s">
        <v>18128</v>
      </c>
      <c r="B175" s="381"/>
      <c r="C175" s="381"/>
      <c r="D175" s="381"/>
      <c r="E175" s="381"/>
      <c r="F175" s="381"/>
      <c r="G175" s="381"/>
      <c r="H175" s="381"/>
      <c r="I175" s="381"/>
      <c r="J175" s="381"/>
      <c r="K175" s="381"/>
    </row>
    <row r="176" spans="1:11" x14ac:dyDescent="0.3">
      <c r="A176" s="381" t="s">
        <v>18129</v>
      </c>
      <c r="B176" s="381"/>
      <c r="C176" s="381"/>
      <c r="D176" s="381"/>
      <c r="E176" s="381"/>
      <c r="F176" s="381"/>
      <c r="G176" s="381"/>
      <c r="H176" s="381"/>
      <c r="I176" s="381"/>
      <c r="J176" s="381"/>
      <c r="K176" s="381"/>
    </row>
    <row r="177" spans="1:11" x14ac:dyDescent="0.3">
      <c r="A177" s="381" t="s">
        <v>18130</v>
      </c>
      <c r="B177" s="381"/>
      <c r="C177" s="381"/>
      <c r="D177" s="381"/>
      <c r="E177" s="381"/>
      <c r="F177" s="381"/>
      <c r="G177" s="381"/>
      <c r="H177" s="381"/>
      <c r="I177" s="381"/>
      <c r="J177" s="381"/>
      <c r="K177" s="381"/>
    </row>
    <row r="178" spans="1:11" x14ac:dyDescent="0.3">
      <c r="A178" s="381"/>
      <c r="B178" s="381"/>
      <c r="C178" s="381"/>
      <c r="D178" s="381"/>
      <c r="E178" s="381"/>
      <c r="F178" s="381"/>
      <c r="G178" s="381"/>
      <c r="H178" s="381"/>
      <c r="I178" s="381"/>
      <c r="J178" s="381"/>
      <c r="K178" s="381"/>
    </row>
    <row r="179" spans="1:11" x14ac:dyDescent="0.3">
      <c r="A179" s="381" t="s">
        <v>18131</v>
      </c>
      <c r="B179" s="381"/>
      <c r="C179" s="381"/>
      <c r="D179" s="381"/>
      <c r="E179" s="381"/>
      <c r="F179" s="381"/>
      <c r="G179" s="381"/>
      <c r="H179" s="381"/>
      <c r="I179" s="381"/>
      <c r="J179" s="381"/>
      <c r="K179" s="381"/>
    </row>
    <row r="180" spans="1:11" x14ac:dyDescent="0.3">
      <c r="A180" s="381" t="s">
        <v>18132</v>
      </c>
      <c r="B180" s="381"/>
      <c r="C180" s="381"/>
      <c r="D180" s="381"/>
      <c r="E180" s="381"/>
      <c r="F180" s="381"/>
      <c r="G180" s="381"/>
      <c r="H180" s="381"/>
      <c r="I180" s="381"/>
      <c r="J180" s="381"/>
      <c r="K180" s="381"/>
    </row>
    <row r="181" spans="1:11" x14ac:dyDescent="0.3">
      <c r="A181" s="381" t="s">
        <v>18133</v>
      </c>
      <c r="B181" s="381"/>
      <c r="C181" s="381"/>
      <c r="D181" s="381"/>
      <c r="E181" s="381"/>
      <c r="F181" s="381"/>
      <c r="G181" s="381"/>
      <c r="H181" s="381"/>
      <c r="I181" s="381"/>
      <c r="J181" s="381"/>
      <c r="K181" s="381"/>
    </row>
    <row r="182" spans="1:11" x14ac:dyDescent="0.3">
      <c r="A182" s="381" t="s">
        <v>18134</v>
      </c>
      <c r="B182" s="381"/>
      <c r="C182" s="381"/>
      <c r="D182" s="381"/>
      <c r="E182" s="381"/>
      <c r="F182" s="381"/>
      <c r="G182" s="381"/>
      <c r="H182" s="381"/>
      <c r="I182" s="381"/>
      <c r="J182" s="381"/>
      <c r="K182" s="381"/>
    </row>
    <row r="183" spans="1:11" x14ac:dyDescent="0.3">
      <c r="A183" s="381"/>
      <c r="B183" s="381"/>
      <c r="C183" s="381"/>
      <c r="D183" s="381"/>
      <c r="E183" s="381"/>
      <c r="F183" s="381"/>
      <c r="G183" s="381"/>
      <c r="H183" s="381"/>
      <c r="I183" s="381"/>
      <c r="J183" s="381"/>
      <c r="K183" s="381"/>
    </row>
    <row r="184" spans="1:11" ht="15.6" x14ac:dyDescent="0.3">
      <c r="A184" s="380" t="s">
        <v>15424</v>
      </c>
      <c r="B184" s="381"/>
      <c r="C184" s="381"/>
      <c r="D184" s="381"/>
      <c r="E184" s="381"/>
      <c r="F184" s="381"/>
      <c r="G184" s="381"/>
      <c r="H184" s="381"/>
      <c r="I184" s="381"/>
      <c r="J184" s="381"/>
      <c r="K184" s="381"/>
    </row>
    <row r="185" spans="1:11" x14ac:dyDescent="0.3">
      <c r="A185" s="381"/>
      <c r="B185" s="381"/>
      <c r="C185" s="381"/>
      <c r="D185" s="381"/>
      <c r="E185" s="381"/>
      <c r="F185" s="381"/>
      <c r="G185" s="381"/>
      <c r="H185" s="381"/>
      <c r="I185" s="381"/>
      <c r="J185" s="381"/>
      <c r="K185" s="381"/>
    </row>
    <row r="186" spans="1:11" x14ac:dyDescent="0.3">
      <c r="A186" s="381" t="s">
        <v>18135</v>
      </c>
      <c r="B186" s="381"/>
      <c r="C186" s="381"/>
      <c r="D186" s="381"/>
      <c r="E186" s="381"/>
      <c r="F186" s="381"/>
      <c r="G186" s="381"/>
      <c r="H186" s="381"/>
      <c r="I186" s="381"/>
      <c r="J186" s="381"/>
      <c r="K186" s="381"/>
    </row>
    <row r="187" spans="1:11" x14ac:dyDescent="0.3">
      <c r="A187" s="381" t="s">
        <v>18136</v>
      </c>
      <c r="B187" s="381"/>
      <c r="C187" s="381"/>
      <c r="D187" s="381"/>
      <c r="E187" s="381"/>
      <c r="F187" s="381"/>
      <c r="G187" s="381"/>
      <c r="H187" s="381"/>
      <c r="I187" s="381"/>
      <c r="J187" s="381"/>
      <c r="K187" s="381"/>
    </row>
    <row r="188" spans="1:11" x14ac:dyDescent="0.3">
      <c r="A188" s="381" t="s">
        <v>18137</v>
      </c>
      <c r="B188" s="381"/>
      <c r="C188" s="381"/>
      <c r="D188" s="381"/>
      <c r="E188" s="381"/>
      <c r="F188" s="381"/>
      <c r="G188" s="381"/>
      <c r="H188" s="381"/>
      <c r="I188" s="381"/>
      <c r="J188" s="381"/>
      <c r="K188" s="381"/>
    </row>
    <row r="189" spans="1:11" x14ac:dyDescent="0.3">
      <c r="A189" s="381" t="s">
        <v>18138</v>
      </c>
      <c r="B189" s="381"/>
      <c r="C189" s="381"/>
      <c r="D189" s="381"/>
      <c r="E189" s="381"/>
      <c r="F189" s="381"/>
      <c r="G189" s="381"/>
      <c r="H189" s="381"/>
      <c r="I189" s="381"/>
      <c r="J189" s="381"/>
      <c r="K189" s="381"/>
    </row>
    <row r="190" spans="1:11" x14ac:dyDescent="0.3">
      <c r="A190" s="381" t="s">
        <v>18139</v>
      </c>
      <c r="B190" s="381"/>
      <c r="C190" s="381"/>
      <c r="D190" s="381"/>
      <c r="E190" s="381"/>
      <c r="F190" s="381"/>
      <c r="G190" s="381"/>
      <c r="H190" s="381"/>
      <c r="I190" s="381"/>
      <c r="J190" s="381"/>
      <c r="K190" s="381"/>
    </row>
    <row r="191" spans="1:11" x14ac:dyDescent="0.3">
      <c r="A191" s="381" t="s">
        <v>18140</v>
      </c>
      <c r="B191" s="381"/>
      <c r="C191" s="381"/>
      <c r="D191" s="381"/>
      <c r="E191" s="381"/>
      <c r="F191" s="381"/>
      <c r="G191" s="381"/>
      <c r="H191" s="381"/>
      <c r="I191" s="381"/>
      <c r="J191" s="381"/>
      <c r="K191" s="381"/>
    </row>
    <row r="192" spans="1:11" x14ac:dyDescent="0.3">
      <c r="A192" s="381" t="s">
        <v>18141</v>
      </c>
      <c r="B192" s="381"/>
      <c r="C192" s="381"/>
      <c r="D192" s="381"/>
      <c r="E192" s="381"/>
      <c r="F192" s="381"/>
      <c r="G192" s="381"/>
      <c r="H192" s="381"/>
      <c r="I192" s="381"/>
      <c r="J192" s="381"/>
      <c r="K192" s="381"/>
    </row>
    <row r="193" spans="1:11" x14ac:dyDescent="0.3">
      <c r="A193" s="381"/>
      <c r="B193" s="381"/>
      <c r="C193" s="381"/>
      <c r="D193" s="381"/>
      <c r="E193" s="381"/>
      <c r="F193" s="381"/>
      <c r="G193" s="381"/>
      <c r="H193" s="381"/>
      <c r="I193" s="381"/>
      <c r="J193" s="381"/>
      <c r="K193" s="381"/>
    </row>
    <row r="194" spans="1:11" x14ac:dyDescent="0.3">
      <c r="A194" s="381" t="s">
        <v>18142</v>
      </c>
      <c r="B194" s="381"/>
      <c r="C194" s="381"/>
      <c r="D194" s="381"/>
      <c r="E194" s="381"/>
      <c r="F194" s="381"/>
      <c r="G194" s="381"/>
      <c r="H194" s="381"/>
      <c r="I194" s="381"/>
      <c r="J194" s="381"/>
      <c r="K194" s="381"/>
    </row>
    <row r="195" spans="1:11" x14ac:dyDescent="0.3">
      <c r="A195" s="381" t="s">
        <v>18143</v>
      </c>
      <c r="B195" s="381"/>
      <c r="C195" s="381"/>
      <c r="D195" s="381"/>
      <c r="E195" s="381"/>
      <c r="F195" s="381"/>
      <c r="G195" s="381"/>
      <c r="H195" s="381"/>
      <c r="I195" s="381"/>
      <c r="J195" s="381"/>
      <c r="K195" s="381"/>
    </row>
  </sheetData>
  <mergeCells count="47">
    <mergeCell ref="A91:K91"/>
    <mergeCell ref="A94:F94"/>
    <mergeCell ref="A110:G110"/>
    <mergeCell ref="A131:K131"/>
    <mergeCell ref="A141:K141"/>
    <mergeCell ref="A85:K85"/>
    <mergeCell ref="A86:K86"/>
    <mergeCell ref="A87:K87"/>
    <mergeCell ref="A88:K88"/>
    <mergeCell ref="A89:K89"/>
    <mergeCell ref="A90:K90"/>
    <mergeCell ref="A79:K79"/>
    <mergeCell ref="A80:K80"/>
    <mergeCell ref="A81:K81"/>
    <mergeCell ref="A82:K82"/>
    <mergeCell ref="A83:K83"/>
    <mergeCell ref="A84:K84"/>
    <mergeCell ref="A73:K73"/>
    <mergeCell ref="A74:K74"/>
    <mergeCell ref="A75:K75"/>
    <mergeCell ref="A76:K76"/>
    <mergeCell ref="A77:K77"/>
    <mergeCell ref="A78:K78"/>
    <mergeCell ref="A67:K67"/>
    <mergeCell ref="A68:K68"/>
    <mergeCell ref="A69:K69"/>
    <mergeCell ref="A70:K70"/>
    <mergeCell ref="A71:K71"/>
    <mergeCell ref="A72:K72"/>
    <mergeCell ref="A61:K61"/>
    <mergeCell ref="A62:K62"/>
    <mergeCell ref="A63:K63"/>
    <mergeCell ref="A64:K64"/>
    <mergeCell ref="A65:K65"/>
    <mergeCell ref="A66:K66"/>
    <mergeCell ref="A55:K55"/>
    <mergeCell ref="A56:K56"/>
    <mergeCell ref="A57:K57"/>
    <mergeCell ref="A58:K58"/>
    <mergeCell ref="A59:K59"/>
    <mergeCell ref="A60:K60"/>
    <mergeCell ref="A10:F10"/>
    <mergeCell ref="A18:I18"/>
    <mergeCell ref="A33:G33"/>
    <mergeCell ref="A52:K52"/>
    <mergeCell ref="A53:K53"/>
    <mergeCell ref="A54:K54"/>
  </mergeCells>
  <conditionalFormatting sqref="F96:F107">
    <cfRule type="containsText" dxfId="87" priority="1" operator="containsText" text="HIGH">
      <formula>NOT(ISERROR(SEARCH("HIGH",F96)))</formula>
    </cfRule>
    <cfRule type="containsText" dxfId="86" priority="2" operator="containsText" text="CRITICAL">
      <formula>NOT(ISERROR(SEARCH("CRITICAL",F96)))</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8352-E587-4FAE-AEEB-95C8E307127C}">
  <sheetPr>
    <tabColor theme="6" tint="0.59999389629810485"/>
  </sheetPr>
  <dimension ref="A1:F505"/>
  <sheetViews>
    <sheetView zoomScale="85" zoomScaleNormal="85" workbookViewId="0">
      <pane ySplit="1" topLeftCell="A2" activePane="bottomLeft" state="frozen"/>
      <selection activeCell="H3" sqref="H3"/>
      <selection pane="bottomLeft" activeCell="H3" sqref="H3"/>
    </sheetView>
  </sheetViews>
  <sheetFormatPr defaultRowHeight="14.4" x14ac:dyDescent="0.3"/>
  <cols>
    <col min="1" max="1" width="12.5546875" bestFit="1" customWidth="1"/>
    <col min="2" max="2" width="31.33203125" bestFit="1" customWidth="1"/>
    <col min="3" max="3" width="8.109375" bestFit="1" customWidth="1"/>
    <col min="4" max="4" width="15.77734375" bestFit="1" customWidth="1"/>
    <col min="5" max="5" width="15.5546875" bestFit="1" customWidth="1"/>
    <col min="6" max="6" width="24.44140625" bestFit="1" customWidth="1"/>
    <col min="12" max="12" width="9.6640625" bestFit="1" customWidth="1"/>
    <col min="13" max="13" width="36.5546875" bestFit="1" customWidth="1"/>
    <col min="14" max="14" width="12.5546875" bestFit="1" customWidth="1"/>
    <col min="15" max="15" width="29.88671875" bestFit="1" customWidth="1"/>
    <col min="16" max="16" width="11.44140625" bestFit="1" customWidth="1"/>
    <col min="17" max="17" width="7.44140625" bestFit="1" customWidth="1"/>
    <col min="18" max="18" width="10.88671875" bestFit="1" customWidth="1"/>
    <col min="19" max="20" width="23.109375" bestFit="1" customWidth="1"/>
    <col min="21" max="21" width="15.6640625" bestFit="1" customWidth="1"/>
    <col min="22" max="22" width="15.44140625" bestFit="1" customWidth="1"/>
    <col min="23" max="23" width="9.44140625" bestFit="1" customWidth="1"/>
    <col min="24" max="24" width="12.44140625" bestFit="1" customWidth="1"/>
    <col min="25" max="25" width="52.6640625" bestFit="1" customWidth="1"/>
  </cols>
  <sheetData>
    <row r="1" spans="1:6" x14ac:dyDescent="0.3">
      <c r="A1" s="384" t="s">
        <v>15432</v>
      </c>
      <c r="B1" s="384" t="s">
        <v>1542</v>
      </c>
      <c r="C1" s="384" t="s">
        <v>15433</v>
      </c>
      <c r="D1" s="384" t="s">
        <v>15434</v>
      </c>
      <c r="E1" s="384" t="s">
        <v>14648</v>
      </c>
      <c r="F1" s="384" t="s">
        <v>15435</v>
      </c>
    </row>
    <row r="2" spans="1:6" x14ac:dyDescent="0.3">
      <c r="A2" s="224" t="s">
        <v>1158</v>
      </c>
      <c r="B2" s="224" t="s">
        <v>15436</v>
      </c>
      <c r="C2" s="224" t="s">
        <v>15437</v>
      </c>
      <c r="D2" s="224" t="s">
        <v>15438</v>
      </c>
      <c r="E2" s="224" t="s">
        <v>15439</v>
      </c>
      <c r="F2" s="224" t="s">
        <v>15440</v>
      </c>
    </row>
    <row r="3" spans="1:6" x14ac:dyDescent="0.3">
      <c r="A3" s="224"/>
      <c r="B3" s="224" t="s">
        <v>15436</v>
      </c>
      <c r="C3" s="224" t="s">
        <v>15441</v>
      </c>
      <c r="D3" s="224"/>
      <c r="E3" s="224"/>
      <c r="F3" s="224" t="s">
        <v>15442</v>
      </c>
    </row>
    <row r="4" spans="1:6" x14ac:dyDescent="0.3">
      <c r="A4" s="224"/>
      <c r="B4" s="224" t="s">
        <v>15436</v>
      </c>
      <c r="C4" s="224" t="s">
        <v>1081</v>
      </c>
      <c r="D4" s="224"/>
      <c r="E4" s="224"/>
      <c r="F4" s="224" t="s">
        <v>15443</v>
      </c>
    </row>
    <row r="5" spans="1:6" x14ac:dyDescent="0.3">
      <c r="A5" s="224"/>
      <c r="B5" s="224" t="s">
        <v>15436</v>
      </c>
      <c r="C5" s="224" t="s">
        <v>15444</v>
      </c>
      <c r="D5" s="224"/>
      <c r="E5" s="224"/>
      <c r="F5" s="224" t="s">
        <v>15445</v>
      </c>
    </row>
    <row r="6" spans="1:6" x14ac:dyDescent="0.3">
      <c r="A6" s="224"/>
      <c r="B6" s="224" t="s">
        <v>15436</v>
      </c>
      <c r="C6" s="224" t="s">
        <v>15446</v>
      </c>
      <c r="D6" s="224"/>
      <c r="E6" s="224"/>
      <c r="F6" s="224" t="s">
        <v>15447</v>
      </c>
    </row>
    <row r="7" spans="1:6" x14ac:dyDescent="0.3">
      <c r="A7" s="224"/>
      <c r="B7" s="224" t="s">
        <v>15436</v>
      </c>
      <c r="C7" s="224" t="s">
        <v>1152</v>
      </c>
      <c r="D7" s="224"/>
      <c r="E7" s="224"/>
      <c r="F7" s="224" t="s">
        <v>15448</v>
      </c>
    </row>
    <row r="8" spans="1:6" x14ac:dyDescent="0.3">
      <c r="A8" s="224"/>
      <c r="B8" s="224" t="s">
        <v>15449</v>
      </c>
      <c r="C8" s="224" t="s">
        <v>15437</v>
      </c>
      <c r="D8" s="224" t="s">
        <v>15450</v>
      </c>
      <c r="E8" s="224" t="s">
        <v>15451</v>
      </c>
      <c r="F8" s="224" t="s">
        <v>15452</v>
      </c>
    </row>
    <row r="9" spans="1:6" x14ac:dyDescent="0.3">
      <c r="A9" s="224"/>
      <c r="B9" s="224" t="s">
        <v>15449</v>
      </c>
      <c r="C9" s="224" t="s">
        <v>15441</v>
      </c>
      <c r="D9" s="224"/>
      <c r="E9" s="224"/>
      <c r="F9" s="224" t="s">
        <v>15453</v>
      </c>
    </row>
    <row r="10" spans="1:6" x14ac:dyDescent="0.3">
      <c r="A10" s="224"/>
      <c r="B10" s="224" t="s">
        <v>15449</v>
      </c>
      <c r="C10" s="224" t="s">
        <v>1081</v>
      </c>
      <c r="D10" s="224"/>
      <c r="E10" s="224"/>
      <c r="F10" s="224" t="s">
        <v>15454</v>
      </c>
    </row>
    <row r="11" spans="1:6" x14ac:dyDescent="0.3">
      <c r="A11" s="224"/>
      <c r="B11" s="224" t="s">
        <v>15449</v>
      </c>
      <c r="C11" s="224" t="s">
        <v>15444</v>
      </c>
      <c r="D11" s="224"/>
      <c r="E11" s="224"/>
      <c r="F11" s="224" t="s">
        <v>15455</v>
      </c>
    </row>
    <row r="12" spans="1:6" x14ac:dyDescent="0.3">
      <c r="A12" s="224"/>
      <c r="B12" s="224" t="s">
        <v>15449</v>
      </c>
      <c r="C12" s="224" t="s">
        <v>15446</v>
      </c>
      <c r="D12" s="224"/>
      <c r="E12" s="224"/>
      <c r="F12" s="224" t="s">
        <v>15456</v>
      </c>
    </row>
    <row r="13" spans="1:6" x14ac:dyDescent="0.3">
      <c r="A13" s="224"/>
      <c r="B13" s="224" t="s">
        <v>15449</v>
      </c>
      <c r="C13" s="224" t="s">
        <v>1152</v>
      </c>
      <c r="D13" s="224"/>
      <c r="E13" s="224"/>
      <c r="F13" s="224" t="s">
        <v>15457</v>
      </c>
    </row>
    <row r="14" spans="1:6" x14ac:dyDescent="0.3">
      <c r="A14" s="224"/>
      <c r="B14" s="224" t="s">
        <v>15458</v>
      </c>
      <c r="C14" s="224" t="s">
        <v>15437</v>
      </c>
      <c r="D14" s="224" t="s">
        <v>15459</v>
      </c>
      <c r="E14" s="224" t="s">
        <v>15460</v>
      </c>
      <c r="F14" s="224" t="s">
        <v>15461</v>
      </c>
    </row>
    <row r="15" spans="1:6" x14ac:dyDescent="0.3">
      <c r="A15" s="224"/>
      <c r="B15" s="224" t="s">
        <v>15458</v>
      </c>
      <c r="C15" s="224" t="s">
        <v>15441</v>
      </c>
      <c r="D15" s="224"/>
      <c r="E15" s="224"/>
      <c r="F15" s="224" t="s">
        <v>15462</v>
      </c>
    </row>
    <row r="16" spans="1:6" x14ac:dyDescent="0.3">
      <c r="A16" s="224"/>
      <c r="B16" s="224" t="s">
        <v>15458</v>
      </c>
      <c r="C16" s="224" t="s">
        <v>1081</v>
      </c>
      <c r="D16" s="224"/>
      <c r="E16" s="224"/>
      <c r="F16" s="224" t="s">
        <v>15463</v>
      </c>
    </row>
    <row r="17" spans="1:6" x14ac:dyDescent="0.3">
      <c r="A17" s="224"/>
      <c r="B17" s="224" t="s">
        <v>15458</v>
      </c>
      <c r="C17" s="224" t="s">
        <v>15444</v>
      </c>
      <c r="D17" s="224"/>
      <c r="E17" s="224"/>
      <c r="F17" s="224" t="s">
        <v>15464</v>
      </c>
    </row>
    <row r="18" spans="1:6" x14ac:dyDescent="0.3">
      <c r="A18" s="224"/>
      <c r="B18" s="224" t="s">
        <v>15458</v>
      </c>
      <c r="C18" s="224" t="s">
        <v>15446</v>
      </c>
      <c r="D18" s="224"/>
      <c r="E18" s="224"/>
      <c r="F18" s="224" t="s">
        <v>15465</v>
      </c>
    </row>
    <row r="19" spans="1:6" x14ac:dyDescent="0.3">
      <c r="A19" s="224"/>
      <c r="B19" s="224" t="s">
        <v>15458</v>
      </c>
      <c r="C19" s="224" t="s">
        <v>1152</v>
      </c>
      <c r="D19" s="224"/>
      <c r="E19" s="224"/>
      <c r="F19" s="224" t="s">
        <v>15466</v>
      </c>
    </row>
    <row r="20" spans="1:6" x14ac:dyDescent="0.3">
      <c r="A20" s="224"/>
      <c r="B20" s="224" t="s">
        <v>15467</v>
      </c>
      <c r="C20" s="224" t="s">
        <v>15437</v>
      </c>
      <c r="D20" s="224" t="s">
        <v>15468</v>
      </c>
      <c r="E20" s="224" t="s">
        <v>15469</v>
      </c>
      <c r="F20" s="224" t="s">
        <v>15470</v>
      </c>
    </row>
    <row r="21" spans="1:6" x14ac:dyDescent="0.3">
      <c r="A21" s="224"/>
      <c r="B21" s="224" t="s">
        <v>15467</v>
      </c>
      <c r="C21" s="224" t="s">
        <v>15441</v>
      </c>
      <c r="D21" s="224"/>
      <c r="E21" s="224"/>
      <c r="F21" s="224" t="s">
        <v>15471</v>
      </c>
    </row>
    <row r="22" spans="1:6" x14ac:dyDescent="0.3">
      <c r="A22" s="224"/>
      <c r="B22" s="224" t="s">
        <v>15467</v>
      </c>
      <c r="C22" s="224" t="s">
        <v>1081</v>
      </c>
      <c r="D22" s="224"/>
      <c r="E22" s="224"/>
      <c r="F22" s="224" t="s">
        <v>15472</v>
      </c>
    </row>
    <row r="23" spans="1:6" x14ac:dyDescent="0.3">
      <c r="A23" s="224"/>
      <c r="B23" s="224" t="s">
        <v>15467</v>
      </c>
      <c r="C23" s="224" t="s">
        <v>15444</v>
      </c>
      <c r="D23" s="224"/>
      <c r="E23" s="224"/>
      <c r="F23" s="224" t="s">
        <v>15473</v>
      </c>
    </row>
    <row r="24" spans="1:6" x14ac:dyDescent="0.3">
      <c r="A24" s="224"/>
      <c r="B24" s="224" t="s">
        <v>15467</v>
      </c>
      <c r="C24" s="224" t="s">
        <v>15446</v>
      </c>
      <c r="D24" s="224"/>
      <c r="E24" s="224"/>
      <c r="F24" s="224" t="s">
        <v>15474</v>
      </c>
    </row>
    <row r="25" spans="1:6" x14ac:dyDescent="0.3">
      <c r="A25" s="224"/>
      <c r="B25" s="224" t="s">
        <v>15467</v>
      </c>
      <c r="C25" s="224" t="s">
        <v>1152</v>
      </c>
      <c r="D25" s="224"/>
      <c r="E25" s="224"/>
      <c r="F25" s="224" t="s">
        <v>15475</v>
      </c>
    </row>
    <row r="26" spans="1:6" x14ac:dyDescent="0.3">
      <c r="A26" s="224"/>
      <c r="B26" s="224" t="s">
        <v>15476</v>
      </c>
      <c r="C26" s="224" t="s">
        <v>15437</v>
      </c>
      <c r="D26" s="224" t="s">
        <v>15477</v>
      </c>
      <c r="E26" s="224" t="s">
        <v>15478</v>
      </c>
      <c r="F26" s="224" t="s">
        <v>15479</v>
      </c>
    </row>
    <row r="27" spans="1:6" x14ac:dyDescent="0.3">
      <c r="A27" s="224"/>
      <c r="B27" s="224" t="s">
        <v>15476</v>
      </c>
      <c r="C27" s="224" t="s">
        <v>15441</v>
      </c>
      <c r="D27" s="224"/>
      <c r="E27" s="224"/>
      <c r="F27" s="224" t="s">
        <v>15480</v>
      </c>
    </row>
    <row r="28" spans="1:6" x14ac:dyDescent="0.3">
      <c r="A28" s="224"/>
      <c r="B28" s="224" t="s">
        <v>15476</v>
      </c>
      <c r="C28" s="224" t="s">
        <v>1081</v>
      </c>
      <c r="D28" s="224"/>
      <c r="E28" s="224"/>
      <c r="F28" s="224" t="s">
        <v>15481</v>
      </c>
    </row>
    <row r="29" spans="1:6" x14ac:dyDescent="0.3">
      <c r="A29" s="224"/>
      <c r="B29" s="224" t="s">
        <v>15476</v>
      </c>
      <c r="C29" s="224" t="s">
        <v>15444</v>
      </c>
      <c r="D29" s="224"/>
      <c r="E29" s="224"/>
      <c r="F29" s="224" t="s">
        <v>15482</v>
      </c>
    </row>
    <row r="30" spans="1:6" x14ac:dyDescent="0.3">
      <c r="A30" s="224"/>
      <c r="B30" s="224" t="s">
        <v>15476</v>
      </c>
      <c r="C30" s="224" t="s">
        <v>15446</v>
      </c>
      <c r="D30" s="224"/>
      <c r="E30" s="224"/>
      <c r="F30" s="224" t="s">
        <v>15483</v>
      </c>
    </row>
    <row r="31" spans="1:6" x14ac:dyDescent="0.3">
      <c r="A31" s="224"/>
      <c r="B31" s="224" t="s">
        <v>15476</v>
      </c>
      <c r="C31" s="224" t="s">
        <v>1152</v>
      </c>
      <c r="D31" s="224"/>
      <c r="E31" s="224"/>
      <c r="F31" s="224" t="s">
        <v>15484</v>
      </c>
    </row>
    <row r="32" spans="1:6" x14ac:dyDescent="0.3">
      <c r="A32" s="224"/>
      <c r="B32" s="224" t="s">
        <v>15485</v>
      </c>
      <c r="C32" s="224" t="s">
        <v>15437</v>
      </c>
      <c r="D32" s="224" t="s">
        <v>15486</v>
      </c>
      <c r="E32" s="224" t="s">
        <v>15487</v>
      </c>
      <c r="F32" s="224" t="s">
        <v>15488</v>
      </c>
    </row>
    <row r="33" spans="1:6" x14ac:dyDescent="0.3">
      <c r="A33" s="224"/>
      <c r="B33" s="224" t="s">
        <v>15485</v>
      </c>
      <c r="C33" s="224" t="s">
        <v>15441</v>
      </c>
      <c r="D33" s="224"/>
      <c r="E33" s="224"/>
      <c r="F33" s="224" t="s">
        <v>15489</v>
      </c>
    </row>
    <row r="34" spans="1:6" x14ac:dyDescent="0.3">
      <c r="A34" s="224"/>
      <c r="B34" s="224" t="s">
        <v>15485</v>
      </c>
      <c r="C34" s="224" t="s">
        <v>1081</v>
      </c>
      <c r="D34" s="224"/>
      <c r="E34" s="224"/>
      <c r="F34" s="224" t="s">
        <v>15490</v>
      </c>
    </row>
    <row r="35" spans="1:6" x14ac:dyDescent="0.3">
      <c r="A35" s="224"/>
      <c r="B35" s="224" t="s">
        <v>15485</v>
      </c>
      <c r="C35" s="224" t="s">
        <v>15444</v>
      </c>
      <c r="D35" s="224"/>
      <c r="E35" s="224"/>
      <c r="F35" s="224" t="s">
        <v>15491</v>
      </c>
    </row>
    <row r="36" spans="1:6" x14ac:dyDescent="0.3">
      <c r="A36" s="224"/>
      <c r="B36" s="224" t="s">
        <v>15485</v>
      </c>
      <c r="C36" s="224" t="s">
        <v>15446</v>
      </c>
      <c r="D36" s="224"/>
      <c r="E36" s="224"/>
      <c r="F36" s="224" t="s">
        <v>15492</v>
      </c>
    </row>
    <row r="37" spans="1:6" x14ac:dyDescent="0.3">
      <c r="A37" s="224"/>
      <c r="B37" s="224" t="s">
        <v>15485</v>
      </c>
      <c r="C37" s="224" t="s">
        <v>1152</v>
      </c>
      <c r="D37" s="224"/>
      <c r="E37" s="224"/>
      <c r="F37" s="224" t="s">
        <v>15493</v>
      </c>
    </row>
    <row r="38" spans="1:6" x14ac:dyDescent="0.3">
      <c r="A38" s="224"/>
      <c r="B38" s="224" t="s">
        <v>15494</v>
      </c>
      <c r="C38" s="224" t="s">
        <v>15437</v>
      </c>
      <c r="D38" s="224" t="s">
        <v>15495</v>
      </c>
      <c r="E38" s="224" t="s">
        <v>15496</v>
      </c>
      <c r="F38" s="224" t="s">
        <v>15497</v>
      </c>
    </row>
    <row r="39" spans="1:6" x14ac:dyDescent="0.3">
      <c r="A39" s="224"/>
      <c r="B39" s="224" t="s">
        <v>15494</v>
      </c>
      <c r="C39" s="224" t="s">
        <v>15441</v>
      </c>
      <c r="D39" s="224"/>
      <c r="E39" s="224"/>
      <c r="F39" s="224" t="s">
        <v>15498</v>
      </c>
    </row>
    <row r="40" spans="1:6" x14ac:dyDescent="0.3">
      <c r="A40" s="224"/>
      <c r="B40" s="224" t="s">
        <v>15494</v>
      </c>
      <c r="C40" s="224" t="s">
        <v>1081</v>
      </c>
      <c r="D40" s="224"/>
      <c r="E40" s="224"/>
      <c r="F40" s="224" t="s">
        <v>15499</v>
      </c>
    </row>
    <row r="41" spans="1:6" x14ac:dyDescent="0.3">
      <c r="A41" s="224"/>
      <c r="B41" s="224" t="s">
        <v>15494</v>
      </c>
      <c r="C41" s="224" t="s">
        <v>15444</v>
      </c>
      <c r="D41" s="224"/>
      <c r="E41" s="224"/>
      <c r="F41" s="224" t="s">
        <v>15500</v>
      </c>
    </row>
    <row r="42" spans="1:6" x14ac:dyDescent="0.3">
      <c r="A42" s="224"/>
      <c r="B42" s="224" t="s">
        <v>15494</v>
      </c>
      <c r="C42" s="224" t="s">
        <v>15446</v>
      </c>
      <c r="D42" s="224"/>
      <c r="E42" s="224"/>
      <c r="F42" s="224" t="s">
        <v>15501</v>
      </c>
    </row>
    <row r="43" spans="1:6" x14ac:dyDescent="0.3">
      <c r="A43" s="224"/>
      <c r="B43" s="224" t="s">
        <v>15494</v>
      </c>
      <c r="C43" s="224" t="s">
        <v>1152</v>
      </c>
      <c r="D43" s="224"/>
      <c r="E43" s="224"/>
      <c r="F43" s="224" t="s">
        <v>15502</v>
      </c>
    </row>
    <row r="44" spans="1:6" x14ac:dyDescent="0.3">
      <c r="A44" s="224"/>
      <c r="B44" s="224" t="s">
        <v>15503</v>
      </c>
      <c r="C44" s="224" t="s">
        <v>15437</v>
      </c>
      <c r="D44" s="224" t="s">
        <v>15504</v>
      </c>
      <c r="E44" s="224" t="s">
        <v>15505</v>
      </c>
      <c r="F44" s="224" t="s">
        <v>15506</v>
      </c>
    </row>
    <row r="45" spans="1:6" x14ac:dyDescent="0.3">
      <c r="A45" s="224"/>
      <c r="B45" s="224" t="s">
        <v>15503</v>
      </c>
      <c r="C45" s="224" t="s">
        <v>15441</v>
      </c>
      <c r="D45" s="224"/>
      <c r="E45" s="224"/>
      <c r="F45" s="224" t="s">
        <v>15507</v>
      </c>
    </row>
    <row r="46" spans="1:6" x14ac:dyDescent="0.3">
      <c r="A46" s="224"/>
      <c r="B46" s="224" t="s">
        <v>15503</v>
      </c>
      <c r="C46" s="224" t="s">
        <v>1081</v>
      </c>
      <c r="D46" s="224"/>
      <c r="E46" s="224"/>
      <c r="F46" s="224" t="s">
        <v>15508</v>
      </c>
    </row>
    <row r="47" spans="1:6" x14ac:dyDescent="0.3">
      <c r="A47" s="224"/>
      <c r="B47" s="224" t="s">
        <v>15503</v>
      </c>
      <c r="C47" s="224" t="s">
        <v>15444</v>
      </c>
      <c r="D47" s="224"/>
      <c r="E47" s="224"/>
      <c r="F47" s="224" t="s">
        <v>15509</v>
      </c>
    </row>
    <row r="48" spans="1:6" x14ac:dyDescent="0.3">
      <c r="A48" s="224"/>
      <c r="B48" s="224" t="s">
        <v>15503</v>
      </c>
      <c r="C48" s="224" t="s">
        <v>15446</v>
      </c>
      <c r="D48" s="224"/>
      <c r="E48" s="224"/>
      <c r="F48" s="224" t="s">
        <v>15510</v>
      </c>
    </row>
    <row r="49" spans="1:6" x14ac:dyDescent="0.3">
      <c r="A49" s="224"/>
      <c r="B49" s="224" t="s">
        <v>15503</v>
      </c>
      <c r="C49" s="224" t="s">
        <v>1152</v>
      </c>
      <c r="D49" s="224"/>
      <c r="E49" s="224"/>
      <c r="F49" s="224" t="s">
        <v>15511</v>
      </c>
    </row>
    <row r="50" spans="1:6" x14ac:dyDescent="0.3">
      <c r="A50" s="224"/>
      <c r="B50" s="224" t="s">
        <v>15512</v>
      </c>
      <c r="C50" s="224" t="s">
        <v>15437</v>
      </c>
      <c r="D50" s="224" t="s">
        <v>15513</v>
      </c>
      <c r="E50" s="224" t="s">
        <v>15514</v>
      </c>
      <c r="F50" s="224" t="s">
        <v>15515</v>
      </c>
    </row>
    <row r="51" spans="1:6" x14ac:dyDescent="0.3">
      <c r="A51" s="224"/>
      <c r="B51" s="224" t="s">
        <v>15512</v>
      </c>
      <c r="C51" s="224" t="s">
        <v>15441</v>
      </c>
      <c r="D51" s="224"/>
      <c r="E51" s="224"/>
      <c r="F51" s="224" t="s">
        <v>15516</v>
      </c>
    </row>
    <row r="52" spans="1:6" x14ac:dyDescent="0.3">
      <c r="A52" s="224"/>
      <c r="B52" s="224" t="s">
        <v>15512</v>
      </c>
      <c r="C52" s="224" t="s">
        <v>1081</v>
      </c>
      <c r="D52" s="224"/>
      <c r="E52" s="224"/>
      <c r="F52" s="224" t="s">
        <v>15517</v>
      </c>
    </row>
    <row r="53" spans="1:6" x14ac:dyDescent="0.3">
      <c r="A53" s="224"/>
      <c r="B53" s="224" t="s">
        <v>15512</v>
      </c>
      <c r="C53" s="224" t="s">
        <v>15444</v>
      </c>
      <c r="D53" s="224"/>
      <c r="E53" s="224"/>
      <c r="F53" s="224" t="s">
        <v>15518</v>
      </c>
    </row>
    <row r="54" spans="1:6" x14ac:dyDescent="0.3">
      <c r="A54" s="224"/>
      <c r="B54" s="224" t="s">
        <v>15512</v>
      </c>
      <c r="C54" s="224" t="s">
        <v>15446</v>
      </c>
      <c r="D54" s="224"/>
      <c r="E54" s="224"/>
      <c r="F54" s="224" t="s">
        <v>15519</v>
      </c>
    </row>
    <row r="55" spans="1:6" x14ac:dyDescent="0.3">
      <c r="A55" s="224"/>
      <c r="B55" s="224" t="s">
        <v>15512</v>
      </c>
      <c r="C55" s="224" t="s">
        <v>1152</v>
      </c>
      <c r="D55" s="224"/>
      <c r="E55" s="224"/>
      <c r="F55" s="224" t="s">
        <v>15520</v>
      </c>
    </row>
    <row r="56" spans="1:6" x14ac:dyDescent="0.3">
      <c r="A56" s="224"/>
      <c r="B56" s="224" t="s">
        <v>15521</v>
      </c>
      <c r="C56" s="224" t="s">
        <v>15437</v>
      </c>
      <c r="D56" s="224" t="s">
        <v>15522</v>
      </c>
      <c r="E56" s="224" t="s">
        <v>15523</v>
      </c>
      <c r="F56" s="224" t="s">
        <v>15524</v>
      </c>
    </row>
    <row r="57" spans="1:6" x14ac:dyDescent="0.3">
      <c r="A57" s="224"/>
      <c r="B57" s="224" t="s">
        <v>15521</v>
      </c>
      <c r="C57" s="224" t="s">
        <v>15441</v>
      </c>
      <c r="D57" s="224"/>
      <c r="E57" s="224"/>
      <c r="F57" s="224" t="s">
        <v>15525</v>
      </c>
    </row>
    <row r="58" spans="1:6" x14ac:dyDescent="0.3">
      <c r="A58" s="224"/>
      <c r="B58" s="224" t="s">
        <v>15521</v>
      </c>
      <c r="C58" s="224" t="s">
        <v>1081</v>
      </c>
      <c r="D58" s="224"/>
      <c r="E58" s="224"/>
      <c r="F58" s="224" t="s">
        <v>15526</v>
      </c>
    </row>
    <row r="59" spans="1:6" x14ac:dyDescent="0.3">
      <c r="A59" s="224"/>
      <c r="B59" s="224" t="s">
        <v>15521</v>
      </c>
      <c r="C59" s="224" t="s">
        <v>15444</v>
      </c>
      <c r="D59" s="224"/>
      <c r="E59" s="224"/>
      <c r="F59" s="224" t="s">
        <v>15527</v>
      </c>
    </row>
    <row r="60" spans="1:6" x14ac:dyDescent="0.3">
      <c r="A60" s="224"/>
      <c r="B60" s="224" t="s">
        <v>15521</v>
      </c>
      <c r="C60" s="224" t="s">
        <v>15446</v>
      </c>
      <c r="D60" s="224"/>
      <c r="E60" s="224"/>
      <c r="F60" s="224" t="s">
        <v>15528</v>
      </c>
    </row>
    <row r="61" spans="1:6" x14ac:dyDescent="0.3">
      <c r="A61" s="224"/>
      <c r="B61" s="224" t="s">
        <v>15521</v>
      </c>
      <c r="C61" s="224" t="s">
        <v>1152</v>
      </c>
      <c r="D61" s="224"/>
      <c r="E61" s="224"/>
      <c r="F61" s="224" t="s">
        <v>15529</v>
      </c>
    </row>
    <row r="62" spans="1:6" x14ac:dyDescent="0.3">
      <c r="A62" s="224"/>
      <c r="B62" s="224" t="s">
        <v>15530</v>
      </c>
      <c r="C62" s="224" t="s">
        <v>15437</v>
      </c>
      <c r="D62" s="224" t="s">
        <v>15531</v>
      </c>
      <c r="E62" s="224" t="s">
        <v>15532</v>
      </c>
      <c r="F62" s="224" t="s">
        <v>15533</v>
      </c>
    </row>
    <row r="63" spans="1:6" x14ac:dyDescent="0.3">
      <c r="A63" s="224"/>
      <c r="B63" s="224" t="s">
        <v>15530</v>
      </c>
      <c r="C63" s="224" t="s">
        <v>15441</v>
      </c>
      <c r="D63" s="224"/>
      <c r="E63" s="224"/>
      <c r="F63" s="224" t="s">
        <v>15534</v>
      </c>
    </row>
    <row r="64" spans="1:6" x14ac:dyDescent="0.3">
      <c r="A64" s="224"/>
      <c r="B64" s="224" t="s">
        <v>15530</v>
      </c>
      <c r="C64" s="224" t="s">
        <v>1081</v>
      </c>
      <c r="D64" s="224"/>
      <c r="E64" s="224"/>
      <c r="F64" s="224" t="s">
        <v>15535</v>
      </c>
    </row>
    <row r="65" spans="1:6" x14ac:dyDescent="0.3">
      <c r="A65" s="224"/>
      <c r="B65" s="224" t="s">
        <v>15530</v>
      </c>
      <c r="C65" s="224" t="s">
        <v>15444</v>
      </c>
      <c r="D65" s="224"/>
      <c r="E65" s="224"/>
      <c r="F65" s="224" t="s">
        <v>15536</v>
      </c>
    </row>
    <row r="66" spans="1:6" x14ac:dyDescent="0.3">
      <c r="A66" s="224"/>
      <c r="B66" s="224" t="s">
        <v>15530</v>
      </c>
      <c r="C66" s="224" t="s">
        <v>15446</v>
      </c>
      <c r="D66" s="224"/>
      <c r="E66" s="224"/>
      <c r="F66" s="224" t="s">
        <v>15537</v>
      </c>
    </row>
    <row r="67" spans="1:6" x14ac:dyDescent="0.3">
      <c r="A67" s="224"/>
      <c r="B67" s="224" t="s">
        <v>15530</v>
      </c>
      <c r="C67" s="224" t="s">
        <v>1152</v>
      </c>
      <c r="D67" s="224"/>
      <c r="E67" s="224"/>
      <c r="F67" s="224" t="s">
        <v>15538</v>
      </c>
    </row>
    <row r="68" spans="1:6" x14ac:dyDescent="0.3">
      <c r="A68" s="224"/>
      <c r="B68" s="224" t="s">
        <v>15539</v>
      </c>
      <c r="C68" s="224" t="s">
        <v>15437</v>
      </c>
      <c r="D68" s="224" t="s">
        <v>15540</v>
      </c>
      <c r="E68" s="224" t="s">
        <v>15541</v>
      </c>
      <c r="F68" s="224" t="s">
        <v>15542</v>
      </c>
    </row>
    <row r="69" spans="1:6" x14ac:dyDescent="0.3">
      <c r="A69" s="224"/>
      <c r="B69" s="224" t="s">
        <v>15539</v>
      </c>
      <c r="C69" s="224" t="s">
        <v>15441</v>
      </c>
      <c r="D69" s="224"/>
      <c r="E69" s="224"/>
      <c r="F69" s="224" t="s">
        <v>15543</v>
      </c>
    </row>
    <row r="70" spans="1:6" x14ac:dyDescent="0.3">
      <c r="A70" s="224"/>
      <c r="B70" s="224" t="s">
        <v>15539</v>
      </c>
      <c r="C70" s="224" t="s">
        <v>1081</v>
      </c>
      <c r="D70" s="224"/>
      <c r="E70" s="224"/>
      <c r="F70" s="224" t="s">
        <v>15544</v>
      </c>
    </row>
    <row r="71" spans="1:6" x14ac:dyDescent="0.3">
      <c r="A71" s="224"/>
      <c r="B71" s="224" t="s">
        <v>15539</v>
      </c>
      <c r="C71" s="224" t="s">
        <v>15444</v>
      </c>
      <c r="D71" s="224"/>
      <c r="E71" s="224"/>
      <c r="F71" s="224" t="s">
        <v>15545</v>
      </c>
    </row>
    <row r="72" spans="1:6" x14ac:dyDescent="0.3">
      <c r="A72" s="224"/>
      <c r="B72" s="224" t="s">
        <v>15539</v>
      </c>
      <c r="C72" s="224" t="s">
        <v>15446</v>
      </c>
      <c r="D72" s="224"/>
      <c r="E72" s="224"/>
      <c r="F72" s="224" t="s">
        <v>15546</v>
      </c>
    </row>
    <row r="73" spans="1:6" x14ac:dyDescent="0.3">
      <c r="A73" s="224"/>
      <c r="B73" s="224" t="s">
        <v>15539</v>
      </c>
      <c r="C73" s="224" t="s">
        <v>1152</v>
      </c>
      <c r="D73" s="224"/>
      <c r="E73" s="224"/>
      <c r="F73" s="224" t="s">
        <v>15547</v>
      </c>
    </row>
    <row r="74" spans="1:6" x14ac:dyDescent="0.3">
      <c r="A74" s="224"/>
      <c r="B74" s="224" t="s">
        <v>15548</v>
      </c>
      <c r="C74" s="224" t="s">
        <v>15437</v>
      </c>
      <c r="D74" s="224" t="s">
        <v>15549</v>
      </c>
      <c r="E74" s="224" t="s">
        <v>15550</v>
      </c>
      <c r="F74" s="224" t="s">
        <v>15440</v>
      </c>
    </row>
    <row r="75" spans="1:6" x14ac:dyDescent="0.3">
      <c r="A75" s="224"/>
      <c r="B75" s="224" t="s">
        <v>15548</v>
      </c>
      <c r="C75" s="224" t="s">
        <v>15441</v>
      </c>
      <c r="D75" s="224"/>
      <c r="E75" s="224"/>
      <c r="F75" s="224" t="s">
        <v>15442</v>
      </c>
    </row>
    <row r="76" spans="1:6" x14ac:dyDescent="0.3">
      <c r="A76" s="224"/>
      <c r="B76" s="224" t="s">
        <v>15548</v>
      </c>
      <c r="C76" s="224" t="s">
        <v>1081</v>
      </c>
      <c r="D76" s="224"/>
      <c r="E76" s="224"/>
      <c r="F76" s="224" t="s">
        <v>15443</v>
      </c>
    </row>
    <row r="77" spans="1:6" x14ac:dyDescent="0.3">
      <c r="A77" s="224"/>
      <c r="B77" s="224" t="s">
        <v>15548</v>
      </c>
      <c r="C77" s="224" t="s">
        <v>15444</v>
      </c>
      <c r="D77" s="224"/>
      <c r="E77" s="224"/>
      <c r="F77" s="224" t="s">
        <v>15445</v>
      </c>
    </row>
    <row r="78" spans="1:6" x14ac:dyDescent="0.3">
      <c r="A78" s="224"/>
      <c r="B78" s="224" t="s">
        <v>15548</v>
      </c>
      <c r="C78" s="224" t="s">
        <v>15446</v>
      </c>
      <c r="D78" s="224"/>
      <c r="E78" s="224"/>
      <c r="F78" s="224" t="s">
        <v>15447</v>
      </c>
    </row>
    <row r="79" spans="1:6" x14ac:dyDescent="0.3">
      <c r="A79" s="224"/>
      <c r="B79" s="224" t="s">
        <v>15548</v>
      </c>
      <c r="C79" s="224" t="s">
        <v>1152</v>
      </c>
      <c r="D79" s="224"/>
      <c r="E79" s="224"/>
      <c r="F79" s="224" t="s">
        <v>15448</v>
      </c>
    </row>
    <row r="80" spans="1:6" x14ac:dyDescent="0.3">
      <c r="A80" s="224"/>
      <c r="B80" s="224" t="s">
        <v>15551</v>
      </c>
      <c r="C80" s="224" t="s">
        <v>15437</v>
      </c>
      <c r="D80" s="224" t="s">
        <v>15552</v>
      </c>
      <c r="E80" s="224" t="s">
        <v>15553</v>
      </c>
      <c r="F80" s="224" t="s">
        <v>15452</v>
      </c>
    </row>
    <row r="81" spans="1:6" x14ac:dyDescent="0.3">
      <c r="A81" s="224"/>
      <c r="B81" s="224" t="s">
        <v>15551</v>
      </c>
      <c r="C81" s="224" t="s">
        <v>15441</v>
      </c>
      <c r="D81" s="224"/>
      <c r="E81" s="224"/>
      <c r="F81" s="224" t="s">
        <v>15453</v>
      </c>
    </row>
    <row r="82" spans="1:6" x14ac:dyDescent="0.3">
      <c r="A82" s="224"/>
      <c r="B82" s="224" t="s">
        <v>15551</v>
      </c>
      <c r="C82" s="224" t="s">
        <v>1081</v>
      </c>
      <c r="D82" s="224"/>
      <c r="E82" s="224"/>
      <c r="F82" s="224" t="s">
        <v>15454</v>
      </c>
    </row>
    <row r="83" spans="1:6" x14ac:dyDescent="0.3">
      <c r="A83" s="224"/>
      <c r="B83" s="224" t="s">
        <v>15551</v>
      </c>
      <c r="C83" s="224" t="s">
        <v>15444</v>
      </c>
      <c r="D83" s="224"/>
      <c r="E83" s="224"/>
      <c r="F83" s="224" t="s">
        <v>15455</v>
      </c>
    </row>
    <row r="84" spans="1:6" x14ac:dyDescent="0.3">
      <c r="A84" s="224"/>
      <c r="B84" s="224" t="s">
        <v>15551</v>
      </c>
      <c r="C84" s="224" t="s">
        <v>15446</v>
      </c>
      <c r="D84" s="224"/>
      <c r="E84" s="224"/>
      <c r="F84" s="224" t="s">
        <v>15456</v>
      </c>
    </row>
    <row r="85" spans="1:6" x14ac:dyDescent="0.3">
      <c r="A85" s="224"/>
      <c r="B85" s="224" t="s">
        <v>15551</v>
      </c>
      <c r="C85" s="224" t="s">
        <v>1152</v>
      </c>
      <c r="D85" s="224"/>
      <c r="E85" s="224"/>
      <c r="F85" s="224" t="s">
        <v>15457</v>
      </c>
    </row>
    <row r="86" spans="1:6" x14ac:dyDescent="0.3">
      <c r="A86" s="224" t="s">
        <v>14994</v>
      </c>
      <c r="B86" s="224" t="s">
        <v>15554</v>
      </c>
      <c r="C86" s="224" t="s">
        <v>15437</v>
      </c>
      <c r="D86" s="224" t="s">
        <v>15555</v>
      </c>
      <c r="E86" s="224" t="s">
        <v>15556</v>
      </c>
      <c r="F86" s="224" t="s">
        <v>15440</v>
      </c>
    </row>
    <row r="87" spans="1:6" x14ac:dyDescent="0.3">
      <c r="A87" s="224"/>
      <c r="B87" s="224" t="s">
        <v>15554</v>
      </c>
      <c r="C87" s="224" t="s">
        <v>15441</v>
      </c>
      <c r="D87" s="224"/>
      <c r="E87" s="224"/>
      <c r="F87" s="224" t="s">
        <v>15442</v>
      </c>
    </row>
    <row r="88" spans="1:6" x14ac:dyDescent="0.3">
      <c r="A88" s="224"/>
      <c r="B88" s="224" t="s">
        <v>15554</v>
      </c>
      <c r="C88" s="224" t="s">
        <v>1081</v>
      </c>
      <c r="D88" s="224"/>
      <c r="E88" s="224"/>
      <c r="F88" s="224" t="s">
        <v>15443</v>
      </c>
    </row>
    <row r="89" spans="1:6" x14ac:dyDescent="0.3">
      <c r="A89" s="224"/>
      <c r="B89" s="224" t="s">
        <v>15554</v>
      </c>
      <c r="C89" s="224" t="s">
        <v>15444</v>
      </c>
      <c r="D89" s="224"/>
      <c r="E89" s="224"/>
      <c r="F89" s="224" t="s">
        <v>15445</v>
      </c>
    </row>
    <row r="90" spans="1:6" x14ac:dyDescent="0.3">
      <c r="A90" s="224"/>
      <c r="B90" s="224" t="s">
        <v>15554</v>
      </c>
      <c r="C90" s="224" t="s">
        <v>15446</v>
      </c>
      <c r="D90" s="224"/>
      <c r="E90" s="224"/>
      <c r="F90" s="224" t="s">
        <v>15447</v>
      </c>
    </row>
    <row r="91" spans="1:6" x14ac:dyDescent="0.3">
      <c r="A91" s="224"/>
      <c r="B91" s="224" t="s">
        <v>15554</v>
      </c>
      <c r="C91" s="224" t="s">
        <v>1152</v>
      </c>
      <c r="D91" s="224"/>
      <c r="E91" s="224"/>
      <c r="F91" s="224" t="s">
        <v>15448</v>
      </c>
    </row>
    <row r="92" spans="1:6" x14ac:dyDescent="0.3">
      <c r="A92" s="224"/>
      <c r="B92" s="224" t="s">
        <v>15557</v>
      </c>
      <c r="C92" s="224" t="s">
        <v>15437</v>
      </c>
      <c r="D92" s="224" t="s">
        <v>15558</v>
      </c>
      <c r="E92" s="224" t="s">
        <v>15559</v>
      </c>
      <c r="F92" s="224" t="s">
        <v>15452</v>
      </c>
    </row>
    <row r="93" spans="1:6" x14ac:dyDescent="0.3">
      <c r="A93" s="224"/>
      <c r="B93" s="224" t="s">
        <v>15557</v>
      </c>
      <c r="C93" s="224" t="s">
        <v>15441</v>
      </c>
      <c r="D93" s="224"/>
      <c r="E93" s="224"/>
      <c r="F93" s="224" t="s">
        <v>15453</v>
      </c>
    </row>
    <row r="94" spans="1:6" x14ac:dyDescent="0.3">
      <c r="A94" s="224"/>
      <c r="B94" s="224" t="s">
        <v>15557</v>
      </c>
      <c r="C94" s="224" t="s">
        <v>1081</v>
      </c>
      <c r="D94" s="224"/>
      <c r="E94" s="224"/>
      <c r="F94" s="224" t="s">
        <v>15454</v>
      </c>
    </row>
    <row r="95" spans="1:6" x14ac:dyDescent="0.3">
      <c r="A95" s="224"/>
      <c r="B95" s="224" t="s">
        <v>15557</v>
      </c>
      <c r="C95" s="224" t="s">
        <v>15444</v>
      </c>
      <c r="D95" s="224"/>
      <c r="E95" s="224"/>
      <c r="F95" s="224" t="s">
        <v>15455</v>
      </c>
    </row>
    <row r="96" spans="1:6" x14ac:dyDescent="0.3">
      <c r="A96" s="224"/>
      <c r="B96" s="224" t="s">
        <v>15557</v>
      </c>
      <c r="C96" s="224" t="s">
        <v>15446</v>
      </c>
      <c r="D96" s="224"/>
      <c r="E96" s="224"/>
      <c r="F96" s="224" t="s">
        <v>15456</v>
      </c>
    </row>
    <row r="97" spans="1:6" x14ac:dyDescent="0.3">
      <c r="A97" s="224"/>
      <c r="B97" s="224" t="s">
        <v>15557</v>
      </c>
      <c r="C97" s="224" t="s">
        <v>1152</v>
      </c>
      <c r="D97" s="224"/>
      <c r="E97" s="224"/>
      <c r="F97" s="224" t="s">
        <v>15457</v>
      </c>
    </row>
    <row r="98" spans="1:6" x14ac:dyDescent="0.3">
      <c r="A98" s="224"/>
      <c r="B98" s="224" t="s">
        <v>15560</v>
      </c>
      <c r="C98" s="224" t="s">
        <v>15437</v>
      </c>
      <c r="D98" s="224" t="s">
        <v>15561</v>
      </c>
      <c r="E98" s="224" t="s">
        <v>15562</v>
      </c>
      <c r="F98" s="224" t="s">
        <v>15461</v>
      </c>
    </row>
    <row r="99" spans="1:6" x14ac:dyDescent="0.3">
      <c r="A99" s="224"/>
      <c r="B99" s="224" t="s">
        <v>15560</v>
      </c>
      <c r="C99" s="224" t="s">
        <v>15441</v>
      </c>
      <c r="D99" s="224"/>
      <c r="E99" s="224"/>
      <c r="F99" s="224" t="s">
        <v>15462</v>
      </c>
    </row>
    <row r="100" spans="1:6" x14ac:dyDescent="0.3">
      <c r="A100" s="224"/>
      <c r="B100" s="224" t="s">
        <v>15560</v>
      </c>
      <c r="C100" s="224" t="s">
        <v>1081</v>
      </c>
      <c r="D100" s="224"/>
      <c r="E100" s="224"/>
      <c r="F100" s="224" t="s">
        <v>15463</v>
      </c>
    </row>
    <row r="101" spans="1:6" x14ac:dyDescent="0.3">
      <c r="A101" s="224"/>
      <c r="B101" s="224" t="s">
        <v>15560</v>
      </c>
      <c r="C101" s="224" t="s">
        <v>15444</v>
      </c>
      <c r="D101" s="224"/>
      <c r="E101" s="224"/>
      <c r="F101" s="224" t="s">
        <v>15464</v>
      </c>
    </row>
    <row r="102" spans="1:6" x14ac:dyDescent="0.3">
      <c r="A102" s="224"/>
      <c r="B102" s="224" t="s">
        <v>15560</v>
      </c>
      <c r="C102" s="224" t="s">
        <v>15446</v>
      </c>
      <c r="D102" s="224"/>
      <c r="E102" s="224"/>
      <c r="F102" s="224" t="s">
        <v>15465</v>
      </c>
    </row>
    <row r="103" spans="1:6" x14ac:dyDescent="0.3">
      <c r="A103" s="224"/>
      <c r="B103" s="224" t="s">
        <v>15560</v>
      </c>
      <c r="C103" s="224" t="s">
        <v>1152</v>
      </c>
      <c r="D103" s="224"/>
      <c r="E103" s="224"/>
      <c r="F103" s="224" t="s">
        <v>15466</v>
      </c>
    </row>
    <row r="104" spans="1:6" x14ac:dyDescent="0.3">
      <c r="A104" s="224"/>
      <c r="B104" s="224" t="s">
        <v>15563</v>
      </c>
      <c r="C104" s="224" t="s">
        <v>15437</v>
      </c>
      <c r="D104" s="224" t="s">
        <v>15564</v>
      </c>
      <c r="E104" s="224" t="s">
        <v>15565</v>
      </c>
      <c r="F104" s="224" t="s">
        <v>15470</v>
      </c>
    </row>
    <row r="105" spans="1:6" x14ac:dyDescent="0.3">
      <c r="A105" s="224"/>
      <c r="B105" s="224" t="s">
        <v>15563</v>
      </c>
      <c r="C105" s="224" t="s">
        <v>15441</v>
      </c>
      <c r="D105" s="224"/>
      <c r="E105" s="224"/>
      <c r="F105" s="224" t="s">
        <v>15471</v>
      </c>
    </row>
    <row r="106" spans="1:6" x14ac:dyDescent="0.3">
      <c r="A106" s="224"/>
      <c r="B106" s="224" t="s">
        <v>15563</v>
      </c>
      <c r="C106" s="224" t="s">
        <v>1081</v>
      </c>
      <c r="D106" s="224"/>
      <c r="E106" s="224"/>
      <c r="F106" s="224" t="s">
        <v>15472</v>
      </c>
    </row>
    <row r="107" spans="1:6" x14ac:dyDescent="0.3">
      <c r="A107" s="224"/>
      <c r="B107" s="224" t="s">
        <v>15563</v>
      </c>
      <c r="C107" s="224" t="s">
        <v>15444</v>
      </c>
      <c r="D107" s="224"/>
      <c r="E107" s="224"/>
      <c r="F107" s="224" t="s">
        <v>15473</v>
      </c>
    </row>
    <row r="108" spans="1:6" x14ac:dyDescent="0.3">
      <c r="A108" s="224"/>
      <c r="B108" s="224" t="s">
        <v>15563</v>
      </c>
      <c r="C108" s="224" t="s">
        <v>15446</v>
      </c>
      <c r="D108" s="224"/>
      <c r="E108" s="224"/>
      <c r="F108" s="224" t="s">
        <v>15474</v>
      </c>
    </row>
    <row r="109" spans="1:6" x14ac:dyDescent="0.3">
      <c r="A109" s="224"/>
      <c r="B109" s="224" t="s">
        <v>15563</v>
      </c>
      <c r="C109" s="224" t="s">
        <v>1152</v>
      </c>
      <c r="D109" s="224"/>
      <c r="E109" s="224"/>
      <c r="F109" s="224" t="s">
        <v>15475</v>
      </c>
    </row>
    <row r="110" spans="1:6" x14ac:dyDescent="0.3">
      <c r="A110" s="224"/>
      <c r="B110" s="224" t="s">
        <v>15566</v>
      </c>
      <c r="C110" s="224" t="s">
        <v>15437</v>
      </c>
      <c r="D110" s="224" t="s">
        <v>15567</v>
      </c>
      <c r="E110" s="224" t="s">
        <v>15568</v>
      </c>
      <c r="F110" s="224" t="s">
        <v>15479</v>
      </c>
    </row>
    <row r="111" spans="1:6" x14ac:dyDescent="0.3">
      <c r="A111" s="224"/>
      <c r="B111" s="224" t="s">
        <v>15566</v>
      </c>
      <c r="C111" s="224" t="s">
        <v>15441</v>
      </c>
      <c r="D111" s="224"/>
      <c r="E111" s="224"/>
      <c r="F111" s="224" t="s">
        <v>15480</v>
      </c>
    </row>
    <row r="112" spans="1:6" x14ac:dyDescent="0.3">
      <c r="A112" s="224"/>
      <c r="B112" s="224" t="s">
        <v>15566</v>
      </c>
      <c r="C112" s="224" t="s">
        <v>1081</v>
      </c>
      <c r="D112" s="224"/>
      <c r="E112" s="224"/>
      <c r="F112" s="224" t="s">
        <v>15481</v>
      </c>
    </row>
    <row r="113" spans="1:6" x14ac:dyDescent="0.3">
      <c r="A113" s="224"/>
      <c r="B113" s="224" t="s">
        <v>15566</v>
      </c>
      <c r="C113" s="224" t="s">
        <v>15444</v>
      </c>
      <c r="D113" s="224"/>
      <c r="E113" s="224"/>
      <c r="F113" s="224" t="s">
        <v>15482</v>
      </c>
    </row>
    <row r="114" spans="1:6" x14ac:dyDescent="0.3">
      <c r="A114" s="224"/>
      <c r="B114" s="224" t="s">
        <v>15566</v>
      </c>
      <c r="C114" s="224" t="s">
        <v>15446</v>
      </c>
      <c r="D114" s="224"/>
      <c r="E114" s="224"/>
      <c r="F114" s="224" t="s">
        <v>15483</v>
      </c>
    </row>
    <row r="115" spans="1:6" x14ac:dyDescent="0.3">
      <c r="A115" s="224"/>
      <c r="B115" s="224" t="s">
        <v>15566</v>
      </c>
      <c r="C115" s="224" t="s">
        <v>1152</v>
      </c>
      <c r="D115" s="224"/>
      <c r="E115" s="224"/>
      <c r="F115" s="224" t="s">
        <v>15484</v>
      </c>
    </row>
    <row r="116" spans="1:6" x14ac:dyDescent="0.3">
      <c r="A116" s="224"/>
      <c r="B116" s="224" t="s">
        <v>15569</v>
      </c>
      <c r="C116" s="224" t="s">
        <v>15437</v>
      </c>
      <c r="D116" s="224" t="s">
        <v>15570</v>
      </c>
      <c r="E116" s="224" t="s">
        <v>15571</v>
      </c>
      <c r="F116" s="224" t="s">
        <v>15488</v>
      </c>
    </row>
    <row r="117" spans="1:6" x14ac:dyDescent="0.3">
      <c r="A117" s="224"/>
      <c r="B117" s="224" t="s">
        <v>15569</v>
      </c>
      <c r="C117" s="224" t="s">
        <v>15441</v>
      </c>
      <c r="D117" s="224"/>
      <c r="E117" s="224"/>
      <c r="F117" s="224" t="s">
        <v>15489</v>
      </c>
    </row>
    <row r="118" spans="1:6" x14ac:dyDescent="0.3">
      <c r="A118" s="224"/>
      <c r="B118" s="224" t="s">
        <v>15569</v>
      </c>
      <c r="C118" s="224" t="s">
        <v>1081</v>
      </c>
      <c r="D118" s="224"/>
      <c r="E118" s="224"/>
      <c r="F118" s="224" t="s">
        <v>15490</v>
      </c>
    </row>
    <row r="119" spans="1:6" x14ac:dyDescent="0.3">
      <c r="A119" s="224"/>
      <c r="B119" s="224" t="s">
        <v>15569</v>
      </c>
      <c r="C119" s="224" t="s">
        <v>15444</v>
      </c>
      <c r="D119" s="224"/>
      <c r="E119" s="224"/>
      <c r="F119" s="224" t="s">
        <v>15491</v>
      </c>
    </row>
    <row r="120" spans="1:6" x14ac:dyDescent="0.3">
      <c r="A120" s="224"/>
      <c r="B120" s="224" t="s">
        <v>15569</v>
      </c>
      <c r="C120" s="224" t="s">
        <v>15446</v>
      </c>
      <c r="D120" s="224"/>
      <c r="E120" s="224"/>
      <c r="F120" s="224" t="s">
        <v>15492</v>
      </c>
    </row>
    <row r="121" spans="1:6" x14ac:dyDescent="0.3">
      <c r="A121" s="224"/>
      <c r="B121" s="224" t="s">
        <v>15569</v>
      </c>
      <c r="C121" s="224" t="s">
        <v>1152</v>
      </c>
      <c r="D121" s="224"/>
      <c r="E121" s="224"/>
      <c r="F121" s="224" t="s">
        <v>15493</v>
      </c>
    </row>
    <row r="122" spans="1:6" x14ac:dyDescent="0.3">
      <c r="A122" s="224"/>
      <c r="B122" s="224" t="s">
        <v>15572</v>
      </c>
      <c r="C122" s="224" t="s">
        <v>15437</v>
      </c>
      <c r="D122" s="224" t="s">
        <v>15573</v>
      </c>
      <c r="E122" s="224" t="s">
        <v>15574</v>
      </c>
      <c r="F122" s="224" t="s">
        <v>15497</v>
      </c>
    </row>
    <row r="123" spans="1:6" x14ac:dyDescent="0.3">
      <c r="A123" s="224"/>
      <c r="B123" s="224" t="s">
        <v>15572</v>
      </c>
      <c r="C123" s="224" t="s">
        <v>15441</v>
      </c>
      <c r="D123" s="224"/>
      <c r="E123" s="224"/>
      <c r="F123" s="224" t="s">
        <v>15498</v>
      </c>
    </row>
    <row r="124" spans="1:6" x14ac:dyDescent="0.3">
      <c r="A124" s="224"/>
      <c r="B124" s="224" t="s">
        <v>15572</v>
      </c>
      <c r="C124" s="224" t="s">
        <v>1081</v>
      </c>
      <c r="D124" s="224"/>
      <c r="E124" s="224"/>
      <c r="F124" s="224" t="s">
        <v>15499</v>
      </c>
    </row>
    <row r="125" spans="1:6" x14ac:dyDescent="0.3">
      <c r="A125" s="224"/>
      <c r="B125" s="224" t="s">
        <v>15572</v>
      </c>
      <c r="C125" s="224" t="s">
        <v>15444</v>
      </c>
      <c r="D125" s="224"/>
      <c r="E125" s="224"/>
      <c r="F125" s="224" t="s">
        <v>15500</v>
      </c>
    </row>
    <row r="126" spans="1:6" x14ac:dyDescent="0.3">
      <c r="A126" s="224"/>
      <c r="B126" s="224" t="s">
        <v>15572</v>
      </c>
      <c r="C126" s="224" t="s">
        <v>15446</v>
      </c>
      <c r="D126" s="224"/>
      <c r="E126" s="224"/>
      <c r="F126" s="224" t="s">
        <v>15501</v>
      </c>
    </row>
    <row r="127" spans="1:6" x14ac:dyDescent="0.3">
      <c r="A127" s="224"/>
      <c r="B127" s="224" t="s">
        <v>15572</v>
      </c>
      <c r="C127" s="224" t="s">
        <v>1152</v>
      </c>
      <c r="D127" s="224"/>
      <c r="E127" s="224"/>
      <c r="F127" s="224" t="s">
        <v>15502</v>
      </c>
    </row>
    <row r="128" spans="1:6" x14ac:dyDescent="0.3">
      <c r="A128" s="224"/>
      <c r="B128" s="224" t="s">
        <v>15575</v>
      </c>
      <c r="C128" s="224" t="s">
        <v>15437</v>
      </c>
      <c r="D128" s="224" t="s">
        <v>15576</v>
      </c>
      <c r="E128" s="224" t="s">
        <v>15577</v>
      </c>
      <c r="F128" s="224" t="s">
        <v>15506</v>
      </c>
    </row>
    <row r="129" spans="1:6" x14ac:dyDescent="0.3">
      <c r="A129" s="224"/>
      <c r="B129" s="224" t="s">
        <v>15575</v>
      </c>
      <c r="C129" s="224" t="s">
        <v>15441</v>
      </c>
      <c r="D129" s="224"/>
      <c r="E129" s="224"/>
      <c r="F129" s="224" t="s">
        <v>15507</v>
      </c>
    </row>
    <row r="130" spans="1:6" x14ac:dyDescent="0.3">
      <c r="A130" s="224"/>
      <c r="B130" s="224" t="s">
        <v>15575</v>
      </c>
      <c r="C130" s="224" t="s">
        <v>1081</v>
      </c>
      <c r="D130" s="224"/>
      <c r="E130" s="224"/>
      <c r="F130" s="224" t="s">
        <v>15508</v>
      </c>
    </row>
    <row r="131" spans="1:6" x14ac:dyDescent="0.3">
      <c r="A131" s="224"/>
      <c r="B131" s="224" t="s">
        <v>15575</v>
      </c>
      <c r="C131" s="224" t="s">
        <v>15444</v>
      </c>
      <c r="D131" s="224"/>
      <c r="E131" s="224"/>
      <c r="F131" s="224" t="s">
        <v>15509</v>
      </c>
    </row>
    <row r="132" spans="1:6" x14ac:dyDescent="0.3">
      <c r="A132" s="224"/>
      <c r="B132" s="224" t="s">
        <v>15575</v>
      </c>
      <c r="C132" s="224" t="s">
        <v>15446</v>
      </c>
      <c r="D132" s="224"/>
      <c r="E132" s="224"/>
      <c r="F132" s="224" t="s">
        <v>15510</v>
      </c>
    </row>
    <row r="133" spans="1:6" x14ac:dyDescent="0.3">
      <c r="A133" s="224"/>
      <c r="B133" s="224" t="s">
        <v>15575</v>
      </c>
      <c r="C133" s="224" t="s">
        <v>1152</v>
      </c>
      <c r="D133" s="224"/>
      <c r="E133" s="224"/>
      <c r="F133" s="224" t="s">
        <v>15511</v>
      </c>
    </row>
    <row r="134" spans="1:6" x14ac:dyDescent="0.3">
      <c r="A134" s="224"/>
      <c r="B134" s="224" t="s">
        <v>15578</v>
      </c>
      <c r="C134" s="224" t="s">
        <v>15437</v>
      </c>
      <c r="D134" s="224" t="s">
        <v>15579</v>
      </c>
      <c r="E134" s="224" t="s">
        <v>15580</v>
      </c>
      <c r="F134" s="224" t="s">
        <v>15515</v>
      </c>
    </row>
    <row r="135" spans="1:6" x14ac:dyDescent="0.3">
      <c r="A135" s="224"/>
      <c r="B135" s="224" t="s">
        <v>15578</v>
      </c>
      <c r="C135" s="224" t="s">
        <v>15441</v>
      </c>
      <c r="D135" s="224"/>
      <c r="E135" s="224"/>
      <c r="F135" s="224" t="s">
        <v>15516</v>
      </c>
    </row>
    <row r="136" spans="1:6" x14ac:dyDescent="0.3">
      <c r="A136" s="224"/>
      <c r="B136" s="224" t="s">
        <v>15578</v>
      </c>
      <c r="C136" s="224" t="s">
        <v>1081</v>
      </c>
      <c r="D136" s="224"/>
      <c r="E136" s="224"/>
      <c r="F136" s="224" t="s">
        <v>15517</v>
      </c>
    </row>
    <row r="137" spans="1:6" x14ac:dyDescent="0.3">
      <c r="A137" s="224"/>
      <c r="B137" s="224" t="s">
        <v>15578</v>
      </c>
      <c r="C137" s="224" t="s">
        <v>15444</v>
      </c>
      <c r="D137" s="224"/>
      <c r="E137" s="224"/>
      <c r="F137" s="224" t="s">
        <v>15518</v>
      </c>
    </row>
    <row r="138" spans="1:6" x14ac:dyDescent="0.3">
      <c r="A138" s="224"/>
      <c r="B138" s="224" t="s">
        <v>15578</v>
      </c>
      <c r="C138" s="224" t="s">
        <v>15446</v>
      </c>
      <c r="D138" s="224"/>
      <c r="E138" s="224"/>
      <c r="F138" s="224" t="s">
        <v>15519</v>
      </c>
    </row>
    <row r="139" spans="1:6" x14ac:dyDescent="0.3">
      <c r="A139" s="224"/>
      <c r="B139" s="224" t="s">
        <v>15578</v>
      </c>
      <c r="C139" s="224" t="s">
        <v>1152</v>
      </c>
      <c r="D139" s="224"/>
      <c r="E139" s="224"/>
      <c r="F139" s="224" t="s">
        <v>15520</v>
      </c>
    </row>
    <row r="140" spans="1:6" x14ac:dyDescent="0.3">
      <c r="A140" s="224"/>
      <c r="B140" s="224" t="s">
        <v>15581</v>
      </c>
      <c r="C140" s="224" t="s">
        <v>15437</v>
      </c>
      <c r="D140" s="224" t="s">
        <v>15582</v>
      </c>
      <c r="E140" s="224" t="s">
        <v>15583</v>
      </c>
      <c r="F140" s="224" t="s">
        <v>15524</v>
      </c>
    </row>
    <row r="141" spans="1:6" x14ac:dyDescent="0.3">
      <c r="A141" s="224"/>
      <c r="B141" s="224" t="s">
        <v>15581</v>
      </c>
      <c r="C141" s="224" t="s">
        <v>15441</v>
      </c>
      <c r="D141" s="224"/>
      <c r="E141" s="224"/>
      <c r="F141" s="224" t="s">
        <v>15525</v>
      </c>
    </row>
    <row r="142" spans="1:6" x14ac:dyDescent="0.3">
      <c r="A142" s="224"/>
      <c r="B142" s="224" t="s">
        <v>15581</v>
      </c>
      <c r="C142" s="224" t="s">
        <v>1081</v>
      </c>
      <c r="D142" s="224"/>
      <c r="E142" s="224"/>
      <c r="F142" s="224" t="s">
        <v>15526</v>
      </c>
    </row>
    <row r="143" spans="1:6" x14ac:dyDescent="0.3">
      <c r="A143" s="224"/>
      <c r="B143" s="224" t="s">
        <v>15581</v>
      </c>
      <c r="C143" s="224" t="s">
        <v>15444</v>
      </c>
      <c r="D143" s="224"/>
      <c r="E143" s="224"/>
      <c r="F143" s="224" t="s">
        <v>15527</v>
      </c>
    </row>
    <row r="144" spans="1:6" x14ac:dyDescent="0.3">
      <c r="A144" s="224"/>
      <c r="B144" s="224" t="s">
        <v>15581</v>
      </c>
      <c r="C144" s="224" t="s">
        <v>15446</v>
      </c>
      <c r="D144" s="224"/>
      <c r="E144" s="224"/>
      <c r="F144" s="224" t="s">
        <v>15528</v>
      </c>
    </row>
    <row r="145" spans="1:6" x14ac:dyDescent="0.3">
      <c r="A145" s="224"/>
      <c r="B145" s="224" t="s">
        <v>15581</v>
      </c>
      <c r="C145" s="224" t="s">
        <v>1152</v>
      </c>
      <c r="D145" s="224"/>
      <c r="E145" s="224"/>
      <c r="F145" s="224" t="s">
        <v>15529</v>
      </c>
    </row>
    <row r="146" spans="1:6" x14ac:dyDescent="0.3">
      <c r="A146" s="224" t="s">
        <v>14993</v>
      </c>
      <c r="B146" s="224" t="s">
        <v>15584</v>
      </c>
      <c r="C146" s="224" t="s">
        <v>15437</v>
      </c>
      <c r="D146" s="224" t="s">
        <v>15585</v>
      </c>
      <c r="E146" s="224" t="s">
        <v>15586</v>
      </c>
      <c r="F146" s="224" t="s">
        <v>15440</v>
      </c>
    </row>
    <row r="147" spans="1:6" x14ac:dyDescent="0.3">
      <c r="A147" s="224"/>
      <c r="B147" s="224" t="s">
        <v>15584</v>
      </c>
      <c r="C147" s="224" t="s">
        <v>15441</v>
      </c>
      <c r="D147" s="224"/>
      <c r="E147" s="224"/>
      <c r="F147" s="224" t="s">
        <v>15442</v>
      </c>
    </row>
    <row r="148" spans="1:6" x14ac:dyDescent="0.3">
      <c r="A148" s="224"/>
      <c r="B148" s="224" t="s">
        <v>15584</v>
      </c>
      <c r="C148" s="224" t="s">
        <v>1081</v>
      </c>
      <c r="D148" s="224"/>
      <c r="E148" s="224"/>
      <c r="F148" s="224" t="s">
        <v>15443</v>
      </c>
    </row>
    <row r="149" spans="1:6" x14ac:dyDescent="0.3">
      <c r="A149" s="224"/>
      <c r="B149" s="224" t="s">
        <v>15584</v>
      </c>
      <c r="C149" s="224" t="s">
        <v>15444</v>
      </c>
      <c r="D149" s="224"/>
      <c r="E149" s="224"/>
      <c r="F149" s="224" t="s">
        <v>15445</v>
      </c>
    </row>
    <row r="150" spans="1:6" x14ac:dyDescent="0.3">
      <c r="A150" s="224"/>
      <c r="B150" s="224" t="s">
        <v>15584</v>
      </c>
      <c r="C150" s="224" t="s">
        <v>15446</v>
      </c>
      <c r="D150" s="224"/>
      <c r="E150" s="224"/>
      <c r="F150" s="224" t="s">
        <v>15447</v>
      </c>
    </row>
    <row r="151" spans="1:6" x14ac:dyDescent="0.3">
      <c r="A151" s="224"/>
      <c r="B151" s="224" t="s">
        <v>15584</v>
      </c>
      <c r="C151" s="224" t="s">
        <v>1152</v>
      </c>
      <c r="D151" s="224"/>
      <c r="E151" s="224"/>
      <c r="F151" s="224" t="s">
        <v>15448</v>
      </c>
    </row>
    <row r="152" spans="1:6" x14ac:dyDescent="0.3">
      <c r="A152" s="224"/>
      <c r="B152" s="224" t="s">
        <v>15587</v>
      </c>
      <c r="C152" s="224" t="s">
        <v>15437</v>
      </c>
      <c r="D152" s="224" t="s">
        <v>15588</v>
      </c>
      <c r="E152" s="224" t="s">
        <v>15589</v>
      </c>
      <c r="F152" s="224" t="s">
        <v>15452</v>
      </c>
    </row>
    <row r="153" spans="1:6" x14ac:dyDescent="0.3">
      <c r="A153" s="224"/>
      <c r="B153" s="224" t="s">
        <v>15587</v>
      </c>
      <c r="C153" s="224" t="s">
        <v>15441</v>
      </c>
      <c r="D153" s="224"/>
      <c r="E153" s="224"/>
      <c r="F153" s="224" t="s">
        <v>15453</v>
      </c>
    </row>
    <row r="154" spans="1:6" x14ac:dyDescent="0.3">
      <c r="A154" s="224"/>
      <c r="B154" s="224" t="s">
        <v>15587</v>
      </c>
      <c r="C154" s="224" t="s">
        <v>1081</v>
      </c>
      <c r="D154" s="224"/>
      <c r="E154" s="224"/>
      <c r="F154" s="224" t="s">
        <v>15454</v>
      </c>
    </row>
    <row r="155" spans="1:6" x14ac:dyDescent="0.3">
      <c r="A155" s="224"/>
      <c r="B155" s="224" t="s">
        <v>15587</v>
      </c>
      <c r="C155" s="224" t="s">
        <v>15444</v>
      </c>
      <c r="D155" s="224"/>
      <c r="E155" s="224"/>
      <c r="F155" s="224" t="s">
        <v>15455</v>
      </c>
    </row>
    <row r="156" spans="1:6" x14ac:dyDescent="0.3">
      <c r="A156" s="224"/>
      <c r="B156" s="224" t="s">
        <v>15587</v>
      </c>
      <c r="C156" s="224" t="s">
        <v>15446</v>
      </c>
      <c r="D156" s="224"/>
      <c r="E156" s="224"/>
      <c r="F156" s="224" t="s">
        <v>15456</v>
      </c>
    </row>
    <row r="157" spans="1:6" x14ac:dyDescent="0.3">
      <c r="A157" s="224"/>
      <c r="B157" s="224" t="s">
        <v>15587</v>
      </c>
      <c r="C157" s="224" t="s">
        <v>1152</v>
      </c>
      <c r="D157" s="224"/>
      <c r="E157" s="224"/>
      <c r="F157" s="224" t="s">
        <v>15457</v>
      </c>
    </row>
    <row r="158" spans="1:6" x14ac:dyDescent="0.3">
      <c r="A158" s="224"/>
      <c r="B158" s="224" t="s">
        <v>15590</v>
      </c>
      <c r="C158" s="224" t="s">
        <v>15437</v>
      </c>
      <c r="D158" s="224" t="s">
        <v>15591</v>
      </c>
      <c r="E158" s="224" t="s">
        <v>15592</v>
      </c>
      <c r="F158" s="224" t="s">
        <v>15461</v>
      </c>
    </row>
    <row r="159" spans="1:6" x14ac:dyDescent="0.3">
      <c r="A159" s="224"/>
      <c r="B159" s="224" t="s">
        <v>15590</v>
      </c>
      <c r="C159" s="224" t="s">
        <v>15441</v>
      </c>
      <c r="D159" s="224"/>
      <c r="E159" s="224"/>
      <c r="F159" s="224" t="s">
        <v>15462</v>
      </c>
    </row>
    <row r="160" spans="1:6" x14ac:dyDescent="0.3">
      <c r="A160" s="224"/>
      <c r="B160" s="224" t="s">
        <v>15590</v>
      </c>
      <c r="C160" s="224" t="s">
        <v>1081</v>
      </c>
      <c r="D160" s="224"/>
      <c r="E160" s="224"/>
      <c r="F160" s="224" t="s">
        <v>15463</v>
      </c>
    </row>
    <row r="161" spans="1:6" x14ac:dyDescent="0.3">
      <c r="A161" s="224"/>
      <c r="B161" s="224" t="s">
        <v>15590</v>
      </c>
      <c r="C161" s="224" t="s">
        <v>15444</v>
      </c>
      <c r="D161" s="224"/>
      <c r="E161" s="224"/>
      <c r="F161" s="224" t="s">
        <v>15464</v>
      </c>
    </row>
    <row r="162" spans="1:6" x14ac:dyDescent="0.3">
      <c r="A162" s="224"/>
      <c r="B162" s="224" t="s">
        <v>15590</v>
      </c>
      <c r="C162" s="224" t="s">
        <v>15446</v>
      </c>
      <c r="D162" s="224"/>
      <c r="E162" s="224"/>
      <c r="F162" s="224" t="s">
        <v>15465</v>
      </c>
    </row>
    <row r="163" spans="1:6" x14ac:dyDescent="0.3">
      <c r="A163" s="224"/>
      <c r="B163" s="224" t="s">
        <v>15590</v>
      </c>
      <c r="C163" s="224" t="s">
        <v>1152</v>
      </c>
      <c r="D163" s="224"/>
      <c r="E163" s="224"/>
      <c r="F163" s="224" t="s">
        <v>15466</v>
      </c>
    </row>
    <row r="164" spans="1:6" x14ac:dyDescent="0.3">
      <c r="A164" s="224"/>
      <c r="B164" s="224" t="s">
        <v>15593</v>
      </c>
      <c r="C164" s="224" t="s">
        <v>15437</v>
      </c>
      <c r="D164" s="224" t="s">
        <v>15594</v>
      </c>
      <c r="E164" s="224" t="s">
        <v>15595</v>
      </c>
      <c r="F164" s="224" t="s">
        <v>15470</v>
      </c>
    </row>
    <row r="165" spans="1:6" x14ac:dyDescent="0.3">
      <c r="A165" s="224"/>
      <c r="B165" s="224" t="s">
        <v>15593</v>
      </c>
      <c r="C165" s="224" t="s">
        <v>15441</v>
      </c>
      <c r="D165" s="224"/>
      <c r="E165" s="224"/>
      <c r="F165" s="224" t="s">
        <v>15471</v>
      </c>
    </row>
    <row r="166" spans="1:6" x14ac:dyDescent="0.3">
      <c r="A166" s="224"/>
      <c r="B166" s="224" t="s">
        <v>15593</v>
      </c>
      <c r="C166" s="224" t="s">
        <v>1081</v>
      </c>
      <c r="D166" s="224"/>
      <c r="E166" s="224"/>
      <c r="F166" s="224" t="s">
        <v>15472</v>
      </c>
    </row>
    <row r="167" spans="1:6" x14ac:dyDescent="0.3">
      <c r="A167" s="224"/>
      <c r="B167" s="224" t="s">
        <v>15593</v>
      </c>
      <c r="C167" s="224" t="s">
        <v>15444</v>
      </c>
      <c r="D167" s="224"/>
      <c r="E167" s="224"/>
      <c r="F167" s="224" t="s">
        <v>15473</v>
      </c>
    </row>
    <row r="168" spans="1:6" x14ac:dyDescent="0.3">
      <c r="A168" s="224"/>
      <c r="B168" s="224" t="s">
        <v>15593</v>
      </c>
      <c r="C168" s="224" t="s">
        <v>15446</v>
      </c>
      <c r="D168" s="224"/>
      <c r="E168" s="224"/>
      <c r="F168" s="224" t="s">
        <v>15474</v>
      </c>
    </row>
    <row r="169" spans="1:6" x14ac:dyDescent="0.3">
      <c r="A169" s="224"/>
      <c r="B169" s="224" t="s">
        <v>15593</v>
      </c>
      <c r="C169" s="224" t="s">
        <v>1152</v>
      </c>
      <c r="D169" s="224"/>
      <c r="E169" s="224"/>
      <c r="F169" s="224" t="s">
        <v>15475</v>
      </c>
    </row>
    <row r="170" spans="1:6" x14ac:dyDescent="0.3">
      <c r="A170" s="224"/>
      <c r="B170" s="224" t="s">
        <v>15596</v>
      </c>
      <c r="C170" s="224" t="s">
        <v>15437</v>
      </c>
      <c r="D170" s="224" t="s">
        <v>15597</v>
      </c>
      <c r="E170" s="224" t="s">
        <v>15598</v>
      </c>
      <c r="F170" s="224" t="s">
        <v>15479</v>
      </c>
    </row>
    <row r="171" spans="1:6" x14ac:dyDescent="0.3">
      <c r="A171" s="224"/>
      <c r="B171" s="224" t="s">
        <v>15596</v>
      </c>
      <c r="C171" s="224" t="s">
        <v>15441</v>
      </c>
      <c r="D171" s="224"/>
      <c r="E171" s="224"/>
      <c r="F171" s="224" t="s">
        <v>15480</v>
      </c>
    </row>
    <row r="172" spans="1:6" x14ac:dyDescent="0.3">
      <c r="A172" s="224"/>
      <c r="B172" s="224" t="s">
        <v>15596</v>
      </c>
      <c r="C172" s="224" t="s">
        <v>1081</v>
      </c>
      <c r="D172" s="224"/>
      <c r="E172" s="224"/>
      <c r="F172" s="224" t="s">
        <v>15481</v>
      </c>
    </row>
    <row r="173" spans="1:6" x14ac:dyDescent="0.3">
      <c r="A173" s="224"/>
      <c r="B173" s="224" t="s">
        <v>15596</v>
      </c>
      <c r="C173" s="224" t="s">
        <v>15444</v>
      </c>
      <c r="D173" s="224"/>
      <c r="E173" s="224"/>
      <c r="F173" s="224" t="s">
        <v>15482</v>
      </c>
    </row>
    <row r="174" spans="1:6" x14ac:dyDescent="0.3">
      <c r="A174" s="224"/>
      <c r="B174" s="224" t="s">
        <v>15596</v>
      </c>
      <c r="C174" s="224" t="s">
        <v>15446</v>
      </c>
      <c r="D174" s="224"/>
      <c r="E174" s="224"/>
      <c r="F174" s="224" t="s">
        <v>15483</v>
      </c>
    </row>
    <row r="175" spans="1:6" x14ac:dyDescent="0.3">
      <c r="A175" s="224"/>
      <c r="B175" s="224" t="s">
        <v>15596</v>
      </c>
      <c r="C175" s="224" t="s">
        <v>1152</v>
      </c>
      <c r="D175" s="224"/>
      <c r="E175" s="224"/>
      <c r="F175" s="224" t="s">
        <v>15484</v>
      </c>
    </row>
    <row r="176" spans="1:6" x14ac:dyDescent="0.3">
      <c r="A176" s="224"/>
      <c r="B176" s="224" t="s">
        <v>15599</v>
      </c>
      <c r="C176" s="224" t="s">
        <v>15437</v>
      </c>
      <c r="D176" s="224" t="s">
        <v>15600</v>
      </c>
      <c r="E176" s="224" t="s">
        <v>15601</v>
      </c>
      <c r="F176" s="224" t="s">
        <v>15488</v>
      </c>
    </row>
    <row r="177" spans="1:6" x14ac:dyDescent="0.3">
      <c r="A177" s="224"/>
      <c r="B177" s="224" t="s">
        <v>15599</v>
      </c>
      <c r="C177" s="224" t="s">
        <v>15441</v>
      </c>
      <c r="D177" s="224"/>
      <c r="E177" s="224"/>
      <c r="F177" s="224" t="s">
        <v>15489</v>
      </c>
    </row>
    <row r="178" spans="1:6" x14ac:dyDescent="0.3">
      <c r="A178" s="224"/>
      <c r="B178" s="224" t="s">
        <v>15599</v>
      </c>
      <c r="C178" s="224" t="s">
        <v>1081</v>
      </c>
      <c r="D178" s="224"/>
      <c r="E178" s="224"/>
      <c r="F178" s="224" t="s">
        <v>15490</v>
      </c>
    </row>
    <row r="179" spans="1:6" x14ac:dyDescent="0.3">
      <c r="A179" s="224"/>
      <c r="B179" s="224" t="s">
        <v>15599</v>
      </c>
      <c r="C179" s="224" t="s">
        <v>15444</v>
      </c>
      <c r="D179" s="224"/>
      <c r="E179" s="224"/>
      <c r="F179" s="224" t="s">
        <v>15491</v>
      </c>
    </row>
    <row r="180" spans="1:6" x14ac:dyDescent="0.3">
      <c r="A180" s="224"/>
      <c r="B180" s="224" t="s">
        <v>15599</v>
      </c>
      <c r="C180" s="224" t="s">
        <v>15446</v>
      </c>
      <c r="D180" s="224"/>
      <c r="E180" s="224"/>
      <c r="F180" s="224" t="s">
        <v>15492</v>
      </c>
    </row>
    <row r="181" spans="1:6" x14ac:dyDescent="0.3">
      <c r="A181" s="224"/>
      <c r="B181" s="224" t="s">
        <v>15599</v>
      </c>
      <c r="C181" s="224" t="s">
        <v>1152</v>
      </c>
      <c r="D181" s="224"/>
      <c r="E181" s="224"/>
      <c r="F181" s="224" t="s">
        <v>15493</v>
      </c>
    </row>
    <row r="182" spans="1:6" x14ac:dyDescent="0.3">
      <c r="A182" s="224"/>
      <c r="B182" s="224" t="s">
        <v>15602</v>
      </c>
      <c r="C182" s="224" t="s">
        <v>15437</v>
      </c>
      <c r="D182" s="224" t="s">
        <v>15603</v>
      </c>
      <c r="E182" s="224" t="s">
        <v>15604</v>
      </c>
      <c r="F182" s="224" t="s">
        <v>15497</v>
      </c>
    </row>
    <row r="183" spans="1:6" x14ac:dyDescent="0.3">
      <c r="A183" s="224"/>
      <c r="B183" s="224" t="s">
        <v>15602</v>
      </c>
      <c r="C183" s="224" t="s">
        <v>15441</v>
      </c>
      <c r="D183" s="224"/>
      <c r="E183" s="224"/>
      <c r="F183" s="224" t="s">
        <v>15498</v>
      </c>
    </row>
    <row r="184" spans="1:6" x14ac:dyDescent="0.3">
      <c r="A184" s="224"/>
      <c r="B184" s="224" t="s">
        <v>15602</v>
      </c>
      <c r="C184" s="224" t="s">
        <v>1081</v>
      </c>
      <c r="D184" s="224"/>
      <c r="E184" s="224"/>
      <c r="F184" s="224" t="s">
        <v>15499</v>
      </c>
    </row>
    <row r="185" spans="1:6" x14ac:dyDescent="0.3">
      <c r="A185" s="224"/>
      <c r="B185" s="224" t="s">
        <v>15602</v>
      </c>
      <c r="C185" s="224" t="s">
        <v>15444</v>
      </c>
      <c r="D185" s="224"/>
      <c r="E185" s="224"/>
      <c r="F185" s="224" t="s">
        <v>15500</v>
      </c>
    </row>
    <row r="186" spans="1:6" x14ac:dyDescent="0.3">
      <c r="A186" s="224"/>
      <c r="B186" s="224" t="s">
        <v>15602</v>
      </c>
      <c r="C186" s="224" t="s">
        <v>15446</v>
      </c>
      <c r="D186" s="224"/>
      <c r="E186" s="224"/>
      <c r="F186" s="224" t="s">
        <v>15501</v>
      </c>
    </row>
    <row r="187" spans="1:6" x14ac:dyDescent="0.3">
      <c r="A187" s="224"/>
      <c r="B187" s="224" t="s">
        <v>15602</v>
      </c>
      <c r="C187" s="224" t="s">
        <v>1152</v>
      </c>
      <c r="D187" s="224"/>
      <c r="E187" s="224"/>
      <c r="F187" s="224" t="s">
        <v>15502</v>
      </c>
    </row>
    <row r="188" spans="1:6" x14ac:dyDescent="0.3">
      <c r="A188" s="224"/>
      <c r="B188" s="224" t="s">
        <v>15605</v>
      </c>
      <c r="C188" s="224" t="s">
        <v>15437</v>
      </c>
      <c r="D188" s="224" t="s">
        <v>15606</v>
      </c>
      <c r="E188" s="224" t="s">
        <v>15607</v>
      </c>
      <c r="F188" s="224" t="s">
        <v>15506</v>
      </c>
    </row>
    <row r="189" spans="1:6" x14ac:dyDescent="0.3">
      <c r="A189" s="224"/>
      <c r="B189" s="224" t="s">
        <v>15605</v>
      </c>
      <c r="C189" s="224" t="s">
        <v>15441</v>
      </c>
      <c r="D189" s="224"/>
      <c r="E189" s="224"/>
      <c r="F189" s="224" t="s">
        <v>15507</v>
      </c>
    </row>
    <row r="190" spans="1:6" x14ac:dyDescent="0.3">
      <c r="A190" s="224"/>
      <c r="B190" s="224" t="s">
        <v>15605</v>
      </c>
      <c r="C190" s="224" t="s">
        <v>1081</v>
      </c>
      <c r="D190" s="224"/>
      <c r="E190" s="224"/>
      <c r="F190" s="224" t="s">
        <v>15508</v>
      </c>
    </row>
    <row r="191" spans="1:6" x14ac:dyDescent="0.3">
      <c r="A191" s="224"/>
      <c r="B191" s="224" t="s">
        <v>15605</v>
      </c>
      <c r="C191" s="224" t="s">
        <v>15444</v>
      </c>
      <c r="D191" s="224"/>
      <c r="E191" s="224"/>
      <c r="F191" s="224" t="s">
        <v>15509</v>
      </c>
    </row>
    <row r="192" spans="1:6" x14ac:dyDescent="0.3">
      <c r="A192" s="224"/>
      <c r="B192" s="224" t="s">
        <v>15605</v>
      </c>
      <c r="C192" s="224" t="s">
        <v>15446</v>
      </c>
      <c r="D192" s="224"/>
      <c r="E192" s="224"/>
      <c r="F192" s="224" t="s">
        <v>15510</v>
      </c>
    </row>
    <row r="193" spans="1:6" x14ac:dyDescent="0.3">
      <c r="A193" s="224"/>
      <c r="B193" s="224" t="s">
        <v>15605</v>
      </c>
      <c r="C193" s="224" t="s">
        <v>1152</v>
      </c>
      <c r="D193" s="224"/>
      <c r="E193" s="224"/>
      <c r="F193" s="224" t="s">
        <v>15511</v>
      </c>
    </row>
    <row r="194" spans="1:6" x14ac:dyDescent="0.3">
      <c r="A194" s="224"/>
      <c r="B194" s="224" t="s">
        <v>15608</v>
      </c>
      <c r="C194" s="224" t="s">
        <v>15437</v>
      </c>
      <c r="D194" s="224" t="s">
        <v>15609</v>
      </c>
      <c r="E194" s="224" t="s">
        <v>15610</v>
      </c>
      <c r="F194" s="224" t="s">
        <v>15515</v>
      </c>
    </row>
    <row r="195" spans="1:6" x14ac:dyDescent="0.3">
      <c r="A195" s="224"/>
      <c r="B195" s="224" t="s">
        <v>15608</v>
      </c>
      <c r="C195" s="224" t="s">
        <v>15441</v>
      </c>
      <c r="D195" s="224"/>
      <c r="E195" s="224"/>
      <c r="F195" s="224" t="s">
        <v>15516</v>
      </c>
    </row>
    <row r="196" spans="1:6" x14ac:dyDescent="0.3">
      <c r="A196" s="224"/>
      <c r="B196" s="224" t="s">
        <v>15608</v>
      </c>
      <c r="C196" s="224" t="s">
        <v>1081</v>
      </c>
      <c r="D196" s="224"/>
      <c r="E196" s="224"/>
      <c r="F196" s="224" t="s">
        <v>15517</v>
      </c>
    </row>
    <row r="197" spans="1:6" x14ac:dyDescent="0.3">
      <c r="A197" s="224"/>
      <c r="B197" s="224" t="s">
        <v>15608</v>
      </c>
      <c r="C197" s="224" t="s">
        <v>15444</v>
      </c>
      <c r="D197" s="224"/>
      <c r="E197" s="224"/>
      <c r="F197" s="224" t="s">
        <v>15518</v>
      </c>
    </row>
    <row r="198" spans="1:6" x14ac:dyDescent="0.3">
      <c r="A198" s="224"/>
      <c r="B198" s="224" t="s">
        <v>15608</v>
      </c>
      <c r="C198" s="224" t="s">
        <v>15446</v>
      </c>
      <c r="D198" s="224"/>
      <c r="E198" s="224"/>
      <c r="F198" s="224" t="s">
        <v>15519</v>
      </c>
    </row>
    <row r="199" spans="1:6" x14ac:dyDescent="0.3">
      <c r="A199" s="224"/>
      <c r="B199" s="224" t="s">
        <v>15608</v>
      </c>
      <c r="C199" s="224" t="s">
        <v>1152</v>
      </c>
      <c r="D199" s="224"/>
      <c r="E199" s="224"/>
      <c r="F199" s="224" t="s">
        <v>15520</v>
      </c>
    </row>
    <row r="200" spans="1:6" x14ac:dyDescent="0.3">
      <c r="A200" s="224"/>
      <c r="B200" s="224" t="s">
        <v>15611</v>
      </c>
      <c r="C200" s="224" t="s">
        <v>15437</v>
      </c>
      <c r="D200" s="224" t="s">
        <v>15612</v>
      </c>
      <c r="E200" s="224" t="s">
        <v>15613</v>
      </c>
      <c r="F200" s="224" t="s">
        <v>15524</v>
      </c>
    </row>
    <row r="201" spans="1:6" x14ac:dyDescent="0.3">
      <c r="A201" s="224"/>
      <c r="B201" s="224" t="s">
        <v>15611</v>
      </c>
      <c r="C201" s="224" t="s">
        <v>15441</v>
      </c>
      <c r="D201" s="224"/>
      <c r="E201" s="224"/>
      <c r="F201" s="224" t="s">
        <v>15525</v>
      </c>
    </row>
    <row r="202" spans="1:6" x14ac:dyDescent="0.3">
      <c r="A202" s="224"/>
      <c r="B202" s="224" t="s">
        <v>15611</v>
      </c>
      <c r="C202" s="224" t="s">
        <v>1081</v>
      </c>
      <c r="D202" s="224"/>
      <c r="E202" s="224"/>
      <c r="F202" s="224" t="s">
        <v>15526</v>
      </c>
    </row>
    <row r="203" spans="1:6" x14ac:dyDescent="0.3">
      <c r="A203" s="224"/>
      <c r="B203" s="224" t="s">
        <v>15611</v>
      </c>
      <c r="C203" s="224" t="s">
        <v>15444</v>
      </c>
      <c r="D203" s="224"/>
      <c r="E203" s="224"/>
      <c r="F203" s="224" t="s">
        <v>15527</v>
      </c>
    </row>
    <row r="204" spans="1:6" x14ac:dyDescent="0.3">
      <c r="A204" s="224"/>
      <c r="B204" s="224" t="s">
        <v>15611</v>
      </c>
      <c r="C204" s="224" t="s">
        <v>15446</v>
      </c>
      <c r="D204" s="224"/>
      <c r="E204" s="224"/>
      <c r="F204" s="224" t="s">
        <v>15528</v>
      </c>
    </row>
    <row r="205" spans="1:6" x14ac:dyDescent="0.3">
      <c r="A205" s="224"/>
      <c r="B205" s="224" t="s">
        <v>15611</v>
      </c>
      <c r="C205" s="224" t="s">
        <v>1152</v>
      </c>
      <c r="D205" s="224"/>
      <c r="E205" s="224"/>
      <c r="F205" s="224" t="s">
        <v>15529</v>
      </c>
    </row>
    <row r="206" spans="1:6" x14ac:dyDescent="0.3">
      <c r="A206" s="224" t="s">
        <v>14992</v>
      </c>
      <c r="B206" s="224" t="s">
        <v>15614</v>
      </c>
      <c r="C206" s="224" t="s">
        <v>15437</v>
      </c>
      <c r="D206" s="224" t="s">
        <v>15615</v>
      </c>
      <c r="E206" s="224" t="s">
        <v>15616</v>
      </c>
      <c r="F206" s="224" t="s">
        <v>15440</v>
      </c>
    </row>
    <row r="207" spans="1:6" x14ac:dyDescent="0.3">
      <c r="A207" s="224"/>
      <c r="B207" s="224" t="s">
        <v>15614</v>
      </c>
      <c r="C207" s="224" t="s">
        <v>15441</v>
      </c>
      <c r="D207" s="224"/>
      <c r="E207" s="224"/>
      <c r="F207" s="224" t="s">
        <v>15442</v>
      </c>
    </row>
    <row r="208" spans="1:6" x14ac:dyDescent="0.3">
      <c r="A208" s="224"/>
      <c r="B208" s="224" t="s">
        <v>15614</v>
      </c>
      <c r="C208" s="224" t="s">
        <v>1081</v>
      </c>
      <c r="D208" s="224"/>
      <c r="E208" s="224"/>
      <c r="F208" s="224" t="s">
        <v>15443</v>
      </c>
    </row>
    <row r="209" spans="1:6" x14ac:dyDescent="0.3">
      <c r="A209" s="224"/>
      <c r="B209" s="224" t="s">
        <v>15614</v>
      </c>
      <c r="C209" s="224" t="s">
        <v>15444</v>
      </c>
      <c r="D209" s="224"/>
      <c r="E209" s="224"/>
      <c r="F209" s="224" t="s">
        <v>15445</v>
      </c>
    </row>
    <row r="210" spans="1:6" x14ac:dyDescent="0.3">
      <c r="A210" s="224"/>
      <c r="B210" s="224" t="s">
        <v>15614</v>
      </c>
      <c r="C210" s="224" t="s">
        <v>15446</v>
      </c>
      <c r="D210" s="224"/>
      <c r="E210" s="224"/>
      <c r="F210" s="224" t="s">
        <v>15447</v>
      </c>
    </row>
    <row r="211" spans="1:6" x14ac:dyDescent="0.3">
      <c r="A211" s="224"/>
      <c r="B211" s="224" t="s">
        <v>15614</v>
      </c>
      <c r="C211" s="224" t="s">
        <v>1152</v>
      </c>
      <c r="D211" s="224"/>
      <c r="E211" s="224"/>
      <c r="F211" s="224" t="s">
        <v>15448</v>
      </c>
    </row>
    <row r="212" spans="1:6" x14ac:dyDescent="0.3">
      <c r="A212" s="224"/>
      <c r="B212" s="224" t="s">
        <v>15617</v>
      </c>
      <c r="C212" s="224" t="s">
        <v>15437</v>
      </c>
      <c r="D212" s="224" t="s">
        <v>15618</v>
      </c>
      <c r="E212" s="224" t="s">
        <v>15576</v>
      </c>
      <c r="F212" s="224" t="s">
        <v>15452</v>
      </c>
    </row>
    <row r="213" spans="1:6" x14ac:dyDescent="0.3">
      <c r="A213" s="224"/>
      <c r="B213" s="224" t="s">
        <v>15617</v>
      </c>
      <c r="C213" s="224" t="s">
        <v>15441</v>
      </c>
      <c r="D213" s="224"/>
      <c r="E213" s="224"/>
      <c r="F213" s="224" t="s">
        <v>15453</v>
      </c>
    </row>
    <row r="214" spans="1:6" x14ac:dyDescent="0.3">
      <c r="A214" s="224"/>
      <c r="B214" s="224" t="s">
        <v>15617</v>
      </c>
      <c r="C214" s="224" t="s">
        <v>1081</v>
      </c>
      <c r="D214" s="224"/>
      <c r="E214" s="224"/>
      <c r="F214" s="224" t="s">
        <v>15454</v>
      </c>
    </row>
    <row r="215" spans="1:6" x14ac:dyDescent="0.3">
      <c r="A215" s="224"/>
      <c r="B215" s="224" t="s">
        <v>15617</v>
      </c>
      <c r="C215" s="224" t="s">
        <v>15444</v>
      </c>
      <c r="D215" s="224"/>
      <c r="E215" s="224"/>
      <c r="F215" s="224" t="s">
        <v>15455</v>
      </c>
    </row>
    <row r="216" spans="1:6" x14ac:dyDescent="0.3">
      <c r="A216" s="224"/>
      <c r="B216" s="224" t="s">
        <v>15617</v>
      </c>
      <c r="C216" s="224" t="s">
        <v>15446</v>
      </c>
      <c r="D216" s="224"/>
      <c r="E216" s="224"/>
      <c r="F216" s="224" t="s">
        <v>15456</v>
      </c>
    </row>
    <row r="217" spans="1:6" x14ac:dyDescent="0.3">
      <c r="A217" s="224"/>
      <c r="B217" s="224" t="s">
        <v>15617</v>
      </c>
      <c r="C217" s="224" t="s">
        <v>1152</v>
      </c>
      <c r="D217" s="224"/>
      <c r="E217" s="224"/>
      <c r="F217" s="224" t="s">
        <v>15457</v>
      </c>
    </row>
    <row r="218" spans="1:6" x14ac:dyDescent="0.3">
      <c r="A218" s="224"/>
      <c r="B218" s="224" t="s">
        <v>15619</v>
      </c>
      <c r="C218" s="224" t="s">
        <v>15437</v>
      </c>
      <c r="D218" s="224" t="s">
        <v>15620</v>
      </c>
      <c r="E218" s="224" t="s">
        <v>15621</v>
      </c>
      <c r="F218" s="224" t="s">
        <v>15461</v>
      </c>
    </row>
    <row r="219" spans="1:6" x14ac:dyDescent="0.3">
      <c r="A219" s="224"/>
      <c r="B219" s="224" t="s">
        <v>15619</v>
      </c>
      <c r="C219" s="224" t="s">
        <v>15441</v>
      </c>
      <c r="D219" s="224"/>
      <c r="E219" s="224"/>
      <c r="F219" s="224" t="s">
        <v>15462</v>
      </c>
    </row>
    <row r="220" spans="1:6" x14ac:dyDescent="0.3">
      <c r="A220" s="224"/>
      <c r="B220" s="224" t="s">
        <v>15619</v>
      </c>
      <c r="C220" s="224" t="s">
        <v>1081</v>
      </c>
      <c r="D220" s="224"/>
      <c r="E220" s="224"/>
      <c r="F220" s="224" t="s">
        <v>15463</v>
      </c>
    </row>
    <row r="221" spans="1:6" x14ac:dyDescent="0.3">
      <c r="A221" s="224"/>
      <c r="B221" s="224" t="s">
        <v>15619</v>
      </c>
      <c r="C221" s="224" t="s">
        <v>15444</v>
      </c>
      <c r="D221" s="224"/>
      <c r="E221" s="224"/>
      <c r="F221" s="224" t="s">
        <v>15464</v>
      </c>
    </row>
    <row r="222" spans="1:6" x14ac:dyDescent="0.3">
      <c r="A222" s="224"/>
      <c r="B222" s="224" t="s">
        <v>15619</v>
      </c>
      <c r="C222" s="224" t="s">
        <v>15446</v>
      </c>
      <c r="D222" s="224"/>
      <c r="E222" s="224"/>
      <c r="F222" s="224" t="s">
        <v>15465</v>
      </c>
    </row>
    <row r="223" spans="1:6" x14ac:dyDescent="0.3">
      <c r="A223" s="224"/>
      <c r="B223" s="224" t="s">
        <v>15619</v>
      </c>
      <c r="C223" s="224" t="s">
        <v>1152</v>
      </c>
      <c r="D223" s="224"/>
      <c r="E223" s="224"/>
      <c r="F223" s="224" t="s">
        <v>15466</v>
      </c>
    </row>
    <row r="224" spans="1:6" x14ac:dyDescent="0.3">
      <c r="A224" s="224"/>
      <c r="B224" s="224" t="s">
        <v>15622</v>
      </c>
      <c r="C224" s="224" t="s">
        <v>15437</v>
      </c>
      <c r="D224" s="224" t="s">
        <v>15623</v>
      </c>
      <c r="E224" s="224" t="s">
        <v>15624</v>
      </c>
      <c r="F224" s="224" t="s">
        <v>15470</v>
      </c>
    </row>
    <row r="225" spans="1:6" x14ac:dyDescent="0.3">
      <c r="A225" s="224"/>
      <c r="B225" s="224" t="s">
        <v>15622</v>
      </c>
      <c r="C225" s="224" t="s">
        <v>15441</v>
      </c>
      <c r="D225" s="224"/>
      <c r="E225" s="224"/>
      <c r="F225" s="224" t="s">
        <v>15471</v>
      </c>
    </row>
    <row r="226" spans="1:6" x14ac:dyDescent="0.3">
      <c r="A226" s="224"/>
      <c r="B226" s="224" t="s">
        <v>15622</v>
      </c>
      <c r="C226" s="224" t="s">
        <v>1081</v>
      </c>
      <c r="D226" s="224"/>
      <c r="E226" s="224"/>
      <c r="F226" s="224" t="s">
        <v>15472</v>
      </c>
    </row>
    <row r="227" spans="1:6" x14ac:dyDescent="0.3">
      <c r="A227" s="224"/>
      <c r="B227" s="224" t="s">
        <v>15622</v>
      </c>
      <c r="C227" s="224" t="s">
        <v>15444</v>
      </c>
      <c r="D227" s="224"/>
      <c r="E227" s="224"/>
      <c r="F227" s="224" t="s">
        <v>15473</v>
      </c>
    </row>
    <row r="228" spans="1:6" x14ac:dyDescent="0.3">
      <c r="A228" s="224"/>
      <c r="B228" s="224" t="s">
        <v>15622</v>
      </c>
      <c r="C228" s="224" t="s">
        <v>15446</v>
      </c>
      <c r="D228" s="224"/>
      <c r="E228" s="224"/>
      <c r="F228" s="224" t="s">
        <v>15474</v>
      </c>
    </row>
    <row r="229" spans="1:6" x14ac:dyDescent="0.3">
      <c r="A229" s="224"/>
      <c r="B229" s="224" t="s">
        <v>15622</v>
      </c>
      <c r="C229" s="224" t="s">
        <v>1152</v>
      </c>
      <c r="D229" s="224"/>
      <c r="E229" s="224"/>
      <c r="F229" s="224" t="s">
        <v>15475</v>
      </c>
    </row>
    <row r="230" spans="1:6" x14ac:dyDescent="0.3">
      <c r="A230" s="224"/>
      <c r="B230" s="224" t="s">
        <v>15625</v>
      </c>
      <c r="C230" s="224" t="s">
        <v>15437</v>
      </c>
      <c r="D230" s="224" t="s">
        <v>15626</v>
      </c>
      <c r="E230" s="224" t="s">
        <v>15627</v>
      </c>
      <c r="F230" s="224" t="s">
        <v>15479</v>
      </c>
    </row>
    <row r="231" spans="1:6" x14ac:dyDescent="0.3">
      <c r="A231" s="224"/>
      <c r="B231" s="224" t="s">
        <v>15625</v>
      </c>
      <c r="C231" s="224" t="s">
        <v>15441</v>
      </c>
      <c r="D231" s="224"/>
      <c r="E231" s="224"/>
      <c r="F231" s="224" t="s">
        <v>15480</v>
      </c>
    </row>
    <row r="232" spans="1:6" x14ac:dyDescent="0.3">
      <c r="A232" s="224"/>
      <c r="B232" s="224" t="s">
        <v>15625</v>
      </c>
      <c r="C232" s="224" t="s">
        <v>1081</v>
      </c>
      <c r="D232" s="224"/>
      <c r="E232" s="224"/>
      <c r="F232" s="224" t="s">
        <v>15481</v>
      </c>
    </row>
    <row r="233" spans="1:6" x14ac:dyDescent="0.3">
      <c r="A233" s="224"/>
      <c r="B233" s="224" t="s">
        <v>15625</v>
      </c>
      <c r="C233" s="224" t="s">
        <v>15444</v>
      </c>
      <c r="D233" s="224"/>
      <c r="E233" s="224"/>
      <c r="F233" s="224" t="s">
        <v>15482</v>
      </c>
    </row>
    <row r="234" spans="1:6" x14ac:dyDescent="0.3">
      <c r="A234" s="224"/>
      <c r="B234" s="224" t="s">
        <v>15625</v>
      </c>
      <c r="C234" s="224" t="s">
        <v>15446</v>
      </c>
      <c r="D234" s="224"/>
      <c r="E234" s="224"/>
      <c r="F234" s="224" t="s">
        <v>15483</v>
      </c>
    </row>
    <row r="235" spans="1:6" x14ac:dyDescent="0.3">
      <c r="A235" s="224"/>
      <c r="B235" s="224" t="s">
        <v>15625</v>
      </c>
      <c r="C235" s="224" t="s">
        <v>1152</v>
      </c>
      <c r="D235" s="224"/>
      <c r="E235" s="224"/>
      <c r="F235" s="224" t="s">
        <v>15484</v>
      </c>
    </row>
    <row r="236" spans="1:6" x14ac:dyDescent="0.3">
      <c r="A236" s="224"/>
      <c r="B236" s="224" t="s">
        <v>15628</v>
      </c>
      <c r="C236" s="224" t="s">
        <v>15437</v>
      </c>
      <c r="D236" s="224" t="s">
        <v>15629</v>
      </c>
      <c r="E236" s="224" t="s">
        <v>15630</v>
      </c>
      <c r="F236" s="224" t="s">
        <v>15488</v>
      </c>
    </row>
    <row r="237" spans="1:6" x14ac:dyDescent="0.3">
      <c r="A237" s="224"/>
      <c r="B237" s="224" t="s">
        <v>15628</v>
      </c>
      <c r="C237" s="224" t="s">
        <v>15441</v>
      </c>
      <c r="D237" s="224"/>
      <c r="E237" s="224"/>
      <c r="F237" s="224" t="s">
        <v>15489</v>
      </c>
    </row>
    <row r="238" spans="1:6" x14ac:dyDescent="0.3">
      <c r="A238" s="224"/>
      <c r="B238" s="224" t="s">
        <v>15628</v>
      </c>
      <c r="C238" s="224" t="s">
        <v>1081</v>
      </c>
      <c r="D238" s="224"/>
      <c r="E238" s="224"/>
      <c r="F238" s="224" t="s">
        <v>15490</v>
      </c>
    </row>
    <row r="239" spans="1:6" x14ac:dyDescent="0.3">
      <c r="A239" s="224"/>
      <c r="B239" s="224" t="s">
        <v>15628</v>
      </c>
      <c r="C239" s="224" t="s">
        <v>15444</v>
      </c>
      <c r="D239" s="224"/>
      <c r="E239" s="224"/>
      <c r="F239" s="224" t="s">
        <v>15491</v>
      </c>
    </row>
    <row r="240" spans="1:6" x14ac:dyDescent="0.3">
      <c r="A240" s="224"/>
      <c r="B240" s="224" t="s">
        <v>15628</v>
      </c>
      <c r="C240" s="224" t="s">
        <v>15446</v>
      </c>
      <c r="D240" s="224"/>
      <c r="E240" s="224"/>
      <c r="F240" s="224" t="s">
        <v>15492</v>
      </c>
    </row>
    <row r="241" spans="1:6" x14ac:dyDescent="0.3">
      <c r="A241" s="224"/>
      <c r="B241" s="224" t="s">
        <v>15628</v>
      </c>
      <c r="C241" s="224" t="s">
        <v>1152</v>
      </c>
      <c r="D241" s="224"/>
      <c r="E241" s="224"/>
      <c r="F241" s="224" t="s">
        <v>15493</v>
      </c>
    </row>
    <row r="242" spans="1:6" x14ac:dyDescent="0.3">
      <c r="A242" s="224"/>
      <c r="B242" s="224" t="s">
        <v>15631</v>
      </c>
      <c r="C242" s="224" t="s">
        <v>15437</v>
      </c>
      <c r="D242" s="224" t="s">
        <v>15632</v>
      </c>
      <c r="E242" s="224" t="s">
        <v>15633</v>
      </c>
      <c r="F242" s="224" t="s">
        <v>15497</v>
      </c>
    </row>
    <row r="243" spans="1:6" x14ac:dyDescent="0.3">
      <c r="A243" s="224"/>
      <c r="B243" s="224" t="s">
        <v>15631</v>
      </c>
      <c r="C243" s="224" t="s">
        <v>15441</v>
      </c>
      <c r="D243" s="224"/>
      <c r="E243" s="224"/>
      <c r="F243" s="224" t="s">
        <v>15498</v>
      </c>
    </row>
    <row r="244" spans="1:6" x14ac:dyDescent="0.3">
      <c r="A244" s="224"/>
      <c r="B244" s="224" t="s">
        <v>15631</v>
      </c>
      <c r="C244" s="224" t="s">
        <v>1081</v>
      </c>
      <c r="D244" s="224"/>
      <c r="E244" s="224"/>
      <c r="F244" s="224" t="s">
        <v>15499</v>
      </c>
    </row>
    <row r="245" spans="1:6" x14ac:dyDescent="0.3">
      <c r="A245" s="224"/>
      <c r="B245" s="224" t="s">
        <v>15631</v>
      </c>
      <c r="C245" s="224" t="s">
        <v>15444</v>
      </c>
      <c r="D245" s="224"/>
      <c r="E245" s="224"/>
      <c r="F245" s="224" t="s">
        <v>15500</v>
      </c>
    </row>
    <row r="246" spans="1:6" x14ac:dyDescent="0.3">
      <c r="A246" s="224"/>
      <c r="B246" s="224" t="s">
        <v>15631</v>
      </c>
      <c r="C246" s="224" t="s">
        <v>15446</v>
      </c>
      <c r="D246" s="224"/>
      <c r="E246" s="224"/>
      <c r="F246" s="224" t="s">
        <v>15501</v>
      </c>
    </row>
    <row r="247" spans="1:6" x14ac:dyDescent="0.3">
      <c r="A247" s="224"/>
      <c r="B247" s="224" t="s">
        <v>15631</v>
      </c>
      <c r="C247" s="224" t="s">
        <v>1152</v>
      </c>
      <c r="D247" s="224"/>
      <c r="E247" s="224"/>
      <c r="F247" s="224" t="s">
        <v>15502</v>
      </c>
    </row>
    <row r="248" spans="1:6" x14ac:dyDescent="0.3">
      <c r="A248" s="224"/>
      <c r="B248" s="224" t="s">
        <v>15634</v>
      </c>
      <c r="C248" s="224" t="s">
        <v>15437</v>
      </c>
      <c r="D248" s="224" t="s">
        <v>15635</v>
      </c>
      <c r="E248" s="224" t="s">
        <v>15636</v>
      </c>
      <c r="F248" s="224" t="s">
        <v>15506</v>
      </c>
    </row>
    <row r="249" spans="1:6" x14ac:dyDescent="0.3">
      <c r="A249" s="224"/>
      <c r="B249" s="224" t="s">
        <v>15634</v>
      </c>
      <c r="C249" s="224" t="s">
        <v>15441</v>
      </c>
      <c r="D249" s="224"/>
      <c r="E249" s="224"/>
      <c r="F249" s="224" t="s">
        <v>15507</v>
      </c>
    </row>
    <row r="250" spans="1:6" x14ac:dyDescent="0.3">
      <c r="A250" s="224"/>
      <c r="B250" s="224" t="s">
        <v>15634</v>
      </c>
      <c r="C250" s="224" t="s">
        <v>1081</v>
      </c>
      <c r="D250" s="224"/>
      <c r="E250" s="224"/>
      <c r="F250" s="224" t="s">
        <v>15508</v>
      </c>
    </row>
    <row r="251" spans="1:6" x14ac:dyDescent="0.3">
      <c r="A251" s="224"/>
      <c r="B251" s="224" t="s">
        <v>15634</v>
      </c>
      <c r="C251" s="224" t="s">
        <v>15444</v>
      </c>
      <c r="D251" s="224"/>
      <c r="E251" s="224"/>
      <c r="F251" s="224" t="s">
        <v>15509</v>
      </c>
    </row>
    <row r="252" spans="1:6" x14ac:dyDescent="0.3">
      <c r="A252" s="224"/>
      <c r="B252" s="224" t="s">
        <v>15634</v>
      </c>
      <c r="C252" s="224" t="s">
        <v>15446</v>
      </c>
      <c r="D252" s="224"/>
      <c r="E252" s="224"/>
      <c r="F252" s="224" t="s">
        <v>15510</v>
      </c>
    </row>
    <row r="253" spans="1:6" x14ac:dyDescent="0.3">
      <c r="A253" s="224"/>
      <c r="B253" s="224" t="s">
        <v>15634</v>
      </c>
      <c r="C253" s="224" t="s">
        <v>1152</v>
      </c>
      <c r="D253" s="224"/>
      <c r="E253" s="224"/>
      <c r="F253" s="224" t="s">
        <v>15511</v>
      </c>
    </row>
    <row r="254" spans="1:6" x14ac:dyDescent="0.3">
      <c r="A254" s="224"/>
      <c r="B254" s="224" t="s">
        <v>15637</v>
      </c>
      <c r="C254" s="224" t="s">
        <v>15437</v>
      </c>
      <c r="D254" s="224" t="s">
        <v>15638</v>
      </c>
      <c r="E254" s="224" t="s">
        <v>15639</v>
      </c>
      <c r="F254" s="224" t="s">
        <v>15515</v>
      </c>
    </row>
    <row r="255" spans="1:6" x14ac:dyDescent="0.3">
      <c r="A255" s="224"/>
      <c r="B255" s="224" t="s">
        <v>15637</v>
      </c>
      <c r="C255" s="224" t="s">
        <v>15441</v>
      </c>
      <c r="D255" s="224"/>
      <c r="E255" s="224"/>
      <c r="F255" s="224" t="s">
        <v>15516</v>
      </c>
    </row>
    <row r="256" spans="1:6" x14ac:dyDescent="0.3">
      <c r="A256" s="224"/>
      <c r="B256" s="224" t="s">
        <v>15637</v>
      </c>
      <c r="C256" s="224" t="s">
        <v>1081</v>
      </c>
      <c r="D256" s="224"/>
      <c r="E256" s="224"/>
      <c r="F256" s="224" t="s">
        <v>15517</v>
      </c>
    </row>
    <row r="257" spans="1:6" x14ac:dyDescent="0.3">
      <c r="A257" s="224"/>
      <c r="B257" s="224" t="s">
        <v>15637</v>
      </c>
      <c r="C257" s="224" t="s">
        <v>15444</v>
      </c>
      <c r="D257" s="224"/>
      <c r="E257" s="224"/>
      <c r="F257" s="224" t="s">
        <v>15518</v>
      </c>
    </row>
    <row r="258" spans="1:6" x14ac:dyDescent="0.3">
      <c r="A258" s="224"/>
      <c r="B258" s="224" t="s">
        <v>15637</v>
      </c>
      <c r="C258" s="224" t="s">
        <v>15446</v>
      </c>
      <c r="D258" s="224"/>
      <c r="E258" s="224"/>
      <c r="F258" s="224" t="s">
        <v>15519</v>
      </c>
    </row>
    <row r="259" spans="1:6" x14ac:dyDescent="0.3">
      <c r="A259" s="224"/>
      <c r="B259" s="224" t="s">
        <v>15637</v>
      </c>
      <c r="C259" s="224" t="s">
        <v>1152</v>
      </c>
      <c r="D259" s="224"/>
      <c r="E259" s="224"/>
      <c r="F259" s="224" t="s">
        <v>15520</v>
      </c>
    </row>
    <row r="260" spans="1:6" x14ac:dyDescent="0.3">
      <c r="A260" s="224"/>
      <c r="B260" s="224" t="s">
        <v>15640</v>
      </c>
      <c r="C260" s="224" t="s">
        <v>15437</v>
      </c>
      <c r="D260" s="224" t="s">
        <v>15641</v>
      </c>
      <c r="E260" s="224" t="s">
        <v>15642</v>
      </c>
      <c r="F260" s="224" t="s">
        <v>15524</v>
      </c>
    </row>
    <row r="261" spans="1:6" x14ac:dyDescent="0.3">
      <c r="A261" s="224"/>
      <c r="B261" s="224" t="s">
        <v>15640</v>
      </c>
      <c r="C261" s="224" t="s">
        <v>15441</v>
      </c>
      <c r="D261" s="224"/>
      <c r="E261" s="224"/>
      <c r="F261" s="224" t="s">
        <v>15525</v>
      </c>
    </row>
    <row r="262" spans="1:6" x14ac:dyDescent="0.3">
      <c r="A262" s="224"/>
      <c r="B262" s="224" t="s">
        <v>15640</v>
      </c>
      <c r="C262" s="224" t="s">
        <v>1081</v>
      </c>
      <c r="D262" s="224"/>
      <c r="E262" s="224"/>
      <c r="F262" s="224" t="s">
        <v>15526</v>
      </c>
    </row>
    <row r="263" spans="1:6" x14ac:dyDescent="0.3">
      <c r="A263" s="224"/>
      <c r="B263" s="224" t="s">
        <v>15640</v>
      </c>
      <c r="C263" s="224" t="s">
        <v>15444</v>
      </c>
      <c r="D263" s="224"/>
      <c r="E263" s="224"/>
      <c r="F263" s="224" t="s">
        <v>15527</v>
      </c>
    </row>
    <row r="264" spans="1:6" x14ac:dyDescent="0.3">
      <c r="A264" s="224"/>
      <c r="B264" s="224" t="s">
        <v>15640</v>
      </c>
      <c r="C264" s="224" t="s">
        <v>15446</v>
      </c>
      <c r="D264" s="224"/>
      <c r="E264" s="224"/>
      <c r="F264" s="224" t="s">
        <v>15528</v>
      </c>
    </row>
    <row r="265" spans="1:6" x14ac:dyDescent="0.3">
      <c r="A265" s="224"/>
      <c r="B265" s="224" t="s">
        <v>15640</v>
      </c>
      <c r="C265" s="224" t="s">
        <v>1152</v>
      </c>
      <c r="D265" s="224"/>
      <c r="E265" s="224"/>
      <c r="F265" s="224" t="s">
        <v>15529</v>
      </c>
    </row>
    <row r="266" spans="1:6" x14ac:dyDescent="0.3">
      <c r="A266" s="224" t="s">
        <v>14991</v>
      </c>
      <c r="B266" s="224" t="s">
        <v>15643</v>
      </c>
      <c r="C266" s="224" t="s">
        <v>15437</v>
      </c>
      <c r="D266" s="224" t="s">
        <v>15644</v>
      </c>
      <c r="E266" s="224" t="s">
        <v>15645</v>
      </c>
      <c r="F266" s="224" t="s">
        <v>15440</v>
      </c>
    </row>
    <row r="267" spans="1:6" x14ac:dyDescent="0.3">
      <c r="A267" s="224"/>
      <c r="B267" s="224" t="s">
        <v>15643</v>
      </c>
      <c r="C267" s="224" t="s">
        <v>15441</v>
      </c>
      <c r="D267" s="224"/>
      <c r="E267" s="224"/>
      <c r="F267" s="224" t="s">
        <v>15442</v>
      </c>
    </row>
    <row r="268" spans="1:6" x14ac:dyDescent="0.3">
      <c r="A268" s="224"/>
      <c r="B268" s="224" t="s">
        <v>15643</v>
      </c>
      <c r="C268" s="224" t="s">
        <v>1081</v>
      </c>
      <c r="D268" s="224"/>
      <c r="E268" s="224"/>
      <c r="F268" s="224" t="s">
        <v>15443</v>
      </c>
    </row>
    <row r="269" spans="1:6" x14ac:dyDescent="0.3">
      <c r="A269" s="224"/>
      <c r="B269" s="224" t="s">
        <v>15643</v>
      </c>
      <c r="C269" s="224" t="s">
        <v>15444</v>
      </c>
      <c r="D269" s="224"/>
      <c r="E269" s="224"/>
      <c r="F269" s="224" t="s">
        <v>15445</v>
      </c>
    </row>
    <row r="270" spans="1:6" x14ac:dyDescent="0.3">
      <c r="A270" s="224"/>
      <c r="B270" s="224" t="s">
        <v>15643</v>
      </c>
      <c r="C270" s="224" t="s">
        <v>15446</v>
      </c>
      <c r="D270" s="224"/>
      <c r="E270" s="224"/>
      <c r="F270" s="224" t="s">
        <v>15447</v>
      </c>
    </row>
    <row r="271" spans="1:6" x14ac:dyDescent="0.3">
      <c r="A271" s="224"/>
      <c r="B271" s="224" t="s">
        <v>15643</v>
      </c>
      <c r="C271" s="224" t="s">
        <v>1152</v>
      </c>
      <c r="D271" s="224"/>
      <c r="E271" s="224"/>
      <c r="F271" s="224" t="s">
        <v>15448</v>
      </c>
    </row>
    <row r="272" spans="1:6" x14ac:dyDescent="0.3">
      <c r="A272" s="224"/>
      <c r="B272" s="224" t="s">
        <v>15646</v>
      </c>
      <c r="C272" s="224" t="s">
        <v>15437</v>
      </c>
      <c r="D272" s="224" t="s">
        <v>15647</v>
      </c>
      <c r="E272" s="224" t="s">
        <v>15648</v>
      </c>
      <c r="F272" s="224" t="s">
        <v>15452</v>
      </c>
    </row>
    <row r="273" spans="1:6" x14ac:dyDescent="0.3">
      <c r="A273" s="224"/>
      <c r="B273" s="224" t="s">
        <v>15646</v>
      </c>
      <c r="C273" s="224" t="s">
        <v>15441</v>
      </c>
      <c r="D273" s="224"/>
      <c r="E273" s="224"/>
      <c r="F273" s="224" t="s">
        <v>15453</v>
      </c>
    </row>
    <row r="274" spans="1:6" x14ac:dyDescent="0.3">
      <c r="A274" s="224"/>
      <c r="B274" s="224" t="s">
        <v>15646</v>
      </c>
      <c r="C274" s="224" t="s">
        <v>1081</v>
      </c>
      <c r="D274" s="224"/>
      <c r="E274" s="224"/>
      <c r="F274" s="224" t="s">
        <v>15454</v>
      </c>
    </row>
    <row r="275" spans="1:6" x14ac:dyDescent="0.3">
      <c r="A275" s="224"/>
      <c r="B275" s="224" t="s">
        <v>15646</v>
      </c>
      <c r="C275" s="224" t="s">
        <v>15444</v>
      </c>
      <c r="D275" s="224"/>
      <c r="E275" s="224"/>
      <c r="F275" s="224" t="s">
        <v>15455</v>
      </c>
    </row>
    <row r="276" spans="1:6" x14ac:dyDescent="0.3">
      <c r="A276" s="224"/>
      <c r="B276" s="224" t="s">
        <v>15646</v>
      </c>
      <c r="C276" s="224" t="s">
        <v>15446</v>
      </c>
      <c r="D276" s="224"/>
      <c r="E276" s="224"/>
      <c r="F276" s="224" t="s">
        <v>15456</v>
      </c>
    </row>
    <row r="277" spans="1:6" x14ac:dyDescent="0.3">
      <c r="A277" s="224"/>
      <c r="B277" s="224" t="s">
        <v>15646</v>
      </c>
      <c r="C277" s="224" t="s">
        <v>1152</v>
      </c>
      <c r="D277" s="224"/>
      <c r="E277" s="224"/>
      <c r="F277" s="224" t="s">
        <v>15457</v>
      </c>
    </row>
    <row r="278" spans="1:6" x14ac:dyDescent="0.3">
      <c r="A278" s="224"/>
      <c r="B278" s="224" t="s">
        <v>15649</v>
      </c>
      <c r="C278" s="224" t="s">
        <v>15437</v>
      </c>
      <c r="D278" s="224" t="s">
        <v>15650</v>
      </c>
      <c r="E278" s="224" t="s">
        <v>15651</v>
      </c>
      <c r="F278" s="224" t="s">
        <v>15461</v>
      </c>
    </row>
    <row r="279" spans="1:6" x14ac:dyDescent="0.3">
      <c r="A279" s="224"/>
      <c r="B279" s="224" t="s">
        <v>15649</v>
      </c>
      <c r="C279" s="224" t="s">
        <v>15441</v>
      </c>
      <c r="D279" s="224"/>
      <c r="E279" s="224"/>
      <c r="F279" s="224" t="s">
        <v>15462</v>
      </c>
    </row>
    <row r="280" spans="1:6" x14ac:dyDescent="0.3">
      <c r="A280" s="224"/>
      <c r="B280" s="224" t="s">
        <v>15649</v>
      </c>
      <c r="C280" s="224" t="s">
        <v>1081</v>
      </c>
      <c r="D280" s="224"/>
      <c r="E280" s="224"/>
      <c r="F280" s="224" t="s">
        <v>15463</v>
      </c>
    </row>
    <row r="281" spans="1:6" x14ac:dyDescent="0.3">
      <c r="A281" s="224"/>
      <c r="B281" s="224" t="s">
        <v>15649</v>
      </c>
      <c r="C281" s="224" t="s">
        <v>15444</v>
      </c>
      <c r="D281" s="224"/>
      <c r="E281" s="224"/>
      <c r="F281" s="224" t="s">
        <v>15464</v>
      </c>
    </row>
    <row r="282" spans="1:6" x14ac:dyDescent="0.3">
      <c r="A282" s="224"/>
      <c r="B282" s="224" t="s">
        <v>15649</v>
      </c>
      <c r="C282" s="224" t="s">
        <v>15446</v>
      </c>
      <c r="D282" s="224"/>
      <c r="E282" s="224"/>
      <c r="F282" s="224" t="s">
        <v>15465</v>
      </c>
    </row>
    <row r="283" spans="1:6" x14ac:dyDescent="0.3">
      <c r="A283" s="224"/>
      <c r="B283" s="224" t="s">
        <v>15649</v>
      </c>
      <c r="C283" s="224" t="s">
        <v>1152</v>
      </c>
      <c r="D283" s="224"/>
      <c r="E283" s="224"/>
      <c r="F283" s="224" t="s">
        <v>15466</v>
      </c>
    </row>
    <row r="284" spans="1:6" x14ac:dyDescent="0.3">
      <c r="A284" s="224"/>
      <c r="B284" s="224" t="s">
        <v>15652</v>
      </c>
      <c r="C284" s="224" t="s">
        <v>15437</v>
      </c>
      <c r="D284" s="224" t="s">
        <v>15653</v>
      </c>
      <c r="E284" s="224" t="s">
        <v>15654</v>
      </c>
      <c r="F284" s="224" t="s">
        <v>15470</v>
      </c>
    </row>
    <row r="285" spans="1:6" x14ac:dyDescent="0.3">
      <c r="A285" s="224"/>
      <c r="B285" s="224" t="s">
        <v>15652</v>
      </c>
      <c r="C285" s="224" t="s">
        <v>15441</v>
      </c>
      <c r="D285" s="224"/>
      <c r="E285" s="224"/>
      <c r="F285" s="224" t="s">
        <v>15471</v>
      </c>
    </row>
    <row r="286" spans="1:6" x14ac:dyDescent="0.3">
      <c r="A286" s="224"/>
      <c r="B286" s="224" t="s">
        <v>15652</v>
      </c>
      <c r="C286" s="224" t="s">
        <v>1081</v>
      </c>
      <c r="D286" s="224"/>
      <c r="E286" s="224"/>
      <c r="F286" s="224" t="s">
        <v>15472</v>
      </c>
    </row>
    <row r="287" spans="1:6" x14ac:dyDescent="0.3">
      <c r="A287" s="224"/>
      <c r="B287" s="224" t="s">
        <v>15652</v>
      </c>
      <c r="C287" s="224" t="s">
        <v>15444</v>
      </c>
      <c r="D287" s="224"/>
      <c r="E287" s="224"/>
      <c r="F287" s="224" t="s">
        <v>15473</v>
      </c>
    </row>
    <row r="288" spans="1:6" x14ac:dyDescent="0.3">
      <c r="A288" s="224"/>
      <c r="B288" s="224" t="s">
        <v>15652</v>
      </c>
      <c r="C288" s="224" t="s">
        <v>15446</v>
      </c>
      <c r="D288" s="224"/>
      <c r="E288" s="224"/>
      <c r="F288" s="224" t="s">
        <v>15474</v>
      </c>
    </row>
    <row r="289" spans="1:6" x14ac:dyDescent="0.3">
      <c r="A289" s="224"/>
      <c r="B289" s="224" t="s">
        <v>15652</v>
      </c>
      <c r="C289" s="224" t="s">
        <v>1152</v>
      </c>
      <c r="D289" s="224"/>
      <c r="E289" s="224"/>
      <c r="F289" s="224" t="s">
        <v>15475</v>
      </c>
    </row>
    <row r="290" spans="1:6" x14ac:dyDescent="0.3">
      <c r="A290" s="224"/>
      <c r="B290" s="224" t="s">
        <v>15655</v>
      </c>
      <c r="C290" s="224" t="s">
        <v>15437</v>
      </c>
      <c r="D290" s="224" t="s">
        <v>15656</v>
      </c>
      <c r="E290" s="224" t="s">
        <v>15657</v>
      </c>
      <c r="F290" s="224" t="s">
        <v>15479</v>
      </c>
    </row>
    <row r="291" spans="1:6" x14ac:dyDescent="0.3">
      <c r="A291" s="224"/>
      <c r="B291" s="224" t="s">
        <v>15655</v>
      </c>
      <c r="C291" s="224" t="s">
        <v>15441</v>
      </c>
      <c r="D291" s="224"/>
      <c r="E291" s="224"/>
      <c r="F291" s="224" t="s">
        <v>15480</v>
      </c>
    </row>
    <row r="292" spans="1:6" x14ac:dyDescent="0.3">
      <c r="A292" s="224"/>
      <c r="B292" s="224" t="s">
        <v>15655</v>
      </c>
      <c r="C292" s="224" t="s">
        <v>1081</v>
      </c>
      <c r="D292" s="224"/>
      <c r="E292" s="224"/>
      <c r="F292" s="224" t="s">
        <v>15481</v>
      </c>
    </row>
    <row r="293" spans="1:6" x14ac:dyDescent="0.3">
      <c r="A293" s="224"/>
      <c r="B293" s="224" t="s">
        <v>15655</v>
      </c>
      <c r="C293" s="224" t="s">
        <v>15444</v>
      </c>
      <c r="D293" s="224"/>
      <c r="E293" s="224"/>
      <c r="F293" s="224" t="s">
        <v>15482</v>
      </c>
    </row>
    <row r="294" spans="1:6" x14ac:dyDescent="0.3">
      <c r="A294" s="224"/>
      <c r="B294" s="224" t="s">
        <v>15655</v>
      </c>
      <c r="C294" s="224" t="s">
        <v>15446</v>
      </c>
      <c r="D294" s="224"/>
      <c r="E294" s="224"/>
      <c r="F294" s="224" t="s">
        <v>15483</v>
      </c>
    </row>
    <row r="295" spans="1:6" x14ac:dyDescent="0.3">
      <c r="A295" s="224"/>
      <c r="B295" s="224" t="s">
        <v>15655</v>
      </c>
      <c r="C295" s="224" t="s">
        <v>1152</v>
      </c>
      <c r="D295" s="224"/>
      <c r="E295" s="224"/>
      <c r="F295" s="224" t="s">
        <v>15484</v>
      </c>
    </row>
    <row r="296" spans="1:6" x14ac:dyDescent="0.3">
      <c r="A296" s="224"/>
      <c r="B296" s="224" t="s">
        <v>15658</v>
      </c>
      <c r="C296" s="224" t="s">
        <v>15437</v>
      </c>
      <c r="D296" s="224" t="s">
        <v>15659</v>
      </c>
      <c r="E296" s="224" t="s">
        <v>15660</v>
      </c>
      <c r="F296" s="224" t="s">
        <v>15488</v>
      </c>
    </row>
    <row r="297" spans="1:6" x14ac:dyDescent="0.3">
      <c r="A297" s="224"/>
      <c r="B297" s="224" t="s">
        <v>15658</v>
      </c>
      <c r="C297" s="224" t="s">
        <v>15441</v>
      </c>
      <c r="D297" s="224"/>
      <c r="E297" s="224"/>
      <c r="F297" s="224" t="s">
        <v>15489</v>
      </c>
    </row>
    <row r="298" spans="1:6" x14ac:dyDescent="0.3">
      <c r="A298" s="224"/>
      <c r="B298" s="224" t="s">
        <v>15658</v>
      </c>
      <c r="C298" s="224" t="s">
        <v>1081</v>
      </c>
      <c r="D298" s="224"/>
      <c r="E298" s="224"/>
      <c r="F298" s="224" t="s">
        <v>15490</v>
      </c>
    </row>
    <row r="299" spans="1:6" x14ac:dyDescent="0.3">
      <c r="A299" s="224"/>
      <c r="B299" s="224" t="s">
        <v>15658</v>
      </c>
      <c r="C299" s="224" t="s">
        <v>15444</v>
      </c>
      <c r="D299" s="224"/>
      <c r="E299" s="224"/>
      <c r="F299" s="224" t="s">
        <v>15491</v>
      </c>
    </row>
    <row r="300" spans="1:6" x14ac:dyDescent="0.3">
      <c r="A300" s="224"/>
      <c r="B300" s="224" t="s">
        <v>15658</v>
      </c>
      <c r="C300" s="224" t="s">
        <v>15446</v>
      </c>
      <c r="D300" s="224"/>
      <c r="E300" s="224"/>
      <c r="F300" s="224" t="s">
        <v>15492</v>
      </c>
    </row>
    <row r="301" spans="1:6" x14ac:dyDescent="0.3">
      <c r="A301" s="224"/>
      <c r="B301" s="224" t="s">
        <v>15658</v>
      </c>
      <c r="C301" s="224" t="s">
        <v>1152</v>
      </c>
      <c r="D301" s="224"/>
      <c r="E301" s="224"/>
      <c r="F301" s="224" t="s">
        <v>15493</v>
      </c>
    </row>
    <row r="302" spans="1:6" x14ac:dyDescent="0.3">
      <c r="A302" s="224"/>
      <c r="B302" s="224" t="s">
        <v>15661</v>
      </c>
      <c r="C302" s="224" t="s">
        <v>15437</v>
      </c>
      <c r="D302" s="224" t="s">
        <v>15662</v>
      </c>
      <c r="E302" s="224" t="s">
        <v>15663</v>
      </c>
      <c r="F302" s="224" t="s">
        <v>15497</v>
      </c>
    </row>
    <row r="303" spans="1:6" x14ac:dyDescent="0.3">
      <c r="A303" s="224"/>
      <c r="B303" s="224" t="s">
        <v>15661</v>
      </c>
      <c r="C303" s="224" t="s">
        <v>15441</v>
      </c>
      <c r="D303" s="224"/>
      <c r="E303" s="224"/>
      <c r="F303" s="224" t="s">
        <v>15498</v>
      </c>
    </row>
    <row r="304" spans="1:6" x14ac:dyDescent="0.3">
      <c r="A304" s="224"/>
      <c r="B304" s="224" t="s">
        <v>15661</v>
      </c>
      <c r="C304" s="224" t="s">
        <v>1081</v>
      </c>
      <c r="D304" s="224"/>
      <c r="E304" s="224"/>
      <c r="F304" s="224" t="s">
        <v>15499</v>
      </c>
    </row>
    <row r="305" spans="1:6" x14ac:dyDescent="0.3">
      <c r="A305" s="224"/>
      <c r="B305" s="224" t="s">
        <v>15661</v>
      </c>
      <c r="C305" s="224" t="s">
        <v>15444</v>
      </c>
      <c r="D305" s="224"/>
      <c r="E305" s="224"/>
      <c r="F305" s="224" t="s">
        <v>15500</v>
      </c>
    </row>
    <row r="306" spans="1:6" x14ac:dyDescent="0.3">
      <c r="A306" s="224"/>
      <c r="B306" s="224" t="s">
        <v>15661</v>
      </c>
      <c r="C306" s="224" t="s">
        <v>15446</v>
      </c>
      <c r="D306" s="224"/>
      <c r="E306" s="224"/>
      <c r="F306" s="224" t="s">
        <v>15501</v>
      </c>
    </row>
    <row r="307" spans="1:6" x14ac:dyDescent="0.3">
      <c r="A307" s="224"/>
      <c r="B307" s="224" t="s">
        <v>15661</v>
      </c>
      <c r="C307" s="224" t="s">
        <v>1152</v>
      </c>
      <c r="D307" s="224"/>
      <c r="E307" s="224"/>
      <c r="F307" s="224" t="s">
        <v>15502</v>
      </c>
    </row>
    <row r="308" spans="1:6" x14ac:dyDescent="0.3">
      <c r="A308" s="224"/>
      <c r="B308" s="224" t="s">
        <v>15664</v>
      </c>
      <c r="C308" s="224" t="s">
        <v>15437</v>
      </c>
      <c r="D308" s="224" t="s">
        <v>15665</v>
      </c>
      <c r="E308" s="224" t="s">
        <v>15666</v>
      </c>
      <c r="F308" s="224" t="s">
        <v>15506</v>
      </c>
    </row>
    <row r="309" spans="1:6" x14ac:dyDescent="0.3">
      <c r="A309" s="224"/>
      <c r="B309" s="224" t="s">
        <v>15664</v>
      </c>
      <c r="C309" s="224" t="s">
        <v>15441</v>
      </c>
      <c r="D309" s="224"/>
      <c r="E309" s="224"/>
      <c r="F309" s="224" t="s">
        <v>15507</v>
      </c>
    </row>
    <row r="310" spans="1:6" x14ac:dyDescent="0.3">
      <c r="A310" s="224"/>
      <c r="B310" s="224" t="s">
        <v>15664</v>
      </c>
      <c r="C310" s="224" t="s">
        <v>1081</v>
      </c>
      <c r="D310" s="224"/>
      <c r="E310" s="224"/>
      <c r="F310" s="224" t="s">
        <v>15508</v>
      </c>
    </row>
    <row r="311" spans="1:6" x14ac:dyDescent="0.3">
      <c r="A311" s="224"/>
      <c r="B311" s="224" t="s">
        <v>15664</v>
      </c>
      <c r="C311" s="224" t="s">
        <v>15444</v>
      </c>
      <c r="D311" s="224"/>
      <c r="E311" s="224"/>
      <c r="F311" s="224" t="s">
        <v>15509</v>
      </c>
    </row>
    <row r="312" spans="1:6" x14ac:dyDescent="0.3">
      <c r="A312" s="224"/>
      <c r="B312" s="224" t="s">
        <v>15664</v>
      </c>
      <c r="C312" s="224" t="s">
        <v>15446</v>
      </c>
      <c r="D312" s="224"/>
      <c r="E312" s="224"/>
      <c r="F312" s="224" t="s">
        <v>15510</v>
      </c>
    </row>
    <row r="313" spans="1:6" x14ac:dyDescent="0.3">
      <c r="A313" s="224"/>
      <c r="B313" s="224" t="s">
        <v>15664</v>
      </c>
      <c r="C313" s="224" t="s">
        <v>1152</v>
      </c>
      <c r="D313" s="224"/>
      <c r="E313" s="224"/>
      <c r="F313" s="224" t="s">
        <v>15511</v>
      </c>
    </row>
    <row r="314" spans="1:6" x14ac:dyDescent="0.3">
      <c r="A314" s="224"/>
      <c r="B314" s="224" t="s">
        <v>15667</v>
      </c>
      <c r="C314" s="224" t="s">
        <v>15437</v>
      </c>
      <c r="D314" s="224" t="s">
        <v>15668</v>
      </c>
      <c r="E314" s="224" t="s">
        <v>15669</v>
      </c>
      <c r="F314" s="224" t="s">
        <v>15515</v>
      </c>
    </row>
    <row r="315" spans="1:6" x14ac:dyDescent="0.3">
      <c r="A315" s="224"/>
      <c r="B315" s="224" t="s">
        <v>15667</v>
      </c>
      <c r="C315" s="224" t="s">
        <v>15441</v>
      </c>
      <c r="D315" s="224"/>
      <c r="E315" s="224"/>
      <c r="F315" s="224" t="s">
        <v>15516</v>
      </c>
    </row>
    <row r="316" spans="1:6" x14ac:dyDescent="0.3">
      <c r="A316" s="224"/>
      <c r="B316" s="224" t="s">
        <v>15667</v>
      </c>
      <c r="C316" s="224" t="s">
        <v>1081</v>
      </c>
      <c r="D316" s="224"/>
      <c r="E316" s="224"/>
      <c r="F316" s="224" t="s">
        <v>15517</v>
      </c>
    </row>
    <row r="317" spans="1:6" x14ac:dyDescent="0.3">
      <c r="A317" s="224"/>
      <c r="B317" s="224" t="s">
        <v>15667</v>
      </c>
      <c r="C317" s="224" t="s">
        <v>15444</v>
      </c>
      <c r="D317" s="224"/>
      <c r="E317" s="224"/>
      <c r="F317" s="224" t="s">
        <v>15518</v>
      </c>
    </row>
    <row r="318" spans="1:6" x14ac:dyDescent="0.3">
      <c r="A318" s="224"/>
      <c r="B318" s="224" t="s">
        <v>15667</v>
      </c>
      <c r="C318" s="224" t="s">
        <v>15446</v>
      </c>
      <c r="D318" s="224"/>
      <c r="E318" s="224"/>
      <c r="F318" s="224" t="s">
        <v>15519</v>
      </c>
    </row>
    <row r="319" spans="1:6" x14ac:dyDescent="0.3">
      <c r="A319" s="224"/>
      <c r="B319" s="224" t="s">
        <v>15667</v>
      </c>
      <c r="C319" s="224" t="s">
        <v>1152</v>
      </c>
      <c r="D319" s="224"/>
      <c r="E319" s="224"/>
      <c r="F319" s="224" t="s">
        <v>15520</v>
      </c>
    </row>
    <row r="320" spans="1:6" x14ac:dyDescent="0.3">
      <c r="A320" s="224"/>
      <c r="B320" s="224" t="s">
        <v>15670</v>
      </c>
      <c r="C320" s="224" t="s">
        <v>15437</v>
      </c>
      <c r="D320" s="224" t="s">
        <v>15671</v>
      </c>
      <c r="E320" s="224" t="s">
        <v>15672</v>
      </c>
      <c r="F320" s="224" t="s">
        <v>15524</v>
      </c>
    </row>
    <row r="321" spans="1:6" x14ac:dyDescent="0.3">
      <c r="A321" s="224"/>
      <c r="B321" s="224" t="s">
        <v>15670</v>
      </c>
      <c r="C321" s="224" t="s">
        <v>15441</v>
      </c>
      <c r="D321" s="224"/>
      <c r="E321" s="224"/>
      <c r="F321" s="224" t="s">
        <v>15525</v>
      </c>
    </row>
    <row r="322" spans="1:6" x14ac:dyDescent="0.3">
      <c r="A322" s="224"/>
      <c r="B322" s="224" t="s">
        <v>15670</v>
      </c>
      <c r="C322" s="224" t="s">
        <v>1081</v>
      </c>
      <c r="D322" s="224"/>
      <c r="E322" s="224"/>
      <c r="F322" s="224" t="s">
        <v>15526</v>
      </c>
    </row>
    <row r="323" spans="1:6" x14ac:dyDescent="0.3">
      <c r="A323" s="224"/>
      <c r="B323" s="224" t="s">
        <v>15670</v>
      </c>
      <c r="C323" s="224" t="s">
        <v>15444</v>
      </c>
      <c r="D323" s="224"/>
      <c r="E323" s="224"/>
      <c r="F323" s="224" t="s">
        <v>15527</v>
      </c>
    </row>
    <row r="324" spans="1:6" x14ac:dyDescent="0.3">
      <c r="A324" s="224"/>
      <c r="B324" s="224" t="s">
        <v>15670</v>
      </c>
      <c r="C324" s="224" t="s">
        <v>15446</v>
      </c>
      <c r="D324" s="224"/>
      <c r="E324" s="224"/>
      <c r="F324" s="224" t="s">
        <v>15528</v>
      </c>
    </row>
    <row r="325" spans="1:6" x14ac:dyDescent="0.3">
      <c r="A325" s="224"/>
      <c r="B325" s="224" t="s">
        <v>15670</v>
      </c>
      <c r="C325" s="224" t="s">
        <v>1152</v>
      </c>
      <c r="D325" s="224"/>
      <c r="E325" s="224"/>
      <c r="F325" s="224" t="s">
        <v>15529</v>
      </c>
    </row>
    <row r="326" spans="1:6" x14ac:dyDescent="0.3">
      <c r="A326" s="224" t="s">
        <v>1159</v>
      </c>
      <c r="B326" s="224" t="s">
        <v>15673</v>
      </c>
      <c r="C326" s="224" t="s">
        <v>15437</v>
      </c>
      <c r="D326" s="224" t="s">
        <v>15674</v>
      </c>
      <c r="E326" s="224" t="s">
        <v>15675</v>
      </c>
      <c r="F326" s="224" t="s">
        <v>15440</v>
      </c>
    </row>
    <row r="327" spans="1:6" x14ac:dyDescent="0.3">
      <c r="A327" s="224"/>
      <c r="B327" s="224" t="s">
        <v>15673</v>
      </c>
      <c r="C327" s="224" t="s">
        <v>15441</v>
      </c>
      <c r="D327" s="224"/>
      <c r="E327" s="224"/>
      <c r="F327" s="224" t="s">
        <v>15442</v>
      </c>
    </row>
    <row r="328" spans="1:6" x14ac:dyDescent="0.3">
      <c r="A328" s="224"/>
      <c r="B328" s="224" t="s">
        <v>15673</v>
      </c>
      <c r="C328" s="224" t="s">
        <v>1081</v>
      </c>
      <c r="D328" s="224"/>
      <c r="E328" s="224"/>
      <c r="F328" s="224" t="s">
        <v>15443</v>
      </c>
    </row>
    <row r="329" spans="1:6" x14ac:dyDescent="0.3">
      <c r="A329" s="224"/>
      <c r="B329" s="224" t="s">
        <v>15673</v>
      </c>
      <c r="C329" s="224" t="s">
        <v>15444</v>
      </c>
      <c r="D329" s="224"/>
      <c r="E329" s="224"/>
      <c r="F329" s="224" t="s">
        <v>15445</v>
      </c>
    </row>
    <row r="330" spans="1:6" x14ac:dyDescent="0.3">
      <c r="A330" s="224"/>
      <c r="B330" s="224" t="s">
        <v>15673</v>
      </c>
      <c r="C330" s="224" t="s">
        <v>15446</v>
      </c>
      <c r="D330" s="224"/>
      <c r="E330" s="224"/>
      <c r="F330" s="224" t="s">
        <v>15447</v>
      </c>
    </row>
    <row r="331" spans="1:6" x14ac:dyDescent="0.3">
      <c r="A331" s="224"/>
      <c r="B331" s="224" t="s">
        <v>15673</v>
      </c>
      <c r="C331" s="224" t="s">
        <v>1152</v>
      </c>
      <c r="D331" s="224"/>
      <c r="E331" s="224"/>
      <c r="F331" s="224" t="s">
        <v>15448</v>
      </c>
    </row>
    <row r="332" spans="1:6" x14ac:dyDescent="0.3">
      <c r="A332" s="224"/>
      <c r="B332" s="224" t="s">
        <v>15676</v>
      </c>
      <c r="C332" s="224" t="s">
        <v>15437</v>
      </c>
      <c r="D332" s="224" t="s">
        <v>15677</v>
      </c>
      <c r="E332" s="224" t="s">
        <v>15513</v>
      </c>
      <c r="F332" s="224" t="s">
        <v>15452</v>
      </c>
    </row>
    <row r="333" spans="1:6" x14ac:dyDescent="0.3">
      <c r="A333" s="224"/>
      <c r="B333" s="224" t="s">
        <v>15676</v>
      </c>
      <c r="C333" s="224" t="s">
        <v>15441</v>
      </c>
      <c r="D333" s="224"/>
      <c r="E333" s="224"/>
      <c r="F333" s="224" t="s">
        <v>15453</v>
      </c>
    </row>
    <row r="334" spans="1:6" x14ac:dyDescent="0.3">
      <c r="A334" s="224"/>
      <c r="B334" s="224" t="s">
        <v>15676</v>
      </c>
      <c r="C334" s="224" t="s">
        <v>1081</v>
      </c>
      <c r="D334" s="224"/>
      <c r="E334" s="224"/>
      <c r="F334" s="224" t="s">
        <v>15454</v>
      </c>
    </row>
    <row r="335" spans="1:6" x14ac:dyDescent="0.3">
      <c r="A335" s="224"/>
      <c r="B335" s="224" t="s">
        <v>15676</v>
      </c>
      <c r="C335" s="224" t="s">
        <v>15444</v>
      </c>
      <c r="D335" s="224"/>
      <c r="E335" s="224"/>
      <c r="F335" s="224" t="s">
        <v>15455</v>
      </c>
    </row>
    <row r="336" spans="1:6" x14ac:dyDescent="0.3">
      <c r="A336" s="224"/>
      <c r="B336" s="224" t="s">
        <v>15676</v>
      </c>
      <c r="C336" s="224" t="s">
        <v>15446</v>
      </c>
      <c r="D336" s="224"/>
      <c r="E336" s="224"/>
      <c r="F336" s="224" t="s">
        <v>15456</v>
      </c>
    </row>
    <row r="337" spans="1:6" x14ac:dyDescent="0.3">
      <c r="A337" s="224"/>
      <c r="B337" s="224" t="s">
        <v>15676</v>
      </c>
      <c r="C337" s="224" t="s">
        <v>1152</v>
      </c>
      <c r="D337" s="224"/>
      <c r="E337" s="224"/>
      <c r="F337" s="224" t="s">
        <v>15457</v>
      </c>
    </row>
    <row r="338" spans="1:6" x14ac:dyDescent="0.3">
      <c r="A338" s="224"/>
      <c r="B338" s="224" t="s">
        <v>15678</v>
      </c>
      <c r="C338" s="224" t="s">
        <v>15437</v>
      </c>
      <c r="D338" s="224" t="s">
        <v>15679</v>
      </c>
      <c r="E338" s="224" t="s">
        <v>15680</v>
      </c>
      <c r="F338" s="224" t="s">
        <v>15461</v>
      </c>
    </row>
    <row r="339" spans="1:6" x14ac:dyDescent="0.3">
      <c r="A339" s="224"/>
      <c r="B339" s="224" t="s">
        <v>15678</v>
      </c>
      <c r="C339" s="224" t="s">
        <v>15441</v>
      </c>
      <c r="D339" s="224"/>
      <c r="E339" s="224"/>
      <c r="F339" s="224" t="s">
        <v>15462</v>
      </c>
    </row>
    <row r="340" spans="1:6" x14ac:dyDescent="0.3">
      <c r="A340" s="224"/>
      <c r="B340" s="224" t="s">
        <v>15678</v>
      </c>
      <c r="C340" s="224" t="s">
        <v>1081</v>
      </c>
      <c r="D340" s="224"/>
      <c r="E340" s="224"/>
      <c r="F340" s="224" t="s">
        <v>15463</v>
      </c>
    </row>
    <row r="341" spans="1:6" x14ac:dyDescent="0.3">
      <c r="A341" s="224"/>
      <c r="B341" s="224" t="s">
        <v>15678</v>
      </c>
      <c r="C341" s="224" t="s">
        <v>15444</v>
      </c>
      <c r="D341" s="224"/>
      <c r="E341" s="224"/>
      <c r="F341" s="224" t="s">
        <v>15464</v>
      </c>
    </row>
    <row r="342" spans="1:6" x14ac:dyDescent="0.3">
      <c r="A342" s="224"/>
      <c r="B342" s="224" t="s">
        <v>15678</v>
      </c>
      <c r="C342" s="224" t="s">
        <v>15446</v>
      </c>
      <c r="D342" s="224"/>
      <c r="E342" s="224"/>
      <c r="F342" s="224" t="s">
        <v>15465</v>
      </c>
    </row>
    <row r="343" spans="1:6" x14ac:dyDescent="0.3">
      <c r="A343" s="224"/>
      <c r="B343" s="224" t="s">
        <v>15678</v>
      </c>
      <c r="C343" s="224" t="s">
        <v>1152</v>
      </c>
      <c r="D343" s="224"/>
      <c r="E343" s="224"/>
      <c r="F343" s="224" t="s">
        <v>15466</v>
      </c>
    </row>
    <row r="344" spans="1:6" x14ac:dyDescent="0.3">
      <c r="A344" s="224"/>
      <c r="B344" s="224" t="s">
        <v>15681</v>
      </c>
      <c r="C344" s="224" t="s">
        <v>15437</v>
      </c>
      <c r="D344" s="224" t="s">
        <v>15682</v>
      </c>
      <c r="E344" s="224" t="s">
        <v>15683</v>
      </c>
      <c r="F344" s="224" t="s">
        <v>15470</v>
      </c>
    </row>
    <row r="345" spans="1:6" x14ac:dyDescent="0.3">
      <c r="A345" s="224"/>
      <c r="B345" s="224" t="s">
        <v>15681</v>
      </c>
      <c r="C345" s="224" t="s">
        <v>15441</v>
      </c>
      <c r="D345" s="224"/>
      <c r="E345" s="224"/>
      <c r="F345" s="224" t="s">
        <v>15471</v>
      </c>
    </row>
    <row r="346" spans="1:6" x14ac:dyDescent="0.3">
      <c r="A346" s="224"/>
      <c r="B346" s="224" t="s">
        <v>15681</v>
      </c>
      <c r="C346" s="224" t="s">
        <v>1081</v>
      </c>
      <c r="D346" s="224"/>
      <c r="E346" s="224"/>
      <c r="F346" s="224" t="s">
        <v>15472</v>
      </c>
    </row>
    <row r="347" spans="1:6" x14ac:dyDescent="0.3">
      <c r="A347" s="224"/>
      <c r="B347" s="224" t="s">
        <v>15681</v>
      </c>
      <c r="C347" s="224" t="s">
        <v>15444</v>
      </c>
      <c r="D347" s="224"/>
      <c r="E347" s="224"/>
      <c r="F347" s="224" t="s">
        <v>15473</v>
      </c>
    </row>
    <row r="348" spans="1:6" x14ac:dyDescent="0.3">
      <c r="A348" s="224"/>
      <c r="B348" s="224" t="s">
        <v>15681</v>
      </c>
      <c r="C348" s="224" t="s">
        <v>15446</v>
      </c>
      <c r="D348" s="224"/>
      <c r="E348" s="224"/>
      <c r="F348" s="224" t="s">
        <v>15474</v>
      </c>
    </row>
    <row r="349" spans="1:6" x14ac:dyDescent="0.3">
      <c r="A349" s="224"/>
      <c r="B349" s="224" t="s">
        <v>15681</v>
      </c>
      <c r="C349" s="224" t="s">
        <v>1152</v>
      </c>
      <c r="D349" s="224"/>
      <c r="E349" s="224"/>
      <c r="F349" s="224" t="s">
        <v>15475</v>
      </c>
    </row>
    <row r="350" spans="1:6" x14ac:dyDescent="0.3">
      <c r="A350" s="224"/>
      <c r="B350" s="224" t="s">
        <v>15684</v>
      </c>
      <c r="C350" s="224" t="s">
        <v>15437</v>
      </c>
      <c r="D350" s="224" t="s">
        <v>15685</v>
      </c>
      <c r="E350" s="224" t="s">
        <v>15686</v>
      </c>
      <c r="F350" s="224" t="s">
        <v>15479</v>
      </c>
    </row>
    <row r="351" spans="1:6" x14ac:dyDescent="0.3">
      <c r="A351" s="224"/>
      <c r="B351" s="224" t="s">
        <v>15684</v>
      </c>
      <c r="C351" s="224" t="s">
        <v>15441</v>
      </c>
      <c r="D351" s="224"/>
      <c r="E351" s="224"/>
      <c r="F351" s="224" t="s">
        <v>15480</v>
      </c>
    </row>
    <row r="352" spans="1:6" x14ac:dyDescent="0.3">
      <c r="A352" s="224"/>
      <c r="B352" s="224" t="s">
        <v>15684</v>
      </c>
      <c r="C352" s="224" t="s">
        <v>1081</v>
      </c>
      <c r="D352" s="224"/>
      <c r="E352" s="224"/>
      <c r="F352" s="224" t="s">
        <v>15481</v>
      </c>
    </row>
    <row r="353" spans="1:6" x14ac:dyDescent="0.3">
      <c r="A353" s="224"/>
      <c r="B353" s="224" t="s">
        <v>15684</v>
      </c>
      <c r="C353" s="224" t="s">
        <v>15444</v>
      </c>
      <c r="D353" s="224"/>
      <c r="E353" s="224"/>
      <c r="F353" s="224" t="s">
        <v>15482</v>
      </c>
    </row>
    <row r="354" spans="1:6" x14ac:dyDescent="0.3">
      <c r="A354" s="224"/>
      <c r="B354" s="224" t="s">
        <v>15684</v>
      </c>
      <c r="C354" s="224" t="s">
        <v>15446</v>
      </c>
      <c r="D354" s="224"/>
      <c r="E354" s="224"/>
      <c r="F354" s="224" t="s">
        <v>15483</v>
      </c>
    </row>
    <row r="355" spans="1:6" x14ac:dyDescent="0.3">
      <c r="A355" s="224"/>
      <c r="B355" s="224" t="s">
        <v>15684</v>
      </c>
      <c r="C355" s="224" t="s">
        <v>1152</v>
      </c>
      <c r="D355" s="224"/>
      <c r="E355" s="224"/>
      <c r="F355" s="224" t="s">
        <v>15484</v>
      </c>
    </row>
    <row r="356" spans="1:6" x14ac:dyDescent="0.3">
      <c r="A356" s="224"/>
      <c r="B356" s="224" t="s">
        <v>15687</v>
      </c>
      <c r="C356" s="224" t="s">
        <v>15437</v>
      </c>
      <c r="D356" s="224" t="s">
        <v>15688</v>
      </c>
      <c r="E356" s="224" t="s">
        <v>15689</v>
      </c>
      <c r="F356" s="224" t="s">
        <v>15488</v>
      </c>
    </row>
    <row r="357" spans="1:6" x14ac:dyDescent="0.3">
      <c r="A357" s="224"/>
      <c r="B357" s="224" t="s">
        <v>15687</v>
      </c>
      <c r="C357" s="224" t="s">
        <v>15441</v>
      </c>
      <c r="D357" s="224"/>
      <c r="E357" s="224"/>
      <c r="F357" s="224" t="s">
        <v>15489</v>
      </c>
    </row>
    <row r="358" spans="1:6" x14ac:dyDescent="0.3">
      <c r="A358" s="224"/>
      <c r="B358" s="224" t="s">
        <v>15687</v>
      </c>
      <c r="C358" s="224" t="s">
        <v>1081</v>
      </c>
      <c r="D358" s="224"/>
      <c r="E358" s="224"/>
      <c r="F358" s="224" t="s">
        <v>15490</v>
      </c>
    </row>
    <row r="359" spans="1:6" x14ac:dyDescent="0.3">
      <c r="A359" s="224"/>
      <c r="B359" s="224" t="s">
        <v>15687</v>
      </c>
      <c r="C359" s="224" t="s">
        <v>15444</v>
      </c>
      <c r="D359" s="224"/>
      <c r="E359" s="224"/>
      <c r="F359" s="224" t="s">
        <v>15491</v>
      </c>
    </row>
    <row r="360" spans="1:6" x14ac:dyDescent="0.3">
      <c r="A360" s="224"/>
      <c r="B360" s="224" t="s">
        <v>15687</v>
      </c>
      <c r="C360" s="224" t="s">
        <v>15446</v>
      </c>
      <c r="D360" s="224"/>
      <c r="E360" s="224"/>
      <c r="F360" s="224" t="s">
        <v>15492</v>
      </c>
    </row>
    <row r="361" spans="1:6" x14ac:dyDescent="0.3">
      <c r="A361" s="224"/>
      <c r="B361" s="224" t="s">
        <v>15687</v>
      </c>
      <c r="C361" s="224" t="s">
        <v>1152</v>
      </c>
      <c r="D361" s="224"/>
      <c r="E361" s="224"/>
      <c r="F361" s="224" t="s">
        <v>15493</v>
      </c>
    </row>
    <row r="362" spans="1:6" x14ac:dyDescent="0.3">
      <c r="A362" s="224"/>
      <c r="B362" s="224" t="s">
        <v>15690</v>
      </c>
      <c r="C362" s="224" t="s">
        <v>15437</v>
      </c>
      <c r="D362" s="224" t="s">
        <v>15691</v>
      </c>
      <c r="E362" s="224" t="s">
        <v>15692</v>
      </c>
      <c r="F362" s="224" t="s">
        <v>15497</v>
      </c>
    </row>
    <row r="363" spans="1:6" x14ac:dyDescent="0.3">
      <c r="A363" s="224"/>
      <c r="B363" s="224" t="s">
        <v>15690</v>
      </c>
      <c r="C363" s="224" t="s">
        <v>15441</v>
      </c>
      <c r="D363" s="224"/>
      <c r="E363" s="224"/>
      <c r="F363" s="224" t="s">
        <v>15498</v>
      </c>
    </row>
    <row r="364" spans="1:6" x14ac:dyDescent="0.3">
      <c r="A364" s="224"/>
      <c r="B364" s="224" t="s">
        <v>15690</v>
      </c>
      <c r="C364" s="224" t="s">
        <v>1081</v>
      </c>
      <c r="D364" s="224"/>
      <c r="E364" s="224"/>
      <c r="F364" s="224" t="s">
        <v>15499</v>
      </c>
    </row>
    <row r="365" spans="1:6" x14ac:dyDescent="0.3">
      <c r="A365" s="224"/>
      <c r="B365" s="224" t="s">
        <v>15690</v>
      </c>
      <c r="C365" s="224" t="s">
        <v>15444</v>
      </c>
      <c r="D365" s="224"/>
      <c r="E365" s="224"/>
      <c r="F365" s="224" t="s">
        <v>15500</v>
      </c>
    </row>
    <row r="366" spans="1:6" x14ac:dyDescent="0.3">
      <c r="A366" s="224"/>
      <c r="B366" s="224" t="s">
        <v>15690</v>
      </c>
      <c r="C366" s="224" t="s">
        <v>15446</v>
      </c>
      <c r="D366" s="224"/>
      <c r="E366" s="224"/>
      <c r="F366" s="224" t="s">
        <v>15501</v>
      </c>
    </row>
    <row r="367" spans="1:6" x14ac:dyDescent="0.3">
      <c r="A367" s="224"/>
      <c r="B367" s="224" t="s">
        <v>15690</v>
      </c>
      <c r="C367" s="224" t="s">
        <v>1152</v>
      </c>
      <c r="D367" s="224"/>
      <c r="E367" s="224"/>
      <c r="F367" s="224" t="s">
        <v>15502</v>
      </c>
    </row>
    <row r="368" spans="1:6" x14ac:dyDescent="0.3">
      <c r="A368" s="224"/>
      <c r="B368" s="224" t="s">
        <v>15693</v>
      </c>
      <c r="C368" s="224" t="s">
        <v>15437</v>
      </c>
      <c r="D368" s="224" t="s">
        <v>15694</v>
      </c>
      <c r="E368" s="224" t="s">
        <v>15695</v>
      </c>
      <c r="F368" s="224" t="s">
        <v>15506</v>
      </c>
    </row>
    <row r="369" spans="1:6" x14ac:dyDescent="0.3">
      <c r="A369" s="224"/>
      <c r="B369" s="224" t="s">
        <v>15693</v>
      </c>
      <c r="C369" s="224" t="s">
        <v>15441</v>
      </c>
      <c r="D369" s="224"/>
      <c r="E369" s="224"/>
      <c r="F369" s="224" t="s">
        <v>15507</v>
      </c>
    </row>
    <row r="370" spans="1:6" x14ac:dyDescent="0.3">
      <c r="A370" s="224"/>
      <c r="B370" s="224" t="s">
        <v>15693</v>
      </c>
      <c r="C370" s="224" t="s">
        <v>1081</v>
      </c>
      <c r="D370" s="224"/>
      <c r="E370" s="224"/>
      <c r="F370" s="224" t="s">
        <v>15508</v>
      </c>
    </row>
    <row r="371" spans="1:6" x14ac:dyDescent="0.3">
      <c r="A371" s="224"/>
      <c r="B371" s="224" t="s">
        <v>15693</v>
      </c>
      <c r="C371" s="224" t="s">
        <v>15444</v>
      </c>
      <c r="D371" s="224"/>
      <c r="E371" s="224"/>
      <c r="F371" s="224" t="s">
        <v>15509</v>
      </c>
    </row>
    <row r="372" spans="1:6" x14ac:dyDescent="0.3">
      <c r="A372" s="224"/>
      <c r="B372" s="224" t="s">
        <v>15693</v>
      </c>
      <c r="C372" s="224" t="s">
        <v>15446</v>
      </c>
      <c r="D372" s="224"/>
      <c r="E372" s="224"/>
      <c r="F372" s="224" t="s">
        <v>15510</v>
      </c>
    </row>
    <row r="373" spans="1:6" x14ac:dyDescent="0.3">
      <c r="A373" s="224"/>
      <c r="B373" s="224" t="s">
        <v>15693</v>
      </c>
      <c r="C373" s="224" t="s">
        <v>1152</v>
      </c>
      <c r="D373" s="224"/>
      <c r="E373" s="224"/>
      <c r="F373" s="224" t="s">
        <v>15511</v>
      </c>
    </row>
    <row r="374" spans="1:6" x14ac:dyDescent="0.3">
      <c r="A374" s="224"/>
      <c r="B374" s="224" t="s">
        <v>15696</v>
      </c>
      <c r="C374" s="224" t="s">
        <v>15437</v>
      </c>
      <c r="D374" s="224" t="s">
        <v>15697</v>
      </c>
      <c r="E374" s="224" t="s">
        <v>15698</v>
      </c>
      <c r="F374" s="224" t="s">
        <v>15515</v>
      </c>
    </row>
    <row r="375" spans="1:6" x14ac:dyDescent="0.3">
      <c r="A375" s="224"/>
      <c r="B375" s="224" t="s">
        <v>15696</v>
      </c>
      <c r="C375" s="224" t="s">
        <v>15441</v>
      </c>
      <c r="D375" s="224"/>
      <c r="E375" s="224"/>
      <c r="F375" s="224" t="s">
        <v>15516</v>
      </c>
    </row>
    <row r="376" spans="1:6" x14ac:dyDescent="0.3">
      <c r="A376" s="224"/>
      <c r="B376" s="224" t="s">
        <v>15696</v>
      </c>
      <c r="C376" s="224" t="s">
        <v>1081</v>
      </c>
      <c r="D376" s="224"/>
      <c r="E376" s="224"/>
      <c r="F376" s="224" t="s">
        <v>15517</v>
      </c>
    </row>
    <row r="377" spans="1:6" x14ac:dyDescent="0.3">
      <c r="A377" s="224"/>
      <c r="B377" s="224" t="s">
        <v>15696</v>
      </c>
      <c r="C377" s="224" t="s">
        <v>15444</v>
      </c>
      <c r="D377" s="224"/>
      <c r="E377" s="224"/>
      <c r="F377" s="224" t="s">
        <v>15518</v>
      </c>
    </row>
    <row r="378" spans="1:6" x14ac:dyDescent="0.3">
      <c r="A378" s="224"/>
      <c r="B378" s="224" t="s">
        <v>15696</v>
      </c>
      <c r="C378" s="224" t="s">
        <v>15446</v>
      </c>
      <c r="D378" s="224"/>
      <c r="E378" s="224"/>
      <c r="F378" s="224" t="s">
        <v>15519</v>
      </c>
    </row>
    <row r="379" spans="1:6" x14ac:dyDescent="0.3">
      <c r="A379" s="224"/>
      <c r="B379" s="224" t="s">
        <v>15696</v>
      </c>
      <c r="C379" s="224" t="s">
        <v>1152</v>
      </c>
      <c r="D379" s="224"/>
      <c r="E379" s="224"/>
      <c r="F379" s="224" t="s">
        <v>15520</v>
      </c>
    </row>
    <row r="380" spans="1:6" x14ac:dyDescent="0.3">
      <c r="A380" s="224"/>
      <c r="B380" s="224" t="s">
        <v>15699</v>
      </c>
      <c r="C380" s="224" t="s">
        <v>15437</v>
      </c>
      <c r="D380" s="224" t="s">
        <v>15700</v>
      </c>
      <c r="E380" s="224" t="s">
        <v>15701</v>
      </c>
      <c r="F380" s="224" t="s">
        <v>15524</v>
      </c>
    </row>
    <row r="381" spans="1:6" x14ac:dyDescent="0.3">
      <c r="A381" s="224"/>
      <c r="B381" s="224" t="s">
        <v>15699</v>
      </c>
      <c r="C381" s="224" t="s">
        <v>15441</v>
      </c>
      <c r="D381" s="224"/>
      <c r="E381" s="224"/>
      <c r="F381" s="224" t="s">
        <v>15525</v>
      </c>
    </row>
    <row r="382" spans="1:6" x14ac:dyDescent="0.3">
      <c r="A382" s="224"/>
      <c r="B382" s="224" t="s">
        <v>15699</v>
      </c>
      <c r="C382" s="224" t="s">
        <v>1081</v>
      </c>
      <c r="D382" s="224"/>
      <c r="E382" s="224"/>
      <c r="F382" s="224" t="s">
        <v>15526</v>
      </c>
    </row>
    <row r="383" spans="1:6" x14ac:dyDescent="0.3">
      <c r="A383" s="224"/>
      <c r="B383" s="224" t="s">
        <v>15699</v>
      </c>
      <c r="C383" s="224" t="s">
        <v>15444</v>
      </c>
      <c r="D383" s="224"/>
      <c r="E383" s="224"/>
      <c r="F383" s="224" t="s">
        <v>15527</v>
      </c>
    </row>
    <row r="384" spans="1:6" x14ac:dyDescent="0.3">
      <c r="A384" s="224"/>
      <c r="B384" s="224" t="s">
        <v>15699</v>
      </c>
      <c r="C384" s="224" t="s">
        <v>15446</v>
      </c>
      <c r="D384" s="224"/>
      <c r="E384" s="224"/>
      <c r="F384" s="224" t="s">
        <v>15528</v>
      </c>
    </row>
    <row r="385" spans="1:6" x14ac:dyDescent="0.3">
      <c r="A385" s="224"/>
      <c r="B385" s="224" t="s">
        <v>15699</v>
      </c>
      <c r="C385" s="224" t="s">
        <v>1152</v>
      </c>
      <c r="D385" s="224"/>
      <c r="E385" s="224"/>
      <c r="F385" s="224" t="s">
        <v>15529</v>
      </c>
    </row>
    <row r="386" spans="1:6" x14ac:dyDescent="0.3">
      <c r="A386" s="224" t="s">
        <v>14990</v>
      </c>
      <c r="B386" s="224" t="s">
        <v>15702</v>
      </c>
      <c r="C386" s="224" t="s">
        <v>15437</v>
      </c>
      <c r="D386" s="224" t="s">
        <v>15703</v>
      </c>
      <c r="E386" s="224" t="s">
        <v>15704</v>
      </c>
      <c r="F386" s="224" t="s">
        <v>15440</v>
      </c>
    </row>
    <row r="387" spans="1:6" x14ac:dyDescent="0.3">
      <c r="A387" s="224"/>
      <c r="B387" s="224" t="s">
        <v>15702</v>
      </c>
      <c r="C387" s="224" t="s">
        <v>15441</v>
      </c>
      <c r="D387" s="224"/>
      <c r="E387" s="224"/>
      <c r="F387" s="224" t="s">
        <v>15442</v>
      </c>
    </row>
    <row r="388" spans="1:6" x14ac:dyDescent="0.3">
      <c r="A388" s="224"/>
      <c r="B388" s="224" t="s">
        <v>15702</v>
      </c>
      <c r="C388" s="224" t="s">
        <v>1081</v>
      </c>
      <c r="D388" s="224"/>
      <c r="E388" s="224"/>
      <c r="F388" s="224" t="s">
        <v>15443</v>
      </c>
    </row>
    <row r="389" spans="1:6" x14ac:dyDescent="0.3">
      <c r="A389" s="224"/>
      <c r="B389" s="224" t="s">
        <v>15702</v>
      </c>
      <c r="C389" s="224" t="s">
        <v>15444</v>
      </c>
      <c r="D389" s="224"/>
      <c r="E389" s="224"/>
      <c r="F389" s="224" t="s">
        <v>15445</v>
      </c>
    </row>
    <row r="390" spans="1:6" x14ac:dyDescent="0.3">
      <c r="A390" s="224"/>
      <c r="B390" s="224" t="s">
        <v>15702</v>
      </c>
      <c r="C390" s="224" t="s">
        <v>15446</v>
      </c>
      <c r="D390" s="224"/>
      <c r="E390" s="224"/>
      <c r="F390" s="224" t="s">
        <v>15447</v>
      </c>
    </row>
    <row r="391" spans="1:6" x14ac:dyDescent="0.3">
      <c r="A391" s="224"/>
      <c r="B391" s="224" t="s">
        <v>15702</v>
      </c>
      <c r="C391" s="224" t="s">
        <v>1152</v>
      </c>
      <c r="D391" s="224"/>
      <c r="E391" s="224"/>
      <c r="F391" s="224" t="s">
        <v>15448</v>
      </c>
    </row>
    <row r="392" spans="1:6" x14ac:dyDescent="0.3">
      <c r="A392" s="224"/>
      <c r="B392" s="224" t="s">
        <v>15705</v>
      </c>
      <c r="C392" s="224" t="s">
        <v>15437</v>
      </c>
      <c r="D392" s="224" t="s">
        <v>15706</v>
      </c>
      <c r="E392" s="224" t="s">
        <v>15707</v>
      </c>
      <c r="F392" s="224" t="s">
        <v>15452</v>
      </c>
    </row>
    <row r="393" spans="1:6" x14ac:dyDescent="0.3">
      <c r="A393" s="224"/>
      <c r="B393" s="224" t="s">
        <v>15705</v>
      </c>
      <c r="C393" s="224" t="s">
        <v>15441</v>
      </c>
      <c r="D393" s="224"/>
      <c r="E393" s="224"/>
      <c r="F393" s="224" t="s">
        <v>15453</v>
      </c>
    </row>
    <row r="394" spans="1:6" x14ac:dyDescent="0.3">
      <c r="A394" s="224"/>
      <c r="B394" s="224" t="s">
        <v>15705</v>
      </c>
      <c r="C394" s="224" t="s">
        <v>1081</v>
      </c>
      <c r="D394" s="224"/>
      <c r="E394" s="224"/>
      <c r="F394" s="224" t="s">
        <v>15454</v>
      </c>
    </row>
    <row r="395" spans="1:6" x14ac:dyDescent="0.3">
      <c r="A395" s="224"/>
      <c r="B395" s="224" t="s">
        <v>15705</v>
      </c>
      <c r="C395" s="224" t="s">
        <v>15444</v>
      </c>
      <c r="D395" s="224"/>
      <c r="E395" s="224"/>
      <c r="F395" s="224" t="s">
        <v>15455</v>
      </c>
    </row>
    <row r="396" spans="1:6" x14ac:dyDescent="0.3">
      <c r="A396" s="224"/>
      <c r="B396" s="224" t="s">
        <v>15705</v>
      </c>
      <c r="C396" s="224" t="s">
        <v>15446</v>
      </c>
      <c r="D396" s="224"/>
      <c r="E396" s="224"/>
      <c r="F396" s="224" t="s">
        <v>15456</v>
      </c>
    </row>
    <row r="397" spans="1:6" x14ac:dyDescent="0.3">
      <c r="A397" s="224"/>
      <c r="B397" s="224" t="s">
        <v>15705</v>
      </c>
      <c r="C397" s="224" t="s">
        <v>1152</v>
      </c>
      <c r="D397" s="224"/>
      <c r="E397" s="224"/>
      <c r="F397" s="224" t="s">
        <v>15457</v>
      </c>
    </row>
    <row r="398" spans="1:6" x14ac:dyDescent="0.3">
      <c r="A398" s="224"/>
      <c r="B398" s="224" t="s">
        <v>15708</v>
      </c>
      <c r="C398" s="224" t="s">
        <v>15437</v>
      </c>
      <c r="D398" s="224" t="s">
        <v>15709</v>
      </c>
      <c r="E398" s="224" t="s">
        <v>15710</v>
      </c>
      <c r="F398" s="224" t="s">
        <v>15461</v>
      </c>
    </row>
    <row r="399" spans="1:6" x14ac:dyDescent="0.3">
      <c r="A399" s="224"/>
      <c r="B399" s="224" t="s">
        <v>15708</v>
      </c>
      <c r="C399" s="224" t="s">
        <v>15441</v>
      </c>
      <c r="D399" s="224"/>
      <c r="E399" s="224"/>
      <c r="F399" s="224" t="s">
        <v>15462</v>
      </c>
    </row>
    <row r="400" spans="1:6" x14ac:dyDescent="0.3">
      <c r="A400" s="224"/>
      <c r="B400" s="224" t="s">
        <v>15708</v>
      </c>
      <c r="C400" s="224" t="s">
        <v>1081</v>
      </c>
      <c r="D400" s="224"/>
      <c r="E400" s="224"/>
      <c r="F400" s="224" t="s">
        <v>15463</v>
      </c>
    </row>
    <row r="401" spans="1:6" x14ac:dyDescent="0.3">
      <c r="A401" s="224"/>
      <c r="B401" s="224" t="s">
        <v>15708</v>
      </c>
      <c r="C401" s="224" t="s">
        <v>15444</v>
      </c>
      <c r="D401" s="224"/>
      <c r="E401" s="224"/>
      <c r="F401" s="224" t="s">
        <v>15464</v>
      </c>
    </row>
    <row r="402" spans="1:6" x14ac:dyDescent="0.3">
      <c r="A402" s="224"/>
      <c r="B402" s="224" t="s">
        <v>15708</v>
      </c>
      <c r="C402" s="224" t="s">
        <v>15446</v>
      </c>
      <c r="D402" s="224"/>
      <c r="E402" s="224"/>
      <c r="F402" s="224" t="s">
        <v>15465</v>
      </c>
    </row>
    <row r="403" spans="1:6" x14ac:dyDescent="0.3">
      <c r="A403" s="224"/>
      <c r="B403" s="224" t="s">
        <v>15708</v>
      </c>
      <c r="C403" s="224" t="s">
        <v>1152</v>
      </c>
      <c r="D403" s="224"/>
      <c r="E403" s="224"/>
      <c r="F403" s="224" t="s">
        <v>15466</v>
      </c>
    </row>
    <row r="404" spans="1:6" x14ac:dyDescent="0.3">
      <c r="A404" s="224"/>
      <c r="B404" s="224" t="s">
        <v>15711</v>
      </c>
      <c r="C404" s="224" t="s">
        <v>15437</v>
      </c>
      <c r="D404" s="224" t="s">
        <v>15712</v>
      </c>
      <c r="E404" s="224" t="s">
        <v>15713</v>
      </c>
      <c r="F404" s="224" t="s">
        <v>15470</v>
      </c>
    </row>
    <row r="405" spans="1:6" x14ac:dyDescent="0.3">
      <c r="A405" s="224"/>
      <c r="B405" s="224" t="s">
        <v>15711</v>
      </c>
      <c r="C405" s="224" t="s">
        <v>15441</v>
      </c>
      <c r="D405" s="224"/>
      <c r="E405" s="224"/>
      <c r="F405" s="224" t="s">
        <v>15471</v>
      </c>
    </row>
    <row r="406" spans="1:6" x14ac:dyDescent="0.3">
      <c r="A406" s="224"/>
      <c r="B406" s="224" t="s">
        <v>15711</v>
      </c>
      <c r="C406" s="224" t="s">
        <v>1081</v>
      </c>
      <c r="D406" s="224"/>
      <c r="E406" s="224"/>
      <c r="F406" s="224" t="s">
        <v>15472</v>
      </c>
    </row>
    <row r="407" spans="1:6" x14ac:dyDescent="0.3">
      <c r="A407" s="224"/>
      <c r="B407" s="224" t="s">
        <v>15711</v>
      </c>
      <c r="C407" s="224" t="s">
        <v>15444</v>
      </c>
      <c r="D407" s="224"/>
      <c r="E407" s="224"/>
      <c r="F407" s="224" t="s">
        <v>15473</v>
      </c>
    </row>
    <row r="408" spans="1:6" x14ac:dyDescent="0.3">
      <c r="A408" s="224"/>
      <c r="B408" s="224" t="s">
        <v>15711</v>
      </c>
      <c r="C408" s="224" t="s">
        <v>15446</v>
      </c>
      <c r="D408" s="224"/>
      <c r="E408" s="224"/>
      <c r="F408" s="224" t="s">
        <v>15474</v>
      </c>
    </row>
    <row r="409" spans="1:6" x14ac:dyDescent="0.3">
      <c r="A409" s="224"/>
      <c r="B409" s="224" t="s">
        <v>15711</v>
      </c>
      <c r="C409" s="224" t="s">
        <v>1152</v>
      </c>
      <c r="D409" s="224"/>
      <c r="E409" s="224"/>
      <c r="F409" s="224" t="s">
        <v>15475</v>
      </c>
    </row>
    <row r="410" spans="1:6" x14ac:dyDescent="0.3">
      <c r="A410" s="224"/>
      <c r="B410" s="224" t="s">
        <v>15714</v>
      </c>
      <c r="C410" s="224" t="s">
        <v>15437</v>
      </c>
      <c r="D410" s="224" t="s">
        <v>15715</v>
      </c>
      <c r="E410" s="224" t="s">
        <v>15716</v>
      </c>
      <c r="F410" s="224" t="s">
        <v>15479</v>
      </c>
    </row>
    <row r="411" spans="1:6" x14ac:dyDescent="0.3">
      <c r="A411" s="224"/>
      <c r="B411" s="224" t="s">
        <v>15714</v>
      </c>
      <c r="C411" s="224" t="s">
        <v>15441</v>
      </c>
      <c r="D411" s="224"/>
      <c r="E411" s="224"/>
      <c r="F411" s="224" t="s">
        <v>15480</v>
      </c>
    </row>
    <row r="412" spans="1:6" x14ac:dyDescent="0.3">
      <c r="A412" s="224"/>
      <c r="B412" s="224" t="s">
        <v>15714</v>
      </c>
      <c r="C412" s="224" t="s">
        <v>1081</v>
      </c>
      <c r="D412" s="224"/>
      <c r="E412" s="224"/>
      <c r="F412" s="224" t="s">
        <v>15481</v>
      </c>
    </row>
    <row r="413" spans="1:6" x14ac:dyDescent="0.3">
      <c r="A413" s="224"/>
      <c r="B413" s="224" t="s">
        <v>15714</v>
      </c>
      <c r="C413" s="224" t="s">
        <v>15444</v>
      </c>
      <c r="D413" s="224"/>
      <c r="E413" s="224"/>
      <c r="F413" s="224" t="s">
        <v>15482</v>
      </c>
    </row>
    <row r="414" spans="1:6" x14ac:dyDescent="0.3">
      <c r="A414" s="224"/>
      <c r="B414" s="224" t="s">
        <v>15714</v>
      </c>
      <c r="C414" s="224" t="s">
        <v>15446</v>
      </c>
      <c r="D414" s="224"/>
      <c r="E414" s="224"/>
      <c r="F414" s="224" t="s">
        <v>15483</v>
      </c>
    </row>
    <row r="415" spans="1:6" x14ac:dyDescent="0.3">
      <c r="A415" s="224"/>
      <c r="B415" s="224" t="s">
        <v>15714</v>
      </c>
      <c r="C415" s="224" t="s">
        <v>1152</v>
      </c>
      <c r="D415" s="224"/>
      <c r="E415" s="224"/>
      <c r="F415" s="224" t="s">
        <v>15484</v>
      </c>
    </row>
    <row r="416" spans="1:6" x14ac:dyDescent="0.3">
      <c r="A416" s="224"/>
      <c r="B416" s="224" t="s">
        <v>15717</v>
      </c>
      <c r="C416" s="224" t="s">
        <v>15437</v>
      </c>
      <c r="D416" s="224" t="s">
        <v>15718</v>
      </c>
      <c r="E416" s="224" t="s">
        <v>15719</v>
      </c>
      <c r="F416" s="224" t="s">
        <v>15488</v>
      </c>
    </row>
    <row r="417" spans="1:6" x14ac:dyDescent="0.3">
      <c r="A417" s="224"/>
      <c r="B417" s="224" t="s">
        <v>15717</v>
      </c>
      <c r="C417" s="224" t="s">
        <v>15441</v>
      </c>
      <c r="D417" s="224"/>
      <c r="E417" s="224"/>
      <c r="F417" s="224" t="s">
        <v>15489</v>
      </c>
    </row>
    <row r="418" spans="1:6" x14ac:dyDescent="0.3">
      <c r="A418" s="224"/>
      <c r="B418" s="224" t="s">
        <v>15717</v>
      </c>
      <c r="C418" s="224" t="s">
        <v>1081</v>
      </c>
      <c r="D418" s="224"/>
      <c r="E418" s="224"/>
      <c r="F418" s="224" t="s">
        <v>15490</v>
      </c>
    </row>
    <row r="419" spans="1:6" x14ac:dyDescent="0.3">
      <c r="A419" s="224"/>
      <c r="B419" s="224" t="s">
        <v>15717</v>
      </c>
      <c r="C419" s="224" t="s">
        <v>15444</v>
      </c>
      <c r="D419" s="224"/>
      <c r="E419" s="224"/>
      <c r="F419" s="224" t="s">
        <v>15491</v>
      </c>
    </row>
    <row r="420" spans="1:6" x14ac:dyDescent="0.3">
      <c r="A420" s="224"/>
      <c r="B420" s="224" t="s">
        <v>15717</v>
      </c>
      <c r="C420" s="224" t="s">
        <v>15446</v>
      </c>
      <c r="D420" s="224"/>
      <c r="E420" s="224"/>
      <c r="F420" s="224" t="s">
        <v>15492</v>
      </c>
    </row>
    <row r="421" spans="1:6" x14ac:dyDescent="0.3">
      <c r="A421" s="224"/>
      <c r="B421" s="224" t="s">
        <v>15717</v>
      </c>
      <c r="C421" s="224" t="s">
        <v>1152</v>
      </c>
      <c r="D421" s="224"/>
      <c r="E421" s="224"/>
      <c r="F421" s="224" t="s">
        <v>15493</v>
      </c>
    </row>
    <row r="422" spans="1:6" x14ac:dyDescent="0.3">
      <c r="A422" s="224"/>
      <c r="B422" s="224" t="s">
        <v>15720</v>
      </c>
      <c r="C422" s="224" t="s">
        <v>15437</v>
      </c>
      <c r="D422" s="224" t="s">
        <v>15721</v>
      </c>
      <c r="E422" s="224" t="s">
        <v>15722</v>
      </c>
      <c r="F422" s="224" t="s">
        <v>15497</v>
      </c>
    </row>
    <row r="423" spans="1:6" x14ac:dyDescent="0.3">
      <c r="A423" s="224"/>
      <c r="B423" s="224" t="s">
        <v>15720</v>
      </c>
      <c r="C423" s="224" t="s">
        <v>15441</v>
      </c>
      <c r="D423" s="224"/>
      <c r="E423" s="224"/>
      <c r="F423" s="224" t="s">
        <v>15498</v>
      </c>
    </row>
    <row r="424" spans="1:6" x14ac:dyDescent="0.3">
      <c r="A424" s="224"/>
      <c r="B424" s="224" t="s">
        <v>15720</v>
      </c>
      <c r="C424" s="224" t="s">
        <v>1081</v>
      </c>
      <c r="D424" s="224"/>
      <c r="E424" s="224"/>
      <c r="F424" s="224" t="s">
        <v>15499</v>
      </c>
    </row>
    <row r="425" spans="1:6" x14ac:dyDescent="0.3">
      <c r="A425" s="224"/>
      <c r="B425" s="224" t="s">
        <v>15720</v>
      </c>
      <c r="C425" s="224" t="s">
        <v>15444</v>
      </c>
      <c r="D425" s="224"/>
      <c r="E425" s="224"/>
      <c r="F425" s="224" t="s">
        <v>15500</v>
      </c>
    </row>
    <row r="426" spans="1:6" x14ac:dyDescent="0.3">
      <c r="A426" s="224"/>
      <c r="B426" s="224" t="s">
        <v>15720</v>
      </c>
      <c r="C426" s="224" t="s">
        <v>15446</v>
      </c>
      <c r="D426" s="224"/>
      <c r="E426" s="224"/>
      <c r="F426" s="224" t="s">
        <v>15501</v>
      </c>
    </row>
    <row r="427" spans="1:6" x14ac:dyDescent="0.3">
      <c r="A427" s="224"/>
      <c r="B427" s="224" t="s">
        <v>15720</v>
      </c>
      <c r="C427" s="224" t="s">
        <v>1152</v>
      </c>
      <c r="D427" s="224"/>
      <c r="E427" s="224"/>
      <c r="F427" s="224" t="s">
        <v>15502</v>
      </c>
    </row>
    <row r="428" spans="1:6" x14ac:dyDescent="0.3">
      <c r="A428" s="224"/>
      <c r="B428" s="224" t="s">
        <v>15723</v>
      </c>
      <c r="C428" s="224" t="s">
        <v>15437</v>
      </c>
      <c r="D428" s="224" t="s">
        <v>15724</v>
      </c>
      <c r="E428" s="224" t="s">
        <v>15725</v>
      </c>
      <c r="F428" s="224" t="s">
        <v>15506</v>
      </c>
    </row>
    <row r="429" spans="1:6" x14ac:dyDescent="0.3">
      <c r="A429" s="224"/>
      <c r="B429" s="224" t="s">
        <v>15723</v>
      </c>
      <c r="C429" s="224" t="s">
        <v>15441</v>
      </c>
      <c r="D429" s="224"/>
      <c r="E429" s="224"/>
      <c r="F429" s="224" t="s">
        <v>15507</v>
      </c>
    </row>
    <row r="430" spans="1:6" x14ac:dyDescent="0.3">
      <c r="A430" s="224"/>
      <c r="B430" s="224" t="s">
        <v>15723</v>
      </c>
      <c r="C430" s="224" t="s">
        <v>1081</v>
      </c>
      <c r="D430" s="224"/>
      <c r="E430" s="224"/>
      <c r="F430" s="224" t="s">
        <v>15508</v>
      </c>
    </row>
    <row r="431" spans="1:6" x14ac:dyDescent="0.3">
      <c r="A431" s="224"/>
      <c r="B431" s="224" t="s">
        <v>15723</v>
      </c>
      <c r="C431" s="224" t="s">
        <v>15444</v>
      </c>
      <c r="D431" s="224"/>
      <c r="E431" s="224"/>
      <c r="F431" s="224" t="s">
        <v>15509</v>
      </c>
    </row>
    <row r="432" spans="1:6" x14ac:dyDescent="0.3">
      <c r="A432" s="224"/>
      <c r="B432" s="224" t="s">
        <v>15723</v>
      </c>
      <c r="C432" s="224" t="s">
        <v>15446</v>
      </c>
      <c r="D432" s="224"/>
      <c r="E432" s="224"/>
      <c r="F432" s="224" t="s">
        <v>15510</v>
      </c>
    </row>
    <row r="433" spans="1:6" x14ac:dyDescent="0.3">
      <c r="A433" s="224"/>
      <c r="B433" s="224" t="s">
        <v>15723</v>
      </c>
      <c r="C433" s="224" t="s">
        <v>1152</v>
      </c>
      <c r="D433" s="224"/>
      <c r="E433" s="224"/>
      <c r="F433" s="224" t="s">
        <v>15511</v>
      </c>
    </row>
    <row r="434" spans="1:6" x14ac:dyDescent="0.3">
      <c r="A434" s="224"/>
      <c r="B434" s="224" t="s">
        <v>15726</v>
      </c>
      <c r="C434" s="224" t="s">
        <v>15437</v>
      </c>
      <c r="D434" s="224" t="s">
        <v>15727</v>
      </c>
      <c r="E434" s="224" t="s">
        <v>15728</v>
      </c>
      <c r="F434" s="224" t="s">
        <v>15515</v>
      </c>
    </row>
    <row r="435" spans="1:6" x14ac:dyDescent="0.3">
      <c r="A435" s="224"/>
      <c r="B435" s="224" t="s">
        <v>15726</v>
      </c>
      <c r="C435" s="224" t="s">
        <v>15441</v>
      </c>
      <c r="D435" s="224"/>
      <c r="E435" s="224"/>
      <c r="F435" s="224" t="s">
        <v>15516</v>
      </c>
    </row>
    <row r="436" spans="1:6" x14ac:dyDescent="0.3">
      <c r="A436" s="224"/>
      <c r="B436" s="224" t="s">
        <v>15726</v>
      </c>
      <c r="C436" s="224" t="s">
        <v>1081</v>
      </c>
      <c r="D436" s="224"/>
      <c r="E436" s="224"/>
      <c r="F436" s="224" t="s">
        <v>15517</v>
      </c>
    </row>
    <row r="437" spans="1:6" x14ac:dyDescent="0.3">
      <c r="A437" s="224"/>
      <c r="B437" s="224" t="s">
        <v>15726</v>
      </c>
      <c r="C437" s="224" t="s">
        <v>15444</v>
      </c>
      <c r="D437" s="224"/>
      <c r="E437" s="224"/>
      <c r="F437" s="224" t="s">
        <v>15518</v>
      </c>
    </row>
    <row r="438" spans="1:6" x14ac:dyDescent="0.3">
      <c r="A438" s="224"/>
      <c r="B438" s="224" t="s">
        <v>15726</v>
      </c>
      <c r="C438" s="224" t="s">
        <v>15446</v>
      </c>
      <c r="D438" s="224"/>
      <c r="E438" s="224"/>
      <c r="F438" s="224" t="s">
        <v>15519</v>
      </c>
    </row>
    <row r="439" spans="1:6" x14ac:dyDescent="0.3">
      <c r="A439" s="224"/>
      <c r="B439" s="224" t="s">
        <v>15726</v>
      </c>
      <c r="C439" s="224" t="s">
        <v>1152</v>
      </c>
      <c r="D439" s="224"/>
      <c r="E439" s="224"/>
      <c r="F439" s="224" t="s">
        <v>15520</v>
      </c>
    </row>
    <row r="440" spans="1:6" x14ac:dyDescent="0.3">
      <c r="A440" s="224"/>
      <c r="B440" s="224" t="s">
        <v>15729</v>
      </c>
      <c r="C440" s="224" t="s">
        <v>15437</v>
      </c>
      <c r="D440" s="224" t="s">
        <v>15730</v>
      </c>
      <c r="E440" s="224" t="s">
        <v>15731</v>
      </c>
      <c r="F440" s="224" t="s">
        <v>15524</v>
      </c>
    </row>
    <row r="441" spans="1:6" x14ac:dyDescent="0.3">
      <c r="A441" s="224"/>
      <c r="B441" s="224" t="s">
        <v>15729</v>
      </c>
      <c r="C441" s="224" t="s">
        <v>15441</v>
      </c>
      <c r="D441" s="224"/>
      <c r="E441" s="224"/>
      <c r="F441" s="224" t="s">
        <v>15525</v>
      </c>
    </row>
    <row r="442" spans="1:6" x14ac:dyDescent="0.3">
      <c r="A442" s="224"/>
      <c r="B442" s="224" t="s">
        <v>15729</v>
      </c>
      <c r="C442" s="224" t="s">
        <v>1081</v>
      </c>
      <c r="D442" s="224"/>
      <c r="E442" s="224"/>
      <c r="F442" s="224" t="s">
        <v>15526</v>
      </c>
    </row>
    <row r="443" spans="1:6" x14ac:dyDescent="0.3">
      <c r="A443" s="224"/>
      <c r="B443" s="224" t="s">
        <v>15729</v>
      </c>
      <c r="C443" s="224" t="s">
        <v>15444</v>
      </c>
      <c r="D443" s="224"/>
      <c r="E443" s="224"/>
      <c r="F443" s="224" t="s">
        <v>15527</v>
      </c>
    </row>
    <row r="444" spans="1:6" x14ac:dyDescent="0.3">
      <c r="A444" s="224"/>
      <c r="B444" s="224" t="s">
        <v>15729</v>
      </c>
      <c r="C444" s="224" t="s">
        <v>15446</v>
      </c>
      <c r="D444" s="224"/>
      <c r="E444" s="224"/>
      <c r="F444" s="224" t="s">
        <v>15528</v>
      </c>
    </row>
    <row r="445" spans="1:6" x14ac:dyDescent="0.3">
      <c r="A445" s="224"/>
      <c r="B445" s="224" t="s">
        <v>15729</v>
      </c>
      <c r="C445" s="224" t="s">
        <v>1152</v>
      </c>
      <c r="D445" s="224"/>
      <c r="E445" s="224"/>
      <c r="F445" s="224" t="s">
        <v>15529</v>
      </c>
    </row>
    <row r="446" spans="1:6" x14ac:dyDescent="0.3">
      <c r="A446" s="224" t="s">
        <v>152</v>
      </c>
      <c r="B446" s="224" t="s">
        <v>15732</v>
      </c>
      <c r="C446" s="224" t="s">
        <v>15437</v>
      </c>
      <c r="D446" s="224" t="s">
        <v>15733</v>
      </c>
      <c r="E446" s="224" t="s">
        <v>15734</v>
      </c>
      <c r="F446" s="224" t="s">
        <v>15440</v>
      </c>
    </row>
    <row r="447" spans="1:6" x14ac:dyDescent="0.3">
      <c r="A447" s="224"/>
      <c r="B447" s="224" t="s">
        <v>15732</v>
      </c>
      <c r="C447" s="224" t="s">
        <v>15441</v>
      </c>
      <c r="D447" s="224"/>
      <c r="E447" s="224"/>
      <c r="F447" s="224" t="s">
        <v>15442</v>
      </c>
    </row>
    <row r="448" spans="1:6" x14ac:dyDescent="0.3">
      <c r="A448" s="224"/>
      <c r="B448" s="224" t="s">
        <v>15732</v>
      </c>
      <c r="C448" s="224" t="s">
        <v>1081</v>
      </c>
      <c r="D448" s="224"/>
      <c r="E448" s="224"/>
      <c r="F448" s="224" t="s">
        <v>15443</v>
      </c>
    </row>
    <row r="449" spans="1:6" x14ac:dyDescent="0.3">
      <c r="A449" s="224"/>
      <c r="B449" s="224" t="s">
        <v>15732</v>
      </c>
      <c r="C449" s="224" t="s">
        <v>15444</v>
      </c>
      <c r="D449" s="224"/>
      <c r="E449" s="224"/>
      <c r="F449" s="224" t="s">
        <v>15445</v>
      </c>
    </row>
    <row r="450" spans="1:6" x14ac:dyDescent="0.3">
      <c r="A450" s="224"/>
      <c r="B450" s="224" t="s">
        <v>15732</v>
      </c>
      <c r="C450" s="224" t="s">
        <v>15446</v>
      </c>
      <c r="D450" s="224"/>
      <c r="E450" s="224"/>
      <c r="F450" s="224" t="s">
        <v>15447</v>
      </c>
    </row>
    <row r="451" spans="1:6" x14ac:dyDescent="0.3">
      <c r="A451" s="224"/>
      <c r="B451" s="224" t="s">
        <v>15732</v>
      </c>
      <c r="C451" s="224" t="s">
        <v>1152</v>
      </c>
      <c r="D451" s="224"/>
      <c r="E451" s="224"/>
      <c r="F451" s="224" t="s">
        <v>15448</v>
      </c>
    </row>
    <row r="452" spans="1:6" x14ac:dyDescent="0.3">
      <c r="A452" s="224"/>
      <c r="B452" s="224" t="s">
        <v>15735</v>
      </c>
      <c r="C452" s="224" t="s">
        <v>15437</v>
      </c>
      <c r="D452" s="224" t="s">
        <v>15736</v>
      </c>
      <c r="E452" s="224" t="s">
        <v>15737</v>
      </c>
      <c r="F452" s="224" t="s">
        <v>15452</v>
      </c>
    </row>
    <row r="453" spans="1:6" x14ac:dyDescent="0.3">
      <c r="A453" s="224"/>
      <c r="B453" s="224" t="s">
        <v>15735</v>
      </c>
      <c r="C453" s="224" t="s">
        <v>15441</v>
      </c>
      <c r="D453" s="224"/>
      <c r="E453" s="224"/>
      <c r="F453" s="224" t="s">
        <v>15453</v>
      </c>
    </row>
    <row r="454" spans="1:6" x14ac:dyDescent="0.3">
      <c r="A454" s="224"/>
      <c r="B454" s="224" t="s">
        <v>15735</v>
      </c>
      <c r="C454" s="224" t="s">
        <v>1081</v>
      </c>
      <c r="D454" s="224"/>
      <c r="E454" s="224"/>
      <c r="F454" s="224" t="s">
        <v>15454</v>
      </c>
    </row>
    <row r="455" spans="1:6" x14ac:dyDescent="0.3">
      <c r="A455" s="224"/>
      <c r="B455" s="224" t="s">
        <v>15735</v>
      </c>
      <c r="C455" s="224" t="s">
        <v>15444</v>
      </c>
      <c r="D455" s="224"/>
      <c r="E455" s="224"/>
      <c r="F455" s="224" t="s">
        <v>15455</v>
      </c>
    </row>
    <row r="456" spans="1:6" x14ac:dyDescent="0.3">
      <c r="A456" s="224"/>
      <c r="B456" s="224" t="s">
        <v>15735</v>
      </c>
      <c r="C456" s="224" t="s">
        <v>15446</v>
      </c>
      <c r="D456" s="224"/>
      <c r="E456" s="224"/>
      <c r="F456" s="224" t="s">
        <v>15456</v>
      </c>
    </row>
    <row r="457" spans="1:6" x14ac:dyDescent="0.3">
      <c r="A457" s="224"/>
      <c r="B457" s="224" t="s">
        <v>15735</v>
      </c>
      <c r="C457" s="224" t="s">
        <v>1152</v>
      </c>
      <c r="D457" s="224"/>
      <c r="E457" s="224"/>
      <c r="F457" s="224" t="s">
        <v>15457</v>
      </c>
    </row>
    <row r="458" spans="1:6" x14ac:dyDescent="0.3">
      <c r="A458" s="224"/>
      <c r="B458" s="224" t="s">
        <v>15738</v>
      </c>
      <c r="C458" s="224" t="s">
        <v>15437</v>
      </c>
      <c r="D458" s="224" t="s">
        <v>15739</v>
      </c>
      <c r="E458" s="224" t="s">
        <v>15740</v>
      </c>
      <c r="F458" s="224" t="s">
        <v>15461</v>
      </c>
    </row>
    <row r="459" spans="1:6" x14ac:dyDescent="0.3">
      <c r="A459" s="224"/>
      <c r="B459" s="224" t="s">
        <v>15738</v>
      </c>
      <c r="C459" s="224" t="s">
        <v>15441</v>
      </c>
      <c r="D459" s="224"/>
      <c r="E459" s="224"/>
      <c r="F459" s="224" t="s">
        <v>15462</v>
      </c>
    </row>
    <row r="460" spans="1:6" x14ac:dyDescent="0.3">
      <c r="A460" s="224"/>
      <c r="B460" s="224" t="s">
        <v>15738</v>
      </c>
      <c r="C460" s="224" t="s">
        <v>1081</v>
      </c>
      <c r="D460" s="224"/>
      <c r="E460" s="224"/>
      <c r="F460" s="224" t="s">
        <v>15463</v>
      </c>
    </row>
    <row r="461" spans="1:6" x14ac:dyDescent="0.3">
      <c r="A461" s="224"/>
      <c r="B461" s="224" t="s">
        <v>15738</v>
      </c>
      <c r="C461" s="224" t="s">
        <v>15444</v>
      </c>
      <c r="D461" s="224"/>
      <c r="E461" s="224"/>
      <c r="F461" s="224" t="s">
        <v>15464</v>
      </c>
    </row>
    <row r="462" spans="1:6" x14ac:dyDescent="0.3">
      <c r="A462" s="224"/>
      <c r="B462" s="224" t="s">
        <v>15738</v>
      </c>
      <c r="C462" s="224" t="s">
        <v>15446</v>
      </c>
      <c r="D462" s="224"/>
      <c r="E462" s="224"/>
      <c r="F462" s="224" t="s">
        <v>15465</v>
      </c>
    </row>
    <row r="463" spans="1:6" x14ac:dyDescent="0.3">
      <c r="A463" s="224"/>
      <c r="B463" s="224" t="s">
        <v>15738</v>
      </c>
      <c r="C463" s="224" t="s">
        <v>1152</v>
      </c>
      <c r="D463" s="224"/>
      <c r="E463" s="224"/>
      <c r="F463" s="224" t="s">
        <v>15466</v>
      </c>
    </row>
    <row r="464" spans="1:6" x14ac:dyDescent="0.3">
      <c r="A464" s="224"/>
      <c r="B464" s="224" t="s">
        <v>15741</v>
      </c>
      <c r="C464" s="224" t="s">
        <v>15437</v>
      </c>
      <c r="D464" s="224" t="s">
        <v>15742</v>
      </c>
      <c r="E464" s="224" t="s">
        <v>15743</v>
      </c>
      <c r="F464" s="224" t="s">
        <v>15470</v>
      </c>
    </row>
    <row r="465" spans="1:6" x14ac:dyDescent="0.3">
      <c r="A465" s="224"/>
      <c r="B465" s="224" t="s">
        <v>15741</v>
      </c>
      <c r="C465" s="224" t="s">
        <v>15441</v>
      </c>
      <c r="D465" s="224"/>
      <c r="E465" s="224"/>
      <c r="F465" s="224" t="s">
        <v>15471</v>
      </c>
    </row>
    <row r="466" spans="1:6" x14ac:dyDescent="0.3">
      <c r="A466" s="224"/>
      <c r="B466" s="224" t="s">
        <v>15741</v>
      </c>
      <c r="C466" s="224" t="s">
        <v>1081</v>
      </c>
      <c r="D466" s="224"/>
      <c r="E466" s="224"/>
      <c r="F466" s="224" t="s">
        <v>15472</v>
      </c>
    </row>
    <row r="467" spans="1:6" x14ac:dyDescent="0.3">
      <c r="A467" s="224"/>
      <c r="B467" s="224" t="s">
        <v>15741</v>
      </c>
      <c r="C467" s="224" t="s">
        <v>15444</v>
      </c>
      <c r="D467" s="224"/>
      <c r="E467" s="224"/>
      <c r="F467" s="224" t="s">
        <v>15473</v>
      </c>
    </row>
    <row r="468" spans="1:6" x14ac:dyDescent="0.3">
      <c r="A468" s="224"/>
      <c r="B468" s="224" t="s">
        <v>15741</v>
      </c>
      <c r="C468" s="224" t="s">
        <v>15446</v>
      </c>
      <c r="D468" s="224"/>
      <c r="E468" s="224"/>
      <c r="F468" s="224" t="s">
        <v>15474</v>
      </c>
    </row>
    <row r="469" spans="1:6" x14ac:dyDescent="0.3">
      <c r="A469" s="224"/>
      <c r="B469" s="224" t="s">
        <v>15741</v>
      </c>
      <c r="C469" s="224" t="s">
        <v>1152</v>
      </c>
      <c r="D469" s="224"/>
      <c r="E469" s="224"/>
      <c r="F469" s="224" t="s">
        <v>15475</v>
      </c>
    </row>
    <row r="470" spans="1:6" x14ac:dyDescent="0.3">
      <c r="A470" s="224"/>
      <c r="B470" s="224" t="s">
        <v>15744</v>
      </c>
      <c r="C470" s="224" t="s">
        <v>15437</v>
      </c>
      <c r="D470" s="224" t="s">
        <v>15745</v>
      </c>
      <c r="E470" s="224" t="s">
        <v>15746</v>
      </c>
      <c r="F470" s="224" t="s">
        <v>15479</v>
      </c>
    </row>
    <row r="471" spans="1:6" x14ac:dyDescent="0.3">
      <c r="A471" s="224"/>
      <c r="B471" s="224" t="s">
        <v>15744</v>
      </c>
      <c r="C471" s="224" t="s">
        <v>15441</v>
      </c>
      <c r="D471" s="224"/>
      <c r="E471" s="224"/>
      <c r="F471" s="224" t="s">
        <v>15480</v>
      </c>
    </row>
    <row r="472" spans="1:6" x14ac:dyDescent="0.3">
      <c r="A472" s="224"/>
      <c r="B472" s="224" t="s">
        <v>15744</v>
      </c>
      <c r="C472" s="224" t="s">
        <v>1081</v>
      </c>
      <c r="D472" s="224"/>
      <c r="E472" s="224"/>
      <c r="F472" s="224" t="s">
        <v>15481</v>
      </c>
    </row>
    <row r="473" spans="1:6" x14ac:dyDescent="0.3">
      <c r="A473" s="224"/>
      <c r="B473" s="224" t="s">
        <v>15744</v>
      </c>
      <c r="C473" s="224" t="s">
        <v>15444</v>
      </c>
      <c r="D473" s="224"/>
      <c r="E473" s="224"/>
      <c r="F473" s="224" t="s">
        <v>15482</v>
      </c>
    </row>
    <row r="474" spans="1:6" x14ac:dyDescent="0.3">
      <c r="A474" s="224"/>
      <c r="B474" s="224" t="s">
        <v>15744</v>
      </c>
      <c r="C474" s="224" t="s">
        <v>15446</v>
      </c>
      <c r="D474" s="224"/>
      <c r="E474" s="224"/>
      <c r="F474" s="224" t="s">
        <v>15483</v>
      </c>
    </row>
    <row r="475" spans="1:6" x14ac:dyDescent="0.3">
      <c r="A475" s="224"/>
      <c r="B475" s="224" t="s">
        <v>15744</v>
      </c>
      <c r="C475" s="224" t="s">
        <v>1152</v>
      </c>
      <c r="D475" s="224"/>
      <c r="E475" s="224"/>
      <c r="F475" s="224" t="s">
        <v>15484</v>
      </c>
    </row>
    <row r="476" spans="1:6" x14ac:dyDescent="0.3">
      <c r="A476" s="224"/>
      <c r="B476" s="224" t="s">
        <v>15747</v>
      </c>
      <c r="C476" s="224" t="s">
        <v>15437</v>
      </c>
      <c r="D476" s="224" t="s">
        <v>15748</v>
      </c>
      <c r="E476" s="224" t="s">
        <v>15749</v>
      </c>
      <c r="F476" s="224" t="s">
        <v>15488</v>
      </c>
    </row>
    <row r="477" spans="1:6" x14ac:dyDescent="0.3">
      <c r="A477" s="224"/>
      <c r="B477" s="224" t="s">
        <v>15747</v>
      </c>
      <c r="C477" s="224" t="s">
        <v>15441</v>
      </c>
      <c r="D477" s="224"/>
      <c r="E477" s="224"/>
      <c r="F477" s="224" t="s">
        <v>15489</v>
      </c>
    </row>
    <row r="478" spans="1:6" x14ac:dyDescent="0.3">
      <c r="A478" s="224"/>
      <c r="B478" s="224" t="s">
        <v>15747</v>
      </c>
      <c r="C478" s="224" t="s">
        <v>1081</v>
      </c>
      <c r="D478" s="224"/>
      <c r="E478" s="224"/>
      <c r="F478" s="224" t="s">
        <v>15490</v>
      </c>
    </row>
    <row r="479" spans="1:6" x14ac:dyDescent="0.3">
      <c r="A479" s="224"/>
      <c r="B479" s="224" t="s">
        <v>15747</v>
      </c>
      <c r="C479" s="224" t="s">
        <v>15444</v>
      </c>
      <c r="D479" s="224"/>
      <c r="E479" s="224"/>
      <c r="F479" s="224" t="s">
        <v>15491</v>
      </c>
    </row>
    <row r="480" spans="1:6" x14ac:dyDescent="0.3">
      <c r="A480" s="224"/>
      <c r="B480" s="224" t="s">
        <v>15747</v>
      </c>
      <c r="C480" s="224" t="s">
        <v>15446</v>
      </c>
      <c r="D480" s="224"/>
      <c r="E480" s="224"/>
      <c r="F480" s="224" t="s">
        <v>15492</v>
      </c>
    </row>
    <row r="481" spans="1:6" x14ac:dyDescent="0.3">
      <c r="A481" s="224"/>
      <c r="B481" s="224" t="s">
        <v>15747</v>
      </c>
      <c r="C481" s="224" t="s">
        <v>1152</v>
      </c>
      <c r="D481" s="224"/>
      <c r="E481" s="224"/>
      <c r="F481" s="224" t="s">
        <v>15493</v>
      </c>
    </row>
    <row r="482" spans="1:6" x14ac:dyDescent="0.3">
      <c r="A482" s="224"/>
      <c r="B482" s="224" t="s">
        <v>15750</v>
      </c>
      <c r="C482" s="224" t="s">
        <v>15437</v>
      </c>
      <c r="D482" s="224" t="s">
        <v>15751</v>
      </c>
      <c r="E482" s="224" t="s">
        <v>15752</v>
      </c>
      <c r="F482" s="224" t="s">
        <v>15497</v>
      </c>
    </row>
    <row r="483" spans="1:6" x14ac:dyDescent="0.3">
      <c r="A483" s="224"/>
      <c r="B483" s="224" t="s">
        <v>15750</v>
      </c>
      <c r="C483" s="224" t="s">
        <v>15441</v>
      </c>
      <c r="D483" s="224"/>
      <c r="E483" s="224"/>
      <c r="F483" s="224" t="s">
        <v>15498</v>
      </c>
    </row>
    <row r="484" spans="1:6" x14ac:dyDescent="0.3">
      <c r="A484" s="224"/>
      <c r="B484" s="224" t="s">
        <v>15750</v>
      </c>
      <c r="C484" s="224" t="s">
        <v>1081</v>
      </c>
      <c r="D484" s="224"/>
      <c r="E484" s="224"/>
      <c r="F484" s="224" t="s">
        <v>15499</v>
      </c>
    </row>
    <row r="485" spans="1:6" x14ac:dyDescent="0.3">
      <c r="A485" s="224"/>
      <c r="B485" s="224" t="s">
        <v>15750</v>
      </c>
      <c r="C485" s="224" t="s">
        <v>15444</v>
      </c>
      <c r="D485" s="224"/>
      <c r="E485" s="224"/>
      <c r="F485" s="224" t="s">
        <v>15500</v>
      </c>
    </row>
    <row r="486" spans="1:6" x14ac:dyDescent="0.3">
      <c r="A486" s="224"/>
      <c r="B486" s="224" t="s">
        <v>15750</v>
      </c>
      <c r="C486" s="224" t="s">
        <v>15446</v>
      </c>
      <c r="D486" s="224"/>
      <c r="E486" s="224"/>
      <c r="F486" s="224" t="s">
        <v>15501</v>
      </c>
    </row>
    <row r="487" spans="1:6" x14ac:dyDescent="0.3">
      <c r="A487" s="224"/>
      <c r="B487" s="224" t="s">
        <v>15750</v>
      </c>
      <c r="C487" s="224" t="s">
        <v>1152</v>
      </c>
      <c r="D487" s="224"/>
      <c r="E487" s="224"/>
      <c r="F487" s="224" t="s">
        <v>15502</v>
      </c>
    </row>
    <row r="488" spans="1:6" x14ac:dyDescent="0.3">
      <c r="A488" s="224"/>
      <c r="B488" s="224" t="s">
        <v>15753</v>
      </c>
      <c r="C488" s="224" t="s">
        <v>15437</v>
      </c>
      <c r="D488" s="224" t="s">
        <v>15754</v>
      </c>
      <c r="E488" s="224" t="s">
        <v>15755</v>
      </c>
      <c r="F488" s="224" t="s">
        <v>15506</v>
      </c>
    </row>
    <row r="489" spans="1:6" x14ac:dyDescent="0.3">
      <c r="A489" s="224"/>
      <c r="B489" s="224" t="s">
        <v>15753</v>
      </c>
      <c r="C489" s="224" t="s">
        <v>15441</v>
      </c>
      <c r="D489" s="224"/>
      <c r="E489" s="224"/>
      <c r="F489" s="224" t="s">
        <v>15507</v>
      </c>
    </row>
    <row r="490" spans="1:6" x14ac:dyDescent="0.3">
      <c r="A490" s="224"/>
      <c r="B490" s="224" t="s">
        <v>15753</v>
      </c>
      <c r="C490" s="224" t="s">
        <v>1081</v>
      </c>
      <c r="D490" s="224"/>
      <c r="E490" s="224"/>
      <c r="F490" s="224" t="s">
        <v>15508</v>
      </c>
    </row>
    <row r="491" spans="1:6" x14ac:dyDescent="0.3">
      <c r="A491" s="224"/>
      <c r="B491" s="224" t="s">
        <v>15753</v>
      </c>
      <c r="C491" s="224" t="s">
        <v>15444</v>
      </c>
      <c r="D491" s="224"/>
      <c r="E491" s="224"/>
      <c r="F491" s="224" t="s">
        <v>15509</v>
      </c>
    </row>
    <row r="492" spans="1:6" x14ac:dyDescent="0.3">
      <c r="A492" s="224"/>
      <c r="B492" s="224" t="s">
        <v>15753</v>
      </c>
      <c r="C492" s="224" t="s">
        <v>15446</v>
      </c>
      <c r="D492" s="224"/>
      <c r="E492" s="224"/>
      <c r="F492" s="224" t="s">
        <v>15510</v>
      </c>
    </row>
    <row r="493" spans="1:6" x14ac:dyDescent="0.3">
      <c r="A493" s="224"/>
      <c r="B493" s="224" t="s">
        <v>15753</v>
      </c>
      <c r="C493" s="224" t="s">
        <v>1152</v>
      </c>
      <c r="D493" s="224"/>
      <c r="E493" s="224"/>
      <c r="F493" s="224" t="s">
        <v>15511</v>
      </c>
    </row>
    <row r="494" spans="1:6" x14ac:dyDescent="0.3">
      <c r="A494" s="224"/>
      <c r="B494" s="224" t="s">
        <v>15756</v>
      </c>
      <c r="C494" s="224" t="s">
        <v>15437</v>
      </c>
      <c r="D494" s="224" t="s">
        <v>15757</v>
      </c>
      <c r="E494" s="224" t="s">
        <v>15758</v>
      </c>
      <c r="F494" s="224" t="s">
        <v>15515</v>
      </c>
    </row>
    <row r="495" spans="1:6" x14ac:dyDescent="0.3">
      <c r="A495" s="224"/>
      <c r="B495" s="224" t="s">
        <v>15756</v>
      </c>
      <c r="C495" s="224" t="s">
        <v>15441</v>
      </c>
      <c r="D495" s="224"/>
      <c r="E495" s="224"/>
      <c r="F495" s="224" t="s">
        <v>15516</v>
      </c>
    </row>
    <row r="496" spans="1:6" x14ac:dyDescent="0.3">
      <c r="A496" s="224"/>
      <c r="B496" s="224" t="s">
        <v>15756</v>
      </c>
      <c r="C496" s="224" t="s">
        <v>1081</v>
      </c>
      <c r="D496" s="224"/>
      <c r="E496" s="224"/>
      <c r="F496" s="224" t="s">
        <v>15517</v>
      </c>
    </row>
    <row r="497" spans="1:6" x14ac:dyDescent="0.3">
      <c r="A497" s="224"/>
      <c r="B497" s="224" t="s">
        <v>15756</v>
      </c>
      <c r="C497" s="224" t="s">
        <v>15444</v>
      </c>
      <c r="D497" s="224"/>
      <c r="E497" s="224"/>
      <c r="F497" s="224" t="s">
        <v>15518</v>
      </c>
    </row>
    <row r="498" spans="1:6" x14ac:dyDescent="0.3">
      <c r="A498" s="224"/>
      <c r="B498" s="224" t="s">
        <v>15756</v>
      </c>
      <c r="C498" s="224" t="s">
        <v>15446</v>
      </c>
      <c r="D498" s="224"/>
      <c r="E498" s="224"/>
      <c r="F498" s="224" t="s">
        <v>15519</v>
      </c>
    </row>
    <row r="499" spans="1:6" x14ac:dyDescent="0.3">
      <c r="A499" s="224"/>
      <c r="B499" s="224" t="s">
        <v>15756</v>
      </c>
      <c r="C499" s="224" t="s">
        <v>1152</v>
      </c>
      <c r="D499" s="224"/>
      <c r="E499" s="224"/>
      <c r="F499" s="224" t="s">
        <v>15520</v>
      </c>
    </row>
    <row r="500" spans="1:6" x14ac:dyDescent="0.3">
      <c r="A500" s="224"/>
      <c r="B500" s="224" t="s">
        <v>15759</v>
      </c>
      <c r="C500" s="224" t="s">
        <v>15437</v>
      </c>
      <c r="D500" s="224" t="s">
        <v>15760</v>
      </c>
      <c r="E500" s="224" t="s">
        <v>15761</v>
      </c>
      <c r="F500" s="224" t="s">
        <v>15524</v>
      </c>
    </row>
    <row r="501" spans="1:6" x14ac:dyDescent="0.3">
      <c r="A501" s="224"/>
      <c r="B501" s="224" t="s">
        <v>15759</v>
      </c>
      <c r="C501" s="224" t="s">
        <v>15441</v>
      </c>
      <c r="D501" s="224"/>
      <c r="E501" s="224"/>
      <c r="F501" s="224" t="s">
        <v>15525</v>
      </c>
    </row>
    <row r="502" spans="1:6" x14ac:dyDescent="0.3">
      <c r="A502" s="224"/>
      <c r="B502" s="224" t="s">
        <v>15759</v>
      </c>
      <c r="C502" s="224" t="s">
        <v>1081</v>
      </c>
      <c r="D502" s="224"/>
      <c r="E502" s="224"/>
      <c r="F502" s="224" t="s">
        <v>15526</v>
      </c>
    </row>
    <row r="503" spans="1:6" x14ac:dyDescent="0.3">
      <c r="A503" s="224"/>
      <c r="B503" s="224" t="s">
        <v>15759</v>
      </c>
      <c r="C503" s="224" t="s">
        <v>15444</v>
      </c>
      <c r="D503" s="224"/>
      <c r="E503" s="224"/>
      <c r="F503" s="224" t="s">
        <v>15527</v>
      </c>
    </row>
    <row r="504" spans="1:6" x14ac:dyDescent="0.3">
      <c r="A504" s="224"/>
      <c r="B504" s="224" t="s">
        <v>15759</v>
      </c>
      <c r="C504" s="224" t="s">
        <v>15446</v>
      </c>
      <c r="D504" s="224"/>
      <c r="E504" s="224"/>
      <c r="F504" s="224" t="s">
        <v>15528</v>
      </c>
    </row>
    <row r="505" spans="1:6" x14ac:dyDescent="0.3">
      <c r="A505" s="224"/>
      <c r="B505" s="224" t="s">
        <v>15759</v>
      </c>
      <c r="C505" s="224" t="s">
        <v>1152</v>
      </c>
      <c r="D505" s="224"/>
      <c r="E505" s="224"/>
      <c r="F505" s="224" t="s">
        <v>15529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7724-3165-4A55-9D40-752A6D8B45AF}">
  <sheetPr>
    <tabColor theme="6" tint="0.59999389629810485"/>
  </sheetPr>
  <dimension ref="A1:I105"/>
  <sheetViews>
    <sheetView workbookViewId="0">
      <pane ySplit="1" topLeftCell="A59" activePane="bottomLeft" state="frozen"/>
      <selection activeCell="H3" sqref="H3"/>
      <selection pane="bottomLeft" activeCell="J85" sqref="J85"/>
    </sheetView>
  </sheetViews>
  <sheetFormatPr defaultRowHeight="14.4" x14ac:dyDescent="0.3"/>
  <cols>
    <col min="1" max="1" width="8" bestFit="1" customWidth="1"/>
    <col min="2" max="2" width="16.33203125" bestFit="1" customWidth="1"/>
    <col min="3" max="3" width="30.77734375" bestFit="1" customWidth="1"/>
    <col min="4" max="4" width="20.21875" bestFit="1" customWidth="1"/>
    <col min="5" max="5" width="13.5546875" bestFit="1" customWidth="1"/>
    <col min="6" max="6" width="15.77734375" bestFit="1" customWidth="1"/>
    <col min="7" max="7" width="12.21875" bestFit="1" customWidth="1"/>
    <col min="8" max="8" width="6.5546875" bestFit="1" customWidth="1"/>
    <col min="9" max="9" width="10.33203125" bestFit="1" customWidth="1"/>
  </cols>
  <sheetData>
    <row r="1" spans="1:9" x14ac:dyDescent="0.3">
      <c r="A1" s="291" t="s">
        <v>15762</v>
      </c>
      <c r="B1" s="291" t="s">
        <v>15763</v>
      </c>
      <c r="C1" s="291" t="s">
        <v>15764</v>
      </c>
      <c r="D1" s="291" t="s">
        <v>14874</v>
      </c>
      <c r="E1" s="291" t="s">
        <v>15432</v>
      </c>
      <c r="F1" s="291" t="s">
        <v>15765</v>
      </c>
      <c r="G1" s="291" t="s">
        <v>15766</v>
      </c>
      <c r="H1" s="291" t="s">
        <v>1068</v>
      </c>
      <c r="I1" s="291" t="s">
        <v>15767</v>
      </c>
    </row>
    <row r="2" spans="1:9" x14ac:dyDescent="0.3">
      <c r="A2" s="224" t="s">
        <v>15768</v>
      </c>
      <c r="B2" s="224" t="s">
        <v>15769</v>
      </c>
      <c r="C2" s="224" t="s">
        <v>15770</v>
      </c>
      <c r="D2" s="224" t="s">
        <v>14867</v>
      </c>
      <c r="E2" s="224" t="s">
        <v>14991</v>
      </c>
      <c r="F2" s="224" t="s">
        <v>15771</v>
      </c>
      <c r="G2" s="224" t="s">
        <v>14871</v>
      </c>
      <c r="H2" s="224" t="s">
        <v>1075</v>
      </c>
      <c r="I2" s="361">
        <v>46198</v>
      </c>
    </row>
    <row r="3" spans="1:9" x14ac:dyDescent="0.3">
      <c r="A3" s="224" t="s">
        <v>15772</v>
      </c>
      <c r="B3" s="224" t="s">
        <v>15773</v>
      </c>
      <c r="C3" s="224" t="s">
        <v>15774</v>
      </c>
      <c r="D3" s="224" t="s">
        <v>14867</v>
      </c>
      <c r="E3" s="224" t="s">
        <v>14991</v>
      </c>
      <c r="F3" s="224" t="s">
        <v>15771</v>
      </c>
      <c r="G3" s="224" t="s">
        <v>14871</v>
      </c>
      <c r="H3" s="224" t="s">
        <v>1075</v>
      </c>
      <c r="I3" s="361">
        <v>46198</v>
      </c>
    </row>
    <row r="4" spans="1:9" x14ac:dyDescent="0.3">
      <c r="A4" s="224" t="s">
        <v>15775</v>
      </c>
      <c r="B4" s="224" t="s">
        <v>15776</v>
      </c>
      <c r="C4" s="224" t="s">
        <v>15777</v>
      </c>
      <c r="D4" s="224" t="s">
        <v>14867</v>
      </c>
      <c r="E4" s="224" t="s">
        <v>14991</v>
      </c>
      <c r="F4" s="224" t="s">
        <v>15771</v>
      </c>
      <c r="G4" s="224" t="s">
        <v>14871</v>
      </c>
      <c r="H4" s="224" t="s">
        <v>1075</v>
      </c>
      <c r="I4" s="361">
        <v>46197</v>
      </c>
    </row>
    <row r="5" spans="1:9" x14ac:dyDescent="0.3">
      <c r="A5" s="224" t="s">
        <v>15778</v>
      </c>
      <c r="B5" s="224" t="s">
        <v>15779</v>
      </c>
      <c r="C5" s="224" t="s">
        <v>15780</v>
      </c>
      <c r="D5" s="224" t="s">
        <v>14867</v>
      </c>
      <c r="E5" s="224" t="s">
        <v>14991</v>
      </c>
      <c r="F5" s="224" t="s">
        <v>15771</v>
      </c>
      <c r="G5" s="224" t="s">
        <v>14871</v>
      </c>
      <c r="H5" s="224" t="s">
        <v>1075</v>
      </c>
      <c r="I5" s="361">
        <v>46198</v>
      </c>
    </row>
    <row r="6" spans="1:9" x14ac:dyDescent="0.3">
      <c r="A6" s="224" t="s">
        <v>15781</v>
      </c>
      <c r="B6" s="224" t="s">
        <v>15782</v>
      </c>
      <c r="C6" s="224" t="s">
        <v>15783</v>
      </c>
      <c r="D6" s="224" t="s">
        <v>14867</v>
      </c>
      <c r="E6" s="224" t="s">
        <v>14991</v>
      </c>
      <c r="F6" s="224" t="s">
        <v>15771</v>
      </c>
      <c r="G6" s="224" t="s">
        <v>14871</v>
      </c>
      <c r="H6" s="224" t="s">
        <v>1075</v>
      </c>
      <c r="I6" s="361">
        <v>46197</v>
      </c>
    </row>
    <row r="7" spans="1:9" x14ac:dyDescent="0.3">
      <c r="A7" s="224" t="s">
        <v>15784</v>
      </c>
      <c r="B7" s="224" t="s">
        <v>15785</v>
      </c>
      <c r="C7" s="224" t="s">
        <v>15786</v>
      </c>
      <c r="D7" s="224" t="s">
        <v>14867</v>
      </c>
      <c r="E7" s="224" t="s">
        <v>14991</v>
      </c>
      <c r="F7" s="224" t="s">
        <v>15771</v>
      </c>
      <c r="G7" s="224" t="s">
        <v>14871</v>
      </c>
      <c r="H7" s="224" t="s">
        <v>1075</v>
      </c>
      <c r="I7" s="361">
        <v>46198</v>
      </c>
    </row>
    <row r="8" spans="1:9" x14ac:dyDescent="0.3">
      <c r="A8" s="224" t="s">
        <v>15787</v>
      </c>
      <c r="B8" s="224" t="s">
        <v>15788</v>
      </c>
      <c r="C8" s="224" t="s">
        <v>15789</v>
      </c>
      <c r="D8" s="224" t="s">
        <v>14867</v>
      </c>
      <c r="E8" s="224" t="s">
        <v>14991</v>
      </c>
      <c r="F8" s="224" t="s">
        <v>15771</v>
      </c>
      <c r="G8" s="224" t="s">
        <v>14871</v>
      </c>
      <c r="H8" s="224" t="s">
        <v>1075</v>
      </c>
      <c r="I8" s="361">
        <v>46196</v>
      </c>
    </row>
    <row r="9" spans="1:9" x14ac:dyDescent="0.3">
      <c r="A9" s="224" t="s">
        <v>15790</v>
      </c>
      <c r="B9" s="224" t="s">
        <v>15791</v>
      </c>
      <c r="C9" s="224" t="s">
        <v>15792</v>
      </c>
      <c r="D9" s="224" t="s">
        <v>14867</v>
      </c>
      <c r="E9" s="224" t="s">
        <v>14991</v>
      </c>
      <c r="F9" s="224" t="s">
        <v>15771</v>
      </c>
      <c r="G9" s="224" t="s">
        <v>14871</v>
      </c>
      <c r="H9" s="224" t="s">
        <v>1075</v>
      </c>
      <c r="I9" s="361">
        <v>46198</v>
      </c>
    </row>
    <row r="10" spans="1:9" x14ac:dyDescent="0.3">
      <c r="A10" s="224" t="s">
        <v>15793</v>
      </c>
      <c r="B10" s="224" t="s">
        <v>15794</v>
      </c>
      <c r="C10" s="224" t="s">
        <v>15795</v>
      </c>
      <c r="D10" s="224" t="s">
        <v>14867</v>
      </c>
      <c r="E10" s="224" t="s">
        <v>14991</v>
      </c>
      <c r="F10" s="224" t="s">
        <v>15771</v>
      </c>
      <c r="G10" s="224" t="s">
        <v>14871</v>
      </c>
      <c r="H10" s="224" t="s">
        <v>1075</v>
      </c>
      <c r="I10" s="361">
        <v>46197</v>
      </c>
    </row>
    <row r="11" spans="1:9" x14ac:dyDescent="0.3">
      <c r="A11" s="224" t="s">
        <v>15796</v>
      </c>
      <c r="B11" s="224" t="s">
        <v>15797</v>
      </c>
      <c r="C11" s="224" t="s">
        <v>15798</v>
      </c>
      <c r="D11" s="224" t="s">
        <v>14867</v>
      </c>
      <c r="E11" s="224" t="s">
        <v>14991</v>
      </c>
      <c r="F11" s="224" t="s">
        <v>15771</v>
      </c>
      <c r="G11" s="224" t="s">
        <v>14871</v>
      </c>
      <c r="H11" s="224" t="s">
        <v>1075</v>
      </c>
      <c r="I11" s="361">
        <v>46198</v>
      </c>
    </row>
    <row r="12" spans="1:9" x14ac:dyDescent="0.3">
      <c r="A12" s="224" t="s">
        <v>15799</v>
      </c>
      <c r="B12" s="224" t="s">
        <v>15800</v>
      </c>
      <c r="C12" s="224" t="s">
        <v>15801</v>
      </c>
      <c r="D12" s="224" t="s">
        <v>14867</v>
      </c>
      <c r="E12" s="224" t="s">
        <v>14991</v>
      </c>
      <c r="F12" s="224" t="s">
        <v>15771</v>
      </c>
      <c r="G12" s="224" t="s">
        <v>14871</v>
      </c>
      <c r="H12" s="224" t="s">
        <v>1075</v>
      </c>
      <c r="I12" s="361">
        <v>46195</v>
      </c>
    </row>
    <row r="13" spans="1:9" x14ac:dyDescent="0.3">
      <c r="A13" s="224" t="s">
        <v>15802</v>
      </c>
      <c r="B13" s="224" t="s">
        <v>15803</v>
      </c>
      <c r="C13" s="224" t="s">
        <v>15804</v>
      </c>
      <c r="D13" s="224" t="s">
        <v>14867</v>
      </c>
      <c r="E13" s="224" t="s">
        <v>14991</v>
      </c>
      <c r="F13" s="224" t="s">
        <v>15771</v>
      </c>
      <c r="G13" s="224" t="s">
        <v>14871</v>
      </c>
      <c r="H13" s="224" t="s">
        <v>1075</v>
      </c>
      <c r="I13" s="361">
        <v>46198</v>
      </c>
    </row>
    <row r="14" spans="1:9" x14ac:dyDescent="0.3">
      <c r="A14" s="224" t="s">
        <v>15805</v>
      </c>
      <c r="B14" s="224" t="s">
        <v>15806</v>
      </c>
      <c r="C14" s="224" t="s">
        <v>15807</v>
      </c>
      <c r="D14" s="224" t="s">
        <v>14644</v>
      </c>
      <c r="E14" s="224" t="s">
        <v>14914</v>
      </c>
      <c r="F14" s="224" t="s">
        <v>15808</v>
      </c>
      <c r="G14" s="224" t="s">
        <v>14618</v>
      </c>
      <c r="H14" s="224" t="s">
        <v>1075</v>
      </c>
      <c r="I14" s="361">
        <v>46198</v>
      </c>
    </row>
    <row r="15" spans="1:9" x14ac:dyDescent="0.3">
      <c r="A15" s="224" t="s">
        <v>15809</v>
      </c>
      <c r="B15" s="224" t="s">
        <v>15810</v>
      </c>
      <c r="C15" s="224" t="s">
        <v>15811</v>
      </c>
      <c r="D15" s="224" t="s">
        <v>14644</v>
      </c>
      <c r="E15" s="224" t="s">
        <v>14914</v>
      </c>
      <c r="F15" s="224" t="s">
        <v>15808</v>
      </c>
      <c r="G15" s="224" t="s">
        <v>14618</v>
      </c>
      <c r="H15" s="224" t="s">
        <v>1075</v>
      </c>
      <c r="I15" s="361">
        <v>46198</v>
      </c>
    </row>
    <row r="16" spans="1:9" x14ac:dyDescent="0.3">
      <c r="A16" s="224" t="s">
        <v>15812</v>
      </c>
      <c r="B16" s="224" t="s">
        <v>15813</v>
      </c>
      <c r="C16" s="224" t="s">
        <v>15814</v>
      </c>
      <c r="D16" s="224" t="s">
        <v>14644</v>
      </c>
      <c r="E16" s="224" t="s">
        <v>14914</v>
      </c>
      <c r="F16" s="224" t="s">
        <v>15808</v>
      </c>
      <c r="G16" s="224" t="s">
        <v>14618</v>
      </c>
      <c r="H16" s="224" t="s">
        <v>1075</v>
      </c>
      <c r="I16" s="361">
        <v>46197</v>
      </c>
    </row>
    <row r="17" spans="1:9" x14ac:dyDescent="0.3">
      <c r="A17" s="224" t="s">
        <v>15815</v>
      </c>
      <c r="B17" s="224" t="s">
        <v>15816</v>
      </c>
      <c r="C17" s="224" t="s">
        <v>15817</v>
      </c>
      <c r="D17" s="224" t="s">
        <v>14644</v>
      </c>
      <c r="E17" s="224" t="s">
        <v>14914</v>
      </c>
      <c r="F17" s="224" t="s">
        <v>15808</v>
      </c>
      <c r="G17" s="224" t="s">
        <v>14618</v>
      </c>
      <c r="H17" s="224" t="s">
        <v>1075</v>
      </c>
      <c r="I17" s="361">
        <v>46198</v>
      </c>
    </row>
    <row r="18" spans="1:9" x14ac:dyDescent="0.3">
      <c r="A18" s="224" t="s">
        <v>15818</v>
      </c>
      <c r="B18" s="224" t="s">
        <v>15819</v>
      </c>
      <c r="C18" s="224" t="s">
        <v>15820</v>
      </c>
      <c r="D18" s="224" t="s">
        <v>14644</v>
      </c>
      <c r="E18" s="224" t="s">
        <v>14914</v>
      </c>
      <c r="F18" s="224" t="s">
        <v>15808</v>
      </c>
      <c r="G18" s="224" t="s">
        <v>14618</v>
      </c>
      <c r="H18" s="224" t="s">
        <v>1075</v>
      </c>
      <c r="I18" s="361">
        <v>46196</v>
      </c>
    </row>
    <row r="19" spans="1:9" x14ac:dyDescent="0.3">
      <c r="A19" s="224" t="s">
        <v>15821</v>
      </c>
      <c r="B19" s="224" t="s">
        <v>15822</v>
      </c>
      <c r="C19" s="224" t="s">
        <v>15823</v>
      </c>
      <c r="D19" s="224" t="s">
        <v>14644</v>
      </c>
      <c r="E19" s="224" t="s">
        <v>14914</v>
      </c>
      <c r="F19" s="224" t="s">
        <v>15808</v>
      </c>
      <c r="G19" s="224" t="s">
        <v>14618</v>
      </c>
      <c r="H19" s="224" t="s">
        <v>1075</v>
      </c>
      <c r="I19" s="361">
        <v>46198</v>
      </c>
    </row>
    <row r="20" spans="1:9" x14ac:dyDescent="0.3">
      <c r="A20" s="224" t="s">
        <v>15824</v>
      </c>
      <c r="B20" s="224" t="s">
        <v>15825</v>
      </c>
      <c r="C20" s="224" t="s">
        <v>15826</v>
      </c>
      <c r="D20" s="224" t="s">
        <v>14644</v>
      </c>
      <c r="E20" s="224" t="s">
        <v>14914</v>
      </c>
      <c r="F20" s="224" t="s">
        <v>15808</v>
      </c>
      <c r="G20" s="224" t="s">
        <v>14618</v>
      </c>
      <c r="H20" s="224" t="s">
        <v>1075</v>
      </c>
      <c r="I20" s="361">
        <v>46197</v>
      </c>
    </row>
    <row r="21" spans="1:9" x14ac:dyDescent="0.3">
      <c r="A21" s="224" t="s">
        <v>15827</v>
      </c>
      <c r="B21" s="224" t="s">
        <v>15828</v>
      </c>
      <c r="C21" s="224" t="s">
        <v>15829</v>
      </c>
      <c r="D21" s="224" t="s">
        <v>14644</v>
      </c>
      <c r="E21" s="224" t="s">
        <v>14914</v>
      </c>
      <c r="F21" s="224" t="s">
        <v>15808</v>
      </c>
      <c r="G21" s="224" t="s">
        <v>14618</v>
      </c>
      <c r="H21" s="224" t="s">
        <v>1075</v>
      </c>
      <c r="I21" s="361">
        <v>46198</v>
      </c>
    </row>
    <row r="22" spans="1:9" x14ac:dyDescent="0.3">
      <c r="A22" s="224" t="s">
        <v>15830</v>
      </c>
      <c r="B22" s="224" t="s">
        <v>15831</v>
      </c>
      <c r="C22" s="224" t="s">
        <v>15832</v>
      </c>
      <c r="D22" s="224" t="s">
        <v>14644</v>
      </c>
      <c r="E22" s="224" t="s">
        <v>14914</v>
      </c>
      <c r="F22" s="224" t="s">
        <v>15808</v>
      </c>
      <c r="G22" s="224" t="s">
        <v>14618</v>
      </c>
      <c r="H22" s="224" t="s">
        <v>1075</v>
      </c>
      <c r="I22" s="361">
        <v>46198</v>
      </c>
    </row>
    <row r="23" spans="1:9" x14ac:dyDescent="0.3">
      <c r="A23" s="224" t="s">
        <v>15833</v>
      </c>
      <c r="B23" s="224" t="s">
        <v>15834</v>
      </c>
      <c r="C23" s="224" t="s">
        <v>15835</v>
      </c>
      <c r="D23" s="224" t="s">
        <v>14644</v>
      </c>
      <c r="E23" s="224" t="s">
        <v>14914</v>
      </c>
      <c r="F23" s="224" t="s">
        <v>15808</v>
      </c>
      <c r="G23" s="224" t="s">
        <v>14618</v>
      </c>
      <c r="H23" s="224" t="s">
        <v>1075</v>
      </c>
      <c r="I23" s="361">
        <v>46195</v>
      </c>
    </row>
    <row r="24" spans="1:9" x14ac:dyDescent="0.3">
      <c r="A24" s="224" t="s">
        <v>15836</v>
      </c>
      <c r="B24" s="224" t="s">
        <v>15837</v>
      </c>
      <c r="C24" s="224" t="s">
        <v>15838</v>
      </c>
      <c r="D24" s="224" t="s">
        <v>14644</v>
      </c>
      <c r="E24" s="224" t="s">
        <v>14914</v>
      </c>
      <c r="F24" s="224" t="s">
        <v>15808</v>
      </c>
      <c r="G24" s="224" t="s">
        <v>14618</v>
      </c>
      <c r="H24" s="224" t="s">
        <v>1075</v>
      </c>
      <c r="I24" s="361">
        <v>46198</v>
      </c>
    </row>
    <row r="25" spans="1:9" x14ac:dyDescent="0.3">
      <c r="A25" s="224" t="s">
        <v>15839</v>
      </c>
      <c r="B25" s="224" t="s">
        <v>15840</v>
      </c>
      <c r="C25" s="224" t="s">
        <v>15841</v>
      </c>
      <c r="D25" s="224" t="s">
        <v>14644</v>
      </c>
      <c r="E25" s="224" t="s">
        <v>14914</v>
      </c>
      <c r="F25" s="224" t="s">
        <v>15808</v>
      </c>
      <c r="G25" s="224" t="s">
        <v>14618</v>
      </c>
      <c r="H25" s="224" t="s">
        <v>1075</v>
      </c>
      <c r="I25" s="361">
        <v>46197</v>
      </c>
    </row>
    <row r="26" spans="1:9" x14ac:dyDescent="0.3">
      <c r="A26" s="224" t="s">
        <v>15842</v>
      </c>
      <c r="B26" s="224" t="s">
        <v>15531</v>
      </c>
      <c r="C26" s="224" t="s">
        <v>15843</v>
      </c>
      <c r="D26" s="224" t="s">
        <v>14863</v>
      </c>
      <c r="E26" s="224" t="s">
        <v>15844</v>
      </c>
      <c r="F26" s="224" t="s">
        <v>15845</v>
      </c>
      <c r="G26" s="224" t="s">
        <v>14618</v>
      </c>
      <c r="H26" s="224" t="s">
        <v>1075</v>
      </c>
      <c r="I26" s="361">
        <v>46198</v>
      </c>
    </row>
    <row r="27" spans="1:9" x14ac:dyDescent="0.3">
      <c r="A27" s="224" t="s">
        <v>15846</v>
      </c>
      <c r="B27" s="224" t="s">
        <v>15847</v>
      </c>
      <c r="C27" s="224" t="s">
        <v>15848</v>
      </c>
      <c r="D27" s="224" t="s">
        <v>14863</v>
      </c>
      <c r="E27" s="224" t="s">
        <v>15844</v>
      </c>
      <c r="F27" s="224" t="s">
        <v>15845</v>
      </c>
      <c r="G27" s="224" t="s">
        <v>14618</v>
      </c>
      <c r="H27" s="224" t="s">
        <v>1075</v>
      </c>
      <c r="I27" s="361">
        <v>46198</v>
      </c>
    </row>
    <row r="28" spans="1:9" x14ac:dyDescent="0.3">
      <c r="A28" s="224" t="s">
        <v>15849</v>
      </c>
      <c r="B28" s="224" t="s">
        <v>15850</v>
      </c>
      <c r="C28" s="224" t="s">
        <v>15851</v>
      </c>
      <c r="D28" s="224" t="s">
        <v>14863</v>
      </c>
      <c r="E28" s="224" t="s">
        <v>15844</v>
      </c>
      <c r="F28" s="224" t="s">
        <v>15845</v>
      </c>
      <c r="G28" s="224" t="s">
        <v>14618</v>
      </c>
      <c r="H28" s="224" t="s">
        <v>1075</v>
      </c>
      <c r="I28" s="361">
        <v>46197</v>
      </c>
    </row>
    <row r="29" spans="1:9" x14ac:dyDescent="0.3">
      <c r="A29" s="224" t="s">
        <v>15852</v>
      </c>
      <c r="B29" s="224" t="s">
        <v>15853</v>
      </c>
      <c r="C29" s="224" t="s">
        <v>15854</v>
      </c>
      <c r="D29" s="224" t="s">
        <v>14863</v>
      </c>
      <c r="E29" s="224" t="s">
        <v>15844</v>
      </c>
      <c r="F29" s="224" t="s">
        <v>15845</v>
      </c>
      <c r="G29" s="224" t="s">
        <v>14618</v>
      </c>
      <c r="H29" s="224" t="s">
        <v>1075</v>
      </c>
      <c r="I29" s="361">
        <v>46198</v>
      </c>
    </row>
    <row r="30" spans="1:9" x14ac:dyDescent="0.3">
      <c r="A30" s="224" t="s">
        <v>15855</v>
      </c>
      <c r="B30" s="224" t="s">
        <v>15856</v>
      </c>
      <c r="C30" s="224" t="s">
        <v>15857</v>
      </c>
      <c r="D30" s="224" t="s">
        <v>14863</v>
      </c>
      <c r="E30" s="224" t="s">
        <v>15844</v>
      </c>
      <c r="F30" s="224" t="s">
        <v>15845</v>
      </c>
      <c r="G30" s="224" t="s">
        <v>14618</v>
      </c>
      <c r="H30" s="224" t="s">
        <v>1075</v>
      </c>
      <c r="I30" s="361">
        <v>46196</v>
      </c>
    </row>
    <row r="31" spans="1:9" x14ac:dyDescent="0.3">
      <c r="A31" s="224" t="s">
        <v>15858</v>
      </c>
      <c r="B31" s="224" t="s">
        <v>15859</v>
      </c>
      <c r="C31" s="224" t="s">
        <v>15860</v>
      </c>
      <c r="D31" s="224" t="s">
        <v>14863</v>
      </c>
      <c r="E31" s="224" t="s">
        <v>15844</v>
      </c>
      <c r="F31" s="224" t="s">
        <v>15845</v>
      </c>
      <c r="G31" s="224" t="s">
        <v>14618</v>
      </c>
      <c r="H31" s="224" t="s">
        <v>1075</v>
      </c>
      <c r="I31" s="361">
        <v>46198</v>
      </c>
    </row>
    <row r="32" spans="1:9" x14ac:dyDescent="0.3">
      <c r="A32" s="224" t="s">
        <v>15861</v>
      </c>
      <c r="B32" s="224" t="s">
        <v>15862</v>
      </c>
      <c r="C32" s="224" t="s">
        <v>15863</v>
      </c>
      <c r="D32" s="224" t="s">
        <v>14863</v>
      </c>
      <c r="E32" s="224" t="s">
        <v>15844</v>
      </c>
      <c r="F32" s="224" t="s">
        <v>15845</v>
      </c>
      <c r="G32" s="224" t="s">
        <v>14618</v>
      </c>
      <c r="H32" s="224" t="s">
        <v>1075</v>
      </c>
      <c r="I32" s="361">
        <v>46197</v>
      </c>
    </row>
    <row r="33" spans="1:9" x14ac:dyDescent="0.3">
      <c r="A33" s="224" t="s">
        <v>15864</v>
      </c>
      <c r="B33" s="224" t="s">
        <v>15865</v>
      </c>
      <c r="C33" s="224" t="s">
        <v>15866</v>
      </c>
      <c r="D33" s="224" t="s">
        <v>14863</v>
      </c>
      <c r="E33" s="224" t="s">
        <v>15844</v>
      </c>
      <c r="F33" s="224" t="s">
        <v>15845</v>
      </c>
      <c r="G33" s="224" t="s">
        <v>14618</v>
      </c>
      <c r="H33" s="224" t="s">
        <v>1075</v>
      </c>
      <c r="I33" s="361">
        <v>46198</v>
      </c>
    </row>
    <row r="34" spans="1:9" x14ac:dyDescent="0.3">
      <c r="A34" s="224" t="s">
        <v>15867</v>
      </c>
      <c r="B34" s="224" t="s">
        <v>15868</v>
      </c>
      <c r="C34" s="224" t="s">
        <v>15869</v>
      </c>
      <c r="D34" s="224" t="s">
        <v>14863</v>
      </c>
      <c r="E34" s="224" t="s">
        <v>15844</v>
      </c>
      <c r="F34" s="224" t="s">
        <v>15845</v>
      </c>
      <c r="G34" s="224" t="s">
        <v>14618</v>
      </c>
      <c r="H34" s="224" t="s">
        <v>1075</v>
      </c>
      <c r="I34" s="361">
        <v>46198</v>
      </c>
    </row>
    <row r="35" spans="1:9" x14ac:dyDescent="0.3">
      <c r="A35" s="224" t="s">
        <v>15870</v>
      </c>
      <c r="B35" s="224" t="s">
        <v>15871</v>
      </c>
      <c r="C35" s="224" t="s">
        <v>15872</v>
      </c>
      <c r="D35" s="224" t="s">
        <v>14863</v>
      </c>
      <c r="E35" s="224" t="s">
        <v>15844</v>
      </c>
      <c r="F35" s="224" t="s">
        <v>15845</v>
      </c>
      <c r="G35" s="224" t="s">
        <v>14618</v>
      </c>
      <c r="H35" s="224" t="s">
        <v>1075</v>
      </c>
      <c r="I35" s="361">
        <v>46195</v>
      </c>
    </row>
    <row r="36" spans="1:9" x14ac:dyDescent="0.3">
      <c r="A36" s="224" t="s">
        <v>15873</v>
      </c>
      <c r="B36" s="224" t="s">
        <v>15874</v>
      </c>
      <c r="C36" s="224" t="s">
        <v>15875</v>
      </c>
      <c r="D36" s="224" t="s">
        <v>14863</v>
      </c>
      <c r="E36" s="224" t="s">
        <v>15844</v>
      </c>
      <c r="F36" s="224" t="s">
        <v>15845</v>
      </c>
      <c r="G36" s="224" t="s">
        <v>14618</v>
      </c>
      <c r="H36" s="224" t="s">
        <v>1075</v>
      </c>
      <c r="I36" s="361">
        <v>46198</v>
      </c>
    </row>
    <row r="37" spans="1:9" x14ac:dyDescent="0.3">
      <c r="A37" s="224" t="s">
        <v>15876</v>
      </c>
      <c r="B37" s="224" t="s">
        <v>15877</v>
      </c>
      <c r="C37" s="224" t="s">
        <v>15878</v>
      </c>
      <c r="D37" s="224" t="s">
        <v>14863</v>
      </c>
      <c r="E37" s="224" t="s">
        <v>15844</v>
      </c>
      <c r="F37" s="224" t="s">
        <v>15845</v>
      </c>
      <c r="G37" s="224" t="s">
        <v>14618</v>
      </c>
      <c r="H37" s="224" t="s">
        <v>1075</v>
      </c>
      <c r="I37" s="361">
        <v>46197</v>
      </c>
    </row>
    <row r="38" spans="1:9" x14ac:dyDescent="0.3">
      <c r="A38" s="224" t="s">
        <v>15879</v>
      </c>
      <c r="B38" s="224" t="s">
        <v>15880</v>
      </c>
      <c r="C38" s="224" t="s">
        <v>15881</v>
      </c>
      <c r="D38" s="224" t="s">
        <v>14628</v>
      </c>
      <c r="E38" s="224" t="s">
        <v>14991</v>
      </c>
      <c r="F38" s="224" t="s">
        <v>15882</v>
      </c>
      <c r="G38" s="224" t="s">
        <v>14871</v>
      </c>
      <c r="H38" s="224" t="s">
        <v>1075</v>
      </c>
      <c r="I38" s="361">
        <v>46198</v>
      </c>
    </row>
    <row r="39" spans="1:9" x14ac:dyDescent="0.3">
      <c r="A39" s="224" t="s">
        <v>15883</v>
      </c>
      <c r="B39" s="224" t="s">
        <v>15884</v>
      </c>
      <c r="C39" s="224" t="s">
        <v>15885</v>
      </c>
      <c r="D39" s="224" t="s">
        <v>14628</v>
      </c>
      <c r="E39" s="224" t="s">
        <v>14991</v>
      </c>
      <c r="F39" s="224" t="s">
        <v>15882</v>
      </c>
      <c r="G39" s="224" t="s">
        <v>14871</v>
      </c>
      <c r="H39" s="224" t="s">
        <v>1075</v>
      </c>
      <c r="I39" s="361">
        <v>46198</v>
      </c>
    </row>
    <row r="40" spans="1:9" x14ac:dyDescent="0.3">
      <c r="A40" s="224" t="s">
        <v>15886</v>
      </c>
      <c r="B40" s="224" t="s">
        <v>15887</v>
      </c>
      <c r="C40" s="224" t="s">
        <v>15888</v>
      </c>
      <c r="D40" s="224" t="s">
        <v>14628</v>
      </c>
      <c r="E40" s="224" t="s">
        <v>14991</v>
      </c>
      <c r="F40" s="224" t="s">
        <v>15882</v>
      </c>
      <c r="G40" s="224" t="s">
        <v>14871</v>
      </c>
      <c r="H40" s="224" t="s">
        <v>1075</v>
      </c>
      <c r="I40" s="361">
        <v>46197</v>
      </c>
    </row>
    <row r="41" spans="1:9" x14ac:dyDescent="0.3">
      <c r="A41" s="224" t="s">
        <v>15889</v>
      </c>
      <c r="B41" s="224" t="s">
        <v>15890</v>
      </c>
      <c r="C41" s="224" t="s">
        <v>15891</v>
      </c>
      <c r="D41" s="224" t="s">
        <v>14628</v>
      </c>
      <c r="E41" s="224" t="s">
        <v>14991</v>
      </c>
      <c r="F41" s="224" t="s">
        <v>15882</v>
      </c>
      <c r="G41" s="224" t="s">
        <v>14871</v>
      </c>
      <c r="H41" s="224" t="s">
        <v>1075</v>
      </c>
      <c r="I41" s="361">
        <v>46198</v>
      </c>
    </row>
    <row r="42" spans="1:9" x14ac:dyDescent="0.3">
      <c r="A42" s="224" t="s">
        <v>15892</v>
      </c>
      <c r="B42" s="224" t="s">
        <v>15893</v>
      </c>
      <c r="C42" s="224" t="s">
        <v>15894</v>
      </c>
      <c r="D42" s="224" t="s">
        <v>14628</v>
      </c>
      <c r="E42" s="224" t="s">
        <v>14991</v>
      </c>
      <c r="F42" s="224" t="s">
        <v>15882</v>
      </c>
      <c r="G42" s="224" t="s">
        <v>14871</v>
      </c>
      <c r="H42" s="224" t="s">
        <v>1075</v>
      </c>
      <c r="I42" s="361">
        <v>46196</v>
      </c>
    </row>
    <row r="43" spans="1:9" x14ac:dyDescent="0.3">
      <c r="A43" s="224" t="s">
        <v>15895</v>
      </c>
      <c r="B43" s="224" t="s">
        <v>15896</v>
      </c>
      <c r="C43" s="224" t="s">
        <v>15897</v>
      </c>
      <c r="D43" s="224" t="s">
        <v>14628</v>
      </c>
      <c r="E43" s="224" t="s">
        <v>14991</v>
      </c>
      <c r="F43" s="224" t="s">
        <v>15882</v>
      </c>
      <c r="G43" s="224" t="s">
        <v>14871</v>
      </c>
      <c r="H43" s="224" t="s">
        <v>1075</v>
      </c>
      <c r="I43" s="361">
        <v>46198</v>
      </c>
    </row>
    <row r="44" spans="1:9" x14ac:dyDescent="0.3">
      <c r="A44" s="224" t="s">
        <v>15898</v>
      </c>
      <c r="B44" s="224" t="s">
        <v>15899</v>
      </c>
      <c r="C44" s="224" t="s">
        <v>15900</v>
      </c>
      <c r="D44" s="224" t="s">
        <v>14628</v>
      </c>
      <c r="E44" s="224" t="s">
        <v>14991</v>
      </c>
      <c r="F44" s="224" t="s">
        <v>15882</v>
      </c>
      <c r="G44" s="224" t="s">
        <v>14871</v>
      </c>
      <c r="H44" s="224" t="s">
        <v>1075</v>
      </c>
      <c r="I44" s="361">
        <v>46197</v>
      </c>
    </row>
    <row r="45" spans="1:9" x14ac:dyDescent="0.3">
      <c r="A45" s="224" t="s">
        <v>15901</v>
      </c>
      <c r="B45" s="224" t="s">
        <v>15902</v>
      </c>
      <c r="C45" s="224" t="s">
        <v>15903</v>
      </c>
      <c r="D45" s="224" t="s">
        <v>14628</v>
      </c>
      <c r="E45" s="224" t="s">
        <v>14991</v>
      </c>
      <c r="F45" s="224" t="s">
        <v>15882</v>
      </c>
      <c r="G45" s="224" t="s">
        <v>14871</v>
      </c>
      <c r="H45" s="224" t="s">
        <v>1075</v>
      </c>
      <c r="I45" s="361">
        <v>46198</v>
      </c>
    </row>
    <row r="46" spans="1:9" x14ac:dyDescent="0.3">
      <c r="A46" s="224" t="s">
        <v>15904</v>
      </c>
      <c r="B46" s="224" t="s">
        <v>15905</v>
      </c>
      <c r="C46" s="224" t="s">
        <v>15906</v>
      </c>
      <c r="D46" s="224" t="s">
        <v>14628</v>
      </c>
      <c r="E46" s="224" t="s">
        <v>14991</v>
      </c>
      <c r="F46" s="224" t="s">
        <v>15882</v>
      </c>
      <c r="G46" s="224" t="s">
        <v>14871</v>
      </c>
      <c r="H46" s="224" t="s">
        <v>1075</v>
      </c>
      <c r="I46" s="361">
        <v>46198</v>
      </c>
    </row>
    <row r="47" spans="1:9" x14ac:dyDescent="0.3">
      <c r="A47" s="224" t="s">
        <v>15907</v>
      </c>
      <c r="B47" s="224" t="s">
        <v>15908</v>
      </c>
      <c r="C47" s="224" t="s">
        <v>15909</v>
      </c>
      <c r="D47" s="224" t="s">
        <v>14628</v>
      </c>
      <c r="E47" s="224" t="s">
        <v>14991</v>
      </c>
      <c r="F47" s="224" t="s">
        <v>15882</v>
      </c>
      <c r="G47" s="224" t="s">
        <v>14871</v>
      </c>
      <c r="H47" s="224" t="s">
        <v>1075</v>
      </c>
      <c r="I47" s="361">
        <v>46195</v>
      </c>
    </row>
    <row r="48" spans="1:9" x14ac:dyDescent="0.3">
      <c r="A48" s="224" t="s">
        <v>15910</v>
      </c>
      <c r="B48" s="224" t="s">
        <v>15911</v>
      </c>
      <c r="C48" s="224" t="s">
        <v>15912</v>
      </c>
      <c r="D48" s="224" t="s">
        <v>14628</v>
      </c>
      <c r="E48" s="224" t="s">
        <v>14991</v>
      </c>
      <c r="F48" s="224" t="s">
        <v>15882</v>
      </c>
      <c r="G48" s="224" t="s">
        <v>14871</v>
      </c>
      <c r="H48" s="224" t="s">
        <v>1075</v>
      </c>
      <c r="I48" s="361">
        <v>46198</v>
      </c>
    </row>
    <row r="49" spans="1:9" x14ac:dyDescent="0.3">
      <c r="A49" s="224" t="s">
        <v>15913</v>
      </c>
      <c r="B49" s="224" t="s">
        <v>15914</v>
      </c>
      <c r="C49" s="224" t="s">
        <v>15915</v>
      </c>
      <c r="D49" s="224" t="s">
        <v>14628</v>
      </c>
      <c r="E49" s="224" t="s">
        <v>14991</v>
      </c>
      <c r="F49" s="224" t="s">
        <v>15882</v>
      </c>
      <c r="G49" s="224" t="s">
        <v>14871</v>
      </c>
      <c r="H49" s="224" t="s">
        <v>1075</v>
      </c>
      <c r="I49" s="361">
        <v>46197</v>
      </c>
    </row>
    <row r="50" spans="1:9" x14ac:dyDescent="0.3">
      <c r="A50" s="224" t="s">
        <v>15916</v>
      </c>
      <c r="B50" s="224" t="s">
        <v>15917</v>
      </c>
      <c r="C50" s="224" t="s">
        <v>15918</v>
      </c>
      <c r="D50" s="224" t="s">
        <v>15919</v>
      </c>
      <c r="E50" s="224" t="s">
        <v>15920</v>
      </c>
      <c r="F50" s="224" t="s">
        <v>15921</v>
      </c>
      <c r="G50" s="224" t="s">
        <v>14871</v>
      </c>
      <c r="H50" s="224" t="s">
        <v>1075</v>
      </c>
      <c r="I50" s="361">
        <v>46198</v>
      </c>
    </row>
    <row r="51" spans="1:9" x14ac:dyDescent="0.3">
      <c r="A51" s="224" t="s">
        <v>15922</v>
      </c>
      <c r="B51" s="224" t="s">
        <v>15923</v>
      </c>
      <c r="C51" s="224" t="s">
        <v>15924</v>
      </c>
      <c r="D51" s="224" t="s">
        <v>15919</v>
      </c>
      <c r="E51" s="224" t="s">
        <v>15920</v>
      </c>
      <c r="F51" s="224" t="s">
        <v>15921</v>
      </c>
      <c r="G51" s="224" t="s">
        <v>14871</v>
      </c>
      <c r="H51" s="224" t="s">
        <v>1075</v>
      </c>
      <c r="I51" s="361">
        <v>46198</v>
      </c>
    </row>
    <row r="52" spans="1:9" x14ac:dyDescent="0.3">
      <c r="A52" s="224" t="s">
        <v>15925</v>
      </c>
      <c r="B52" s="224" t="s">
        <v>15926</v>
      </c>
      <c r="C52" s="224" t="s">
        <v>15927</v>
      </c>
      <c r="D52" s="224" t="s">
        <v>15919</v>
      </c>
      <c r="E52" s="224" t="s">
        <v>15920</v>
      </c>
      <c r="F52" s="224" t="s">
        <v>15921</v>
      </c>
      <c r="G52" s="224" t="s">
        <v>14871</v>
      </c>
      <c r="H52" s="224" t="s">
        <v>1075</v>
      </c>
      <c r="I52" s="361">
        <v>46197</v>
      </c>
    </row>
    <row r="53" spans="1:9" x14ac:dyDescent="0.3">
      <c r="A53" s="224" t="s">
        <v>15928</v>
      </c>
      <c r="B53" s="224" t="s">
        <v>15929</v>
      </c>
      <c r="C53" s="224" t="s">
        <v>15930</v>
      </c>
      <c r="D53" s="224" t="s">
        <v>15919</v>
      </c>
      <c r="E53" s="224" t="s">
        <v>15920</v>
      </c>
      <c r="F53" s="224" t="s">
        <v>15921</v>
      </c>
      <c r="G53" s="224" t="s">
        <v>14871</v>
      </c>
      <c r="H53" s="224" t="s">
        <v>1075</v>
      </c>
      <c r="I53" s="361">
        <v>46198</v>
      </c>
    </row>
    <row r="54" spans="1:9" x14ac:dyDescent="0.3">
      <c r="A54" s="224" t="s">
        <v>15931</v>
      </c>
      <c r="B54" s="224" t="s">
        <v>15932</v>
      </c>
      <c r="C54" s="224" t="s">
        <v>15933</v>
      </c>
      <c r="D54" s="224" t="s">
        <v>15919</v>
      </c>
      <c r="E54" s="224" t="s">
        <v>15920</v>
      </c>
      <c r="F54" s="224" t="s">
        <v>15921</v>
      </c>
      <c r="G54" s="224" t="s">
        <v>14871</v>
      </c>
      <c r="H54" s="224" t="s">
        <v>1075</v>
      </c>
      <c r="I54" s="361">
        <v>46196</v>
      </c>
    </row>
    <row r="55" spans="1:9" x14ac:dyDescent="0.3">
      <c r="A55" s="224" t="s">
        <v>15934</v>
      </c>
      <c r="B55" s="224" t="s">
        <v>15935</v>
      </c>
      <c r="C55" s="224" t="s">
        <v>15936</v>
      </c>
      <c r="D55" s="224" t="s">
        <v>15919</v>
      </c>
      <c r="E55" s="224" t="s">
        <v>15920</v>
      </c>
      <c r="F55" s="224" t="s">
        <v>15921</v>
      </c>
      <c r="G55" s="224" t="s">
        <v>14871</v>
      </c>
      <c r="H55" s="224" t="s">
        <v>1075</v>
      </c>
      <c r="I55" s="361">
        <v>46198</v>
      </c>
    </row>
    <row r="56" spans="1:9" x14ac:dyDescent="0.3">
      <c r="A56" s="224" t="s">
        <v>15937</v>
      </c>
      <c r="B56" s="224" t="s">
        <v>15938</v>
      </c>
      <c r="C56" s="224" t="s">
        <v>15939</v>
      </c>
      <c r="D56" s="224" t="s">
        <v>15919</v>
      </c>
      <c r="E56" s="224" t="s">
        <v>15920</v>
      </c>
      <c r="F56" s="224" t="s">
        <v>15921</v>
      </c>
      <c r="G56" s="224" t="s">
        <v>14871</v>
      </c>
      <c r="H56" s="224" t="s">
        <v>1075</v>
      </c>
      <c r="I56" s="361">
        <v>46197</v>
      </c>
    </row>
    <row r="57" spans="1:9" x14ac:dyDescent="0.3">
      <c r="A57" s="224" t="s">
        <v>15940</v>
      </c>
      <c r="B57" s="224" t="s">
        <v>15941</v>
      </c>
      <c r="C57" s="224" t="s">
        <v>15942</v>
      </c>
      <c r="D57" s="224" t="s">
        <v>15919</v>
      </c>
      <c r="E57" s="224" t="s">
        <v>15920</v>
      </c>
      <c r="F57" s="224" t="s">
        <v>15921</v>
      </c>
      <c r="G57" s="224" t="s">
        <v>14871</v>
      </c>
      <c r="H57" s="224" t="s">
        <v>1075</v>
      </c>
      <c r="I57" s="361">
        <v>46198</v>
      </c>
    </row>
    <row r="58" spans="1:9" x14ac:dyDescent="0.3">
      <c r="A58" s="224" t="s">
        <v>15943</v>
      </c>
      <c r="B58" s="224" t="s">
        <v>15944</v>
      </c>
      <c r="C58" s="224" t="s">
        <v>15945</v>
      </c>
      <c r="D58" s="224" t="s">
        <v>15919</v>
      </c>
      <c r="E58" s="224" t="s">
        <v>15920</v>
      </c>
      <c r="F58" s="224" t="s">
        <v>15921</v>
      </c>
      <c r="G58" s="224" t="s">
        <v>14871</v>
      </c>
      <c r="H58" s="224" t="s">
        <v>1075</v>
      </c>
      <c r="I58" s="361">
        <v>46198</v>
      </c>
    </row>
    <row r="59" spans="1:9" x14ac:dyDescent="0.3">
      <c r="A59" s="224" t="s">
        <v>15946</v>
      </c>
      <c r="B59" s="224" t="s">
        <v>15947</v>
      </c>
      <c r="C59" s="224" t="s">
        <v>15948</v>
      </c>
      <c r="D59" s="224" t="s">
        <v>15919</v>
      </c>
      <c r="E59" s="224" t="s">
        <v>15920</v>
      </c>
      <c r="F59" s="224" t="s">
        <v>15921</v>
      </c>
      <c r="G59" s="224" t="s">
        <v>14871</v>
      </c>
      <c r="H59" s="224" t="s">
        <v>1075</v>
      </c>
      <c r="I59" s="361">
        <v>46195</v>
      </c>
    </row>
    <row r="60" spans="1:9" x14ac:dyDescent="0.3">
      <c r="A60" s="224" t="s">
        <v>15949</v>
      </c>
      <c r="B60" s="224" t="s">
        <v>15950</v>
      </c>
      <c r="C60" s="224" t="s">
        <v>15951</v>
      </c>
      <c r="D60" s="224" t="s">
        <v>15919</v>
      </c>
      <c r="E60" s="224" t="s">
        <v>15920</v>
      </c>
      <c r="F60" s="224" t="s">
        <v>15921</v>
      </c>
      <c r="G60" s="224" t="s">
        <v>14871</v>
      </c>
      <c r="H60" s="224" t="s">
        <v>1075</v>
      </c>
      <c r="I60" s="361">
        <v>46198</v>
      </c>
    </row>
    <row r="61" spans="1:9" x14ac:dyDescent="0.3">
      <c r="A61" s="224" t="s">
        <v>15952</v>
      </c>
      <c r="B61" s="224" t="s">
        <v>15953</v>
      </c>
      <c r="C61" s="224" t="s">
        <v>15954</v>
      </c>
      <c r="D61" s="224" t="s">
        <v>15919</v>
      </c>
      <c r="E61" s="224" t="s">
        <v>15920</v>
      </c>
      <c r="F61" s="224" t="s">
        <v>15921</v>
      </c>
      <c r="G61" s="224" t="s">
        <v>14871</v>
      </c>
      <c r="H61" s="224" t="s">
        <v>1075</v>
      </c>
      <c r="I61" s="361">
        <v>46197</v>
      </c>
    </row>
    <row r="62" spans="1:9" x14ac:dyDescent="0.3">
      <c r="A62" s="224" t="s">
        <v>15955</v>
      </c>
      <c r="B62" s="224" t="s">
        <v>15956</v>
      </c>
      <c r="C62" s="224" t="s">
        <v>15957</v>
      </c>
      <c r="D62" s="224" t="s">
        <v>15958</v>
      </c>
      <c r="E62" s="224" t="s">
        <v>14858</v>
      </c>
      <c r="F62" s="224" t="s">
        <v>15959</v>
      </c>
      <c r="G62" s="224" t="s">
        <v>14871</v>
      </c>
      <c r="H62" s="224" t="s">
        <v>1075</v>
      </c>
      <c r="I62" s="361">
        <v>46198</v>
      </c>
    </row>
    <row r="63" spans="1:9" x14ac:dyDescent="0.3">
      <c r="A63" s="224" t="s">
        <v>15960</v>
      </c>
      <c r="B63" s="224" t="s">
        <v>15961</v>
      </c>
      <c r="C63" s="224" t="s">
        <v>15962</v>
      </c>
      <c r="D63" s="224" t="s">
        <v>15958</v>
      </c>
      <c r="E63" s="224" t="s">
        <v>14858</v>
      </c>
      <c r="F63" s="224" t="s">
        <v>15959</v>
      </c>
      <c r="G63" s="224" t="s">
        <v>14871</v>
      </c>
      <c r="H63" s="224" t="s">
        <v>1075</v>
      </c>
      <c r="I63" s="361">
        <v>46198</v>
      </c>
    </row>
    <row r="64" spans="1:9" x14ac:dyDescent="0.3">
      <c r="A64" s="224" t="s">
        <v>15963</v>
      </c>
      <c r="B64" s="224" t="s">
        <v>15964</v>
      </c>
      <c r="C64" s="224" t="s">
        <v>15965</v>
      </c>
      <c r="D64" s="224" t="s">
        <v>15958</v>
      </c>
      <c r="E64" s="224" t="s">
        <v>14858</v>
      </c>
      <c r="F64" s="224" t="s">
        <v>15959</v>
      </c>
      <c r="G64" s="224" t="s">
        <v>14871</v>
      </c>
      <c r="H64" s="224" t="s">
        <v>1075</v>
      </c>
      <c r="I64" s="361">
        <v>46197</v>
      </c>
    </row>
    <row r="65" spans="1:9" x14ac:dyDescent="0.3">
      <c r="A65" s="224" t="s">
        <v>15966</v>
      </c>
      <c r="B65" s="224" t="s">
        <v>15967</v>
      </c>
      <c r="C65" s="224" t="s">
        <v>15968</v>
      </c>
      <c r="D65" s="224" t="s">
        <v>15958</v>
      </c>
      <c r="E65" s="224" t="s">
        <v>14858</v>
      </c>
      <c r="F65" s="224" t="s">
        <v>15959</v>
      </c>
      <c r="G65" s="224" t="s">
        <v>14871</v>
      </c>
      <c r="H65" s="224" t="s">
        <v>1075</v>
      </c>
      <c r="I65" s="361">
        <v>46198</v>
      </c>
    </row>
    <row r="66" spans="1:9" x14ac:dyDescent="0.3">
      <c r="A66" s="224" t="s">
        <v>15969</v>
      </c>
      <c r="B66" s="224" t="s">
        <v>15970</v>
      </c>
      <c r="C66" s="224" t="s">
        <v>15971</v>
      </c>
      <c r="D66" s="224" t="s">
        <v>15958</v>
      </c>
      <c r="E66" s="224" t="s">
        <v>14858</v>
      </c>
      <c r="F66" s="224" t="s">
        <v>15959</v>
      </c>
      <c r="G66" s="224" t="s">
        <v>14871</v>
      </c>
      <c r="H66" s="224" t="s">
        <v>1075</v>
      </c>
      <c r="I66" s="361">
        <v>46196</v>
      </c>
    </row>
    <row r="67" spans="1:9" x14ac:dyDescent="0.3">
      <c r="A67" s="224" t="s">
        <v>15972</v>
      </c>
      <c r="B67" s="224" t="s">
        <v>15973</v>
      </c>
      <c r="C67" s="224" t="s">
        <v>15974</v>
      </c>
      <c r="D67" s="224" t="s">
        <v>15958</v>
      </c>
      <c r="E67" s="224" t="s">
        <v>14858</v>
      </c>
      <c r="F67" s="224" t="s">
        <v>15959</v>
      </c>
      <c r="G67" s="224" t="s">
        <v>14871</v>
      </c>
      <c r="H67" s="224" t="s">
        <v>1075</v>
      </c>
      <c r="I67" s="361">
        <v>46198</v>
      </c>
    </row>
    <row r="68" spans="1:9" x14ac:dyDescent="0.3">
      <c r="A68" s="224" t="s">
        <v>15975</v>
      </c>
      <c r="B68" s="224" t="s">
        <v>15976</v>
      </c>
      <c r="C68" s="224" t="s">
        <v>15977</v>
      </c>
      <c r="D68" s="224" t="s">
        <v>15958</v>
      </c>
      <c r="E68" s="224" t="s">
        <v>14858</v>
      </c>
      <c r="F68" s="224" t="s">
        <v>15959</v>
      </c>
      <c r="G68" s="224" t="s">
        <v>14871</v>
      </c>
      <c r="H68" s="224" t="s">
        <v>1075</v>
      </c>
      <c r="I68" s="361">
        <v>46197</v>
      </c>
    </row>
    <row r="69" spans="1:9" x14ac:dyDescent="0.3">
      <c r="A69" s="224" t="s">
        <v>15978</v>
      </c>
      <c r="B69" s="224" t="s">
        <v>15979</v>
      </c>
      <c r="C69" s="224" t="s">
        <v>15980</v>
      </c>
      <c r="D69" s="224" t="s">
        <v>15958</v>
      </c>
      <c r="E69" s="224" t="s">
        <v>14858</v>
      </c>
      <c r="F69" s="224" t="s">
        <v>15959</v>
      </c>
      <c r="G69" s="224" t="s">
        <v>14871</v>
      </c>
      <c r="H69" s="224" t="s">
        <v>1075</v>
      </c>
      <c r="I69" s="361">
        <v>46198</v>
      </c>
    </row>
    <row r="70" spans="1:9" x14ac:dyDescent="0.3">
      <c r="A70" s="224" t="s">
        <v>15981</v>
      </c>
      <c r="B70" s="224" t="s">
        <v>15982</v>
      </c>
      <c r="C70" s="224" t="s">
        <v>15983</v>
      </c>
      <c r="D70" s="224" t="s">
        <v>15958</v>
      </c>
      <c r="E70" s="224" t="s">
        <v>14858</v>
      </c>
      <c r="F70" s="224" t="s">
        <v>15959</v>
      </c>
      <c r="G70" s="224" t="s">
        <v>14871</v>
      </c>
      <c r="H70" s="224" t="s">
        <v>1075</v>
      </c>
      <c r="I70" s="361">
        <v>46198</v>
      </c>
    </row>
    <row r="71" spans="1:9" x14ac:dyDescent="0.3">
      <c r="A71" s="224" t="s">
        <v>15984</v>
      </c>
      <c r="B71" s="224" t="s">
        <v>15985</v>
      </c>
      <c r="C71" s="224" t="s">
        <v>15986</v>
      </c>
      <c r="D71" s="224" t="s">
        <v>15958</v>
      </c>
      <c r="E71" s="224" t="s">
        <v>14858</v>
      </c>
      <c r="F71" s="224" t="s">
        <v>15959</v>
      </c>
      <c r="G71" s="224" t="s">
        <v>14871</v>
      </c>
      <c r="H71" s="224" t="s">
        <v>1075</v>
      </c>
      <c r="I71" s="361">
        <v>46195</v>
      </c>
    </row>
    <row r="72" spans="1:9" x14ac:dyDescent="0.3">
      <c r="A72" s="224" t="s">
        <v>15987</v>
      </c>
      <c r="B72" s="224" t="s">
        <v>15988</v>
      </c>
      <c r="C72" s="224" t="s">
        <v>15989</v>
      </c>
      <c r="D72" s="224" t="s">
        <v>15958</v>
      </c>
      <c r="E72" s="224" t="s">
        <v>14858</v>
      </c>
      <c r="F72" s="224" t="s">
        <v>15959</v>
      </c>
      <c r="G72" s="224" t="s">
        <v>14871</v>
      </c>
      <c r="H72" s="224" t="s">
        <v>1075</v>
      </c>
      <c r="I72" s="361">
        <v>46198</v>
      </c>
    </row>
    <row r="73" spans="1:9" x14ac:dyDescent="0.3">
      <c r="A73" s="224" t="s">
        <v>15990</v>
      </c>
      <c r="B73" s="224" t="s">
        <v>15991</v>
      </c>
      <c r="C73" s="224" t="s">
        <v>15992</v>
      </c>
      <c r="D73" s="224" t="s">
        <v>15958</v>
      </c>
      <c r="E73" s="224" t="s">
        <v>14858</v>
      </c>
      <c r="F73" s="224" t="s">
        <v>15959</v>
      </c>
      <c r="G73" s="224" t="s">
        <v>14871</v>
      </c>
      <c r="H73" s="224" t="s">
        <v>1075</v>
      </c>
      <c r="I73" s="361">
        <v>46197</v>
      </c>
    </row>
    <row r="74" spans="1:9" x14ac:dyDescent="0.3">
      <c r="A74" s="224" t="s">
        <v>15993</v>
      </c>
      <c r="B74" s="224" t="s">
        <v>15438</v>
      </c>
      <c r="C74" s="224" t="s">
        <v>15994</v>
      </c>
      <c r="D74" s="224" t="s">
        <v>15434</v>
      </c>
      <c r="E74" s="224" t="s">
        <v>1158</v>
      </c>
      <c r="F74" s="224" t="s">
        <v>15995</v>
      </c>
      <c r="G74" s="224" t="s">
        <v>14618</v>
      </c>
      <c r="H74" s="224" t="s">
        <v>1075</v>
      </c>
      <c r="I74" s="361">
        <v>46198</v>
      </c>
    </row>
    <row r="75" spans="1:9" x14ac:dyDescent="0.3">
      <c r="A75" s="224" t="s">
        <v>15996</v>
      </c>
      <c r="B75" s="224" t="s">
        <v>15450</v>
      </c>
      <c r="C75" s="224" t="s">
        <v>15997</v>
      </c>
      <c r="D75" s="224" t="s">
        <v>15434</v>
      </c>
      <c r="E75" s="224" t="s">
        <v>1158</v>
      </c>
      <c r="F75" s="224" t="s">
        <v>15995</v>
      </c>
      <c r="G75" s="224" t="s">
        <v>14618</v>
      </c>
      <c r="H75" s="224" t="s">
        <v>1075</v>
      </c>
      <c r="I75" s="361">
        <v>46197</v>
      </c>
    </row>
    <row r="76" spans="1:9" x14ac:dyDescent="0.3">
      <c r="A76" s="224" t="s">
        <v>15998</v>
      </c>
      <c r="B76" s="224" t="s">
        <v>15555</v>
      </c>
      <c r="C76" s="224" t="s">
        <v>15999</v>
      </c>
      <c r="D76" s="224" t="s">
        <v>15434</v>
      </c>
      <c r="E76" s="224" t="s">
        <v>14994</v>
      </c>
      <c r="F76" s="224" t="s">
        <v>16000</v>
      </c>
      <c r="G76" s="224" t="s">
        <v>14618</v>
      </c>
      <c r="H76" s="224" t="s">
        <v>1075</v>
      </c>
      <c r="I76" s="361">
        <v>46198</v>
      </c>
    </row>
    <row r="77" spans="1:9" x14ac:dyDescent="0.3">
      <c r="A77" s="224" t="s">
        <v>16001</v>
      </c>
      <c r="B77" s="224" t="s">
        <v>15585</v>
      </c>
      <c r="C77" s="224" t="s">
        <v>16002</v>
      </c>
      <c r="D77" s="224" t="s">
        <v>15434</v>
      </c>
      <c r="E77" s="224" t="s">
        <v>14993</v>
      </c>
      <c r="F77" s="224" t="s">
        <v>16003</v>
      </c>
      <c r="G77" s="224" t="s">
        <v>14618</v>
      </c>
      <c r="H77" s="224" t="s">
        <v>1075</v>
      </c>
      <c r="I77" s="361">
        <v>46196</v>
      </c>
    </row>
    <row r="78" spans="1:9" x14ac:dyDescent="0.3">
      <c r="A78" s="224" t="s">
        <v>16004</v>
      </c>
      <c r="B78" s="224" t="s">
        <v>15615</v>
      </c>
      <c r="C78" s="224" t="s">
        <v>16005</v>
      </c>
      <c r="D78" s="224" t="s">
        <v>15434</v>
      </c>
      <c r="E78" s="224" t="s">
        <v>14992</v>
      </c>
      <c r="F78" s="224" t="s">
        <v>16006</v>
      </c>
      <c r="G78" s="224" t="s">
        <v>14618</v>
      </c>
      <c r="H78" s="224" t="s">
        <v>1075</v>
      </c>
      <c r="I78" s="361">
        <v>46198</v>
      </c>
    </row>
    <row r="79" spans="1:9" x14ac:dyDescent="0.3">
      <c r="A79" s="224" t="s">
        <v>16007</v>
      </c>
      <c r="B79" s="224" t="s">
        <v>15644</v>
      </c>
      <c r="C79" s="224" t="s">
        <v>16008</v>
      </c>
      <c r="D79" s="224" t="s">
        <v>15434</v>
      </c>
      <c r="E79" s="224" t="s">
        <v>14991</v>
      </c>
      <c r="F79" s="224" t="s">
        <v>15882</v>
      </c>
      <c r="G79" s="224" t="s">
        <v>14618</v>
      </c>
      <c r="H79" s="224" t="s">
        <v>1075</v>
      </c>
      <c r="I79" s="361">
        <v>46197</v>
      </c>
    </row>
    <row r="80" spans="1:9" x14ac:dyDescent="0.3">
      <c r="A80" s="224" t="s">
        <v>16009</v>
      </c>
      <c r="B80" s="224" t="s">
        <v>15674</v>
      </c>
      <c r="C80" s="224" t="s">
        <v>16010</v>
      </c>
      <c r="D80" s="224" t="s">
        <v>15434</v>
      </c>
      <c r="E80" s="224" t="s">
        <v>1159</v>
      </c>
      <c r="F80" s="224" t="s">
        <v>16011</v>
      </c>
      <c r="G80" s="224" t="s">
        <v>14618</v>
      </c>
      <c r="H80" s="224" t="s">
        <v>1075</v>
      </c>
      <c r="I80" s="361">
        <v>46198</v>
      </c>
    </row>
    <row r="81" spans="1:9" x14ac:dyDescent="0.3">
      <c r="A81" s="224" t="s">
        <v>16012</v>
      </c>
      <c r="B81" s="224" t="s">
        <v>15703</v>
      </c>
      <c r="C81" s="224" t="s">
        <v>16013</v>
      </c>
      <c r="D81" s="224" t="s">
        <v>15434</v>
      </c>
      <c r="E81" s="224" t="s">
        <v>14990</v>
      </c>
      <c r="F81" s="224" t="s">
        <v>16014</v>
      </c>
      <c r="G81" s="224" t="s">
        <v>14618</v>
      </c>
      <c r="H81" s="224" t="s">
        <v>1075</v>
      </c>
      <c r="I81" s="361">
        <v>46198</v>
      </c>
    </row>
    <row r="82" spans="1:9" x14ac:dyDescent="0.3">
      <c r="A82" s="224" t="s">
        <v>16015</v>
      </c>
      <c r="B82" s="224" t="s">
        <v>15733</v>
      </c>
      <c r="C82" s="224" t="s">
        <v>16016</v>
      </c>
      <c r="D82" s="224" t="s">
        <v>15434</v>
      </c>
      <c r="E82" s="224" t="s">
        <v>152</v>
      </c>
      <c r="F82" s="224" t="s">
        <v>16017</v>
      </c>
      <c r="G82" s="224" t="s">
        <v>14618</v>
      </c>
      <c r="H82" s="224" t="s">
        <v>1075</v>
      </c>
      <c r="I82" s="361">
        <v>46195</v>
      </c>
    </row>
    <row r="83" spans="1:9" x14ac:dyDescent="0.3">
      <c r="A83" s="224" t="s">
        <v>16018</v>
      </c>
      <c r="B83" s="224" t="s">
        <v>15439</v>
      </c>
      <c r="C83" s="224" t="s">
        <v>16019</v>
      </c>
      <c r="D83" s="224" t="s">
        <v>14648</v>
      </c>
      <c r="E83" s="224" t="s">
        <v>1158</v>
      </c>
      <c r="F83" s="224" t="s">
        <v>16020</v>
      </c>
      <c r="G83" s="224" t="s">
        <v>14618</v>
      </c>
      <c r="H83" s="224" t="s">
        <v>1075</v>
      </c>
      <c r="I83" s="361">
        <v>46198</v>
      </c>
    </row>
    <row r="84" spans="1:9" x14ac:dyDescent="0.3">
      <c r="A84" s="224" t="s">
        <v>16021</v>
      </c>
      <c r="B84" s="224" t="s">
        <v>15556</v>
      </c>
      <c r="C84" s="224" t="s">
        <v>16022</v>
      </c>
      <c r="D84" s="224" t="s">
        <v>14648</v>
      </c>
      <c r="E84" s="224" t="s">
        <v>14994</v>
      </c>
      <c r="F84" s="224" t="s">
        <v>16020</v>
      </c>
      <c r="G84" s="224" t="s">
        <v>14618</v>
      </c>
      <c r="H84" s="224" t="s">
        <v>1075</v>
      </c>
      <c r="I84" s="361">
        <v>46197</v>
      </c>
    </row>
    <row r="85" spans="1:9" x14ac:dyDescent="0.3">
      <c r="A85" s="224" t="s">
        <v>16023</v>
      </c>
      <c r="B85" s="224" t="s">
        <v>15586</v>
      </c>
      <c r="C85" s="224" t="s">
        <v>16024</v>
      </c>
      <c r="D85" s="224" t="s">
        <v>14648</v>
      </c>
      <c r="E85" s="224" t="s">
        <v>14993</v>
      </c>
      <c r="F85" s="224" t="s">
        <v>16020</v>
      </c>
      <c r="G85" s="224" t="s">
        <v>14618</v>
      </c>
      <c r="H85" s="224" t="s">
        <v>1075</v>
      </c>
      <c r="I85" s="361">
        <v>46198</v>
      </c>
    </row>
    <row r="86" spans="1:9" x14ac:dyDescent="0.3">
      <c r="A86" s="224" t="s">
        <v>16025</v>
      </c>
      <c r="B86" s="224" t="s">
        <v>15616</v>
      </c>
      <c r="C86" s="224" t="s">
        <v>16026</v>
      </c>
      <c r="D86" s="224" t="s">
        <v>14648</v>
      </c>
      <c r="E86" s="224" t="s">
        <v>14992</v>
      </c>
      <c r="F86" s="224" t="s">
        <v>16020</v>
      </c>
      <c r="G86" s="224" t="s">
        <v>14618</v>
      </c>
      <c r="H86" s="224" t="s">
        <v>1075</v>
      </c>
      <c r="I86" s="361">
        <v>46196</v>
      </c>
    </row>
    <row r="87" spans="1:9" x14ac:dyDescent="0.3">
      <c r="A87" s="224" t="s">
        <v>16027</v>
      </c>
      <c r="B87" s="224" t="s">
        <v>15645</v>
      </c>
      <c r="C87" s="224" t="s">
        <v>16028</v>
      </c>
      <c r="D87" s="224" t="s">
        <v>14648</v>
      </c>
      <c r="E87" s="224" t="s">
        <v>14991</v>
      </c>
      <c r="F87" s="224" t="s">
        <v>16020</v>
      </c>
      <c r="G87" s="224" t="s">
        <v>14618</v>
      </c>
      <c r="H87" s="224" t="s">
        <v>1075</v>
      </c>
      <c r="I87" s="361">
        <v>46198</v>
      </c>
    </row>
    <row r="88" spans="1:9" x14ac:dyDescent="0.3">
      <c r="A88" s="224" t="s">
        <v>16029</v>
      </c>
      <c r="B88" s="224" t="s">
        <v>15675</v>
      </c>
      <c r="C88" s="224" t="s">
        <v>16030</v>
      </c>
      <c r="D88" s="224" t="s">
        <v>14648</v>
      </c>
      <c r="E88" s="224" t="s">
        <v>1159</v>
      </c>
      <c r="F88" s="224" t="s">
        <v>16020</v>
      </c>
      <c r="G88" s="224" t="s">
        <v>14618</v>
      </c>
      <c r="H88" s="224" t="s">
        <v>1075</v>
      </c>
      <c r="I88" s="361">
        <v>46197</v>
      </c>
    </row>
    <row r="89" spans="1:9" x14ac:dyDescent="0.3">
      <c r="A89" s="224" t="s">
        <v>16031</v>
      </c>
      <c r="B89" s="224" t="s">
        <v>16032</v>
      </c>
      <c r="C89" s="224" t="s">
        <v>16033</v>
      </c>
      <c r="D89" s="224" t="s">
        <v>16034</v>
      </c>
      <c r="E89" s="224" t="s">
        <v>1160</v>
      </c>
      <c r="F89" s="224" t="s">
        <v>16035</v>
      </c>
      <c r="G89" s="224" t="s">
        <v>1160</v>
      </c>
      <c r="H89" s="224" t="s">
        <v>1075</v>
      </c>
      <c r="I89" s="361">
        <v>46198</v>
      </c>
    </row>
    <row r="90" spans="1:9" x14ac:dyDescent="0.3">
      <c r="A90" s="224" t="s">
        <v>16036</v>
      </c>
      <c r="B90" s="224" t="s">
        <v>16037</v>
      </c>
      <c r="C90" s="224" t="s">
        <v>16038</v>
      </c>
      <c r="D90" s="224" t="s">
        <v>16039</v>
      </c>
      <c r="E90" s="224" t="s">
        <v>1160</v>
      </c>
      <c r="F90" s="224" t="s">
        <v>16035</v>
      </c>
      <c r="G90" s="224" t="s">
        <v>1160</v>
      </c>
      <c r="H90" s="224" t="s">
        <v>1075</v>
      </c>
      <c r="I90" s="361">
        <v>46198</v>
      </c>
    </row>
    <row r="91" spans="1:9" x14ac:dyDescent="0.3">
      <c r="A91" s="224" t="s">
        <v>16040</v>
      </c>
      <c r="B91" s="224" t="s">
        <v>16041</v>
      </c>
      <c r="C91" s="224" t="s">
        <v>16042</v>
      </c>
      <c r="D91" s="224" t="s">
        <v>16043</v>
      </c>
      <c r="E91" s="224" t="s">
        <v>1160</v>
      </c>
      <c r="F91" s="224" t="s">
        <v>16035</v>
      </c>
      <c r="G91" s="224" t="s">
        <v>1160</v>
      </c>
      <c r="H91" s="224" t="s">
        <v>1075</v>
      </c>
      <c r="I91" s="361">
        <v>46195</v>
      </c>
    </row>
    <row r="92" spans="1:9" x14ac:dyDescent="0.3">
      <c r="A92" s="224" t="s">
        <v>16044</v>
      </c>
      <c r="B92" s="224" t="s">
        <v>16045</v>
      </c>
      <c r="C92" s="224" t="s">
        <v>16046</v>
      </c>
      <c r="D92" s="224" t="s">
        <v>16047</v>
      </c>
      <c r="E92" s="224" t="s">
        <v>14991</v>
      </c>
      <c r="F92" s="224" t="s">
        <v>16034</v>
      </c>
      <c r="G92" s="224" t="s">
        <v>1160</v>
      </c>
      <c r="H92" s="224" t="s">
        <v>1075</v>
      </c>
      <c r="I92" s="361">
        <v>46198</v>
      </c>
    </row>
    <row r="93" spans="1:9" x14ac:dyDescent="0.3">
      <c r="A93" s="224" t="s">
        <v>16048</v>
      </c>
      <c r="B93" s="224" t="s">
        <v>16049</v>
      </c>
      <c r="C93" s="224" t="s">
        <v>16050</v>
      </c>
      <c r="D93" s="224" t="s">
        <v>15921</v>
      </c>
      <c r="E93" s="224" t="s">
        <v>15920</v>
      </c>
      <c r="F93" s="224" t="s">
        <v>16051</v>
      </c>
      <c r="G93" s="224" t="s">
        <v>1160</v>
      </c>
      <c r="H93" s="224" t="s">
        <v>1075</v>
      </c>
      <c r="I93" s="361">
        <v>46197</v>
      </c>
    </row>
    <row r="94" spans="1:9" x14ac:dyDescent="0.3">
      <c r="A94" s="224" t="s">
        <v>16052</v>
      </c>
      <c r="B94" s="224" t="s">
        <v>15451</v>
      </c>
      <c r="C94" s="224" t="s">
        <v>16053</v>
      </c>
      <c r="D94" s="224" t="s">
        <v>16054</v>
      </c>
      <c r="E94" s="224" t="s">
        <v>14991</v>
      </c>
      <c r="F94" s="224" t="s">
        <v>16055</v>
      </c>
      <c r="G94" s="224" t="s">
        <v>14618</v>
      </c>
      <c r="H94" s="224" t="s">
        <v>1075</v>
      </c>
      <c r="I94" s="361">
        <v>46198</v>
      </c>
    </row>
    <row r="95" spans="1:9" x14ac:dyDescent="0.3">
      <c r="A95" s="224" t="s">
        <v>16056</v>
      </c>
      <c r="B95" s="224" t="s">
        <v>15460</v>
      </c>
      <c r="C95" s="224" t="s">
        <v>16057</v>
      </c>
      <c r="D95" s="224" t="s">
        <v>16054</v>
      </c>
      <c r="E95" s="224" t="s">
        <v>14991</v>
      </c>
      <c r="F95" s="224" t="s">
        <v>16055</v>
      </c>
      <c r="G95" s="224" t="s">
        <v>14618</v>
      </c>
      <c r="H95" s="224" t="s">
        <v>1075</v>
      </c>
      <c r="I95" s="361">
        <v>46196</v>
      </c>
    </row>
    <row r="96" spans="1:9" x14ac:dyDescent="0.3">
      <c r="A96" s="224" t="s">
        <v>16058</v>
      </c>
      <c r="B96" s="224" t="s">
        <v>15469</v>
      </c>
      <c r="C96" s="224" t="s">
        <v>16059</v>
      </c>
      <c r="D96" s="224" t="s">
        <v>16060</v>
      </c>
      <c r="E96" s="224" t="s">
        <v>14991</v>
      </c>
      <c r="F96" s="224" t="s">
        <v>16061</v>
      </c>
      <c r="G96" s="224" t="s">
        <v>14618</v>
      </c>
      <c r="H96" s="224" t="s">
        <v>1075</v>
      </c>
      <c r="I96" s="361">
        <v>46198</v>
      </c>
    </row>
    <row r="97" spans="1:9" x14ac:dyDescent="0.3">
      <c r="A97" s="224" t="s">
        <v>16062</v>
      </c>
      <c r="B97" s="224" t="s">
        <v>15487</v>
      </c>
      <c r="C97" s="224" t="s">
        <v>16063</v>
      </c>
      <c r="D97" s="224" t="s">
        <v>16064</v>
      </c>
      <c r="E97" s="224" t="s">
        <v>14991</v>
      </c>
      <c r="F97" s="224" t="s">
        <v>15845</v>
      </c>
      <c r="G97" s="224" t="s">
        <v>14618</v>
      </c>
      <c r="H97" s="224" t="s">
        <v>1075</v>
      </c>
      <c r="I97" s="361">
        <v>46197</v>
      </c>
    </row>
    <row r="98" spans="1:9" x14ac:dyDescent="0.3">
      <c r="A98" s="224" t="s">
        <v>16065</v>
      </c>
      <c r="B98" s="224" t="s">
        <v>15514</v>
      </c>
      <c r="C98" s="224" t="s">
        <v>16066</v>
      </c>
      <c r="D98" s="224" t="s">
        <v>16067</v>
      </c>
      <c r="E98" s="224" t="s">
        <v>14991</v>
      </c>
      <c r="F98" s="224" t="s">
        <v>16061</v>
      </c>
      <c r="G98" s="224" t="s">
        <v>14618</v>
      </c>
      <c r="H98" s="224" t="s">
        <v>1075</v>
      </c>
      <c r="I98" s="361">
        <v>46198</v>
      </c>
    </row>
    <row r="99" spans="1:9" x14ac:dyDescent="0.3">
      <c r="A99" s="224" t="s">
        <v>16068</v>
      </c>
      <c r="B99" s="224" t="s">
        <v>15505</v>
      </c>
      <c r="C99" s="224" t="s">
        <v>16069</v>
      </c>
      <c r="D99" s="224" t="s">
        <v>16070</v>
      </c>
      <c r="E99" s="224" t="s">
        <v>152</v>
      </c>
      <c r="F99" s="224" t="s">
        <v>16017</v>
      </c>
      <c r="G99" s="224" t="s">
        <v>14618</v>
      </c>
      <c r="H99" s="224" t="s">
        <v>1075</v>
      </c>
      <c r="I99" s="361">
        <v>46198</v>
      </c>
    </row>
    <row r="100" spans="1:9" x14ac:dyDescent="0.3">
      <c r="A100" s="224" t="s">
        <v>16071</v>
      </c>
      <c r="B100" s="224" t="s">
        <v>15574</v>
      </c>
      <c r="C100" s="224" t="s">
        <v>16072</v>
      </c>
      <c r="D100" s="224" t="s">
        <v>16073</v>
      </c>
      <c r="E100" s="224" t="s">
        <v>14991</v>
      </c>
      <c r="F100" s="224" t="s">
        <v>16061</v>
      </c>
      <c r="G100" s="224" t="s">
        <v>14618</v>
      </c>
      <c r="H100" s="224" t="s">
        <v>1075</v>
      </c>
      <c r="I100" s="361">
        <v>46195</v>
      </c>
    </row>
    <row r="101" spans="1:9" x14ac:dyDescent="0.3">
      <c r="A101" s="224" t="s">
        <v>16074</v>
      </c>
      <c r="B101" s="224" t="s">
        <v>15624</v>
      </c>
      <c r="C101" s="224" t="s">
        <v>16075</v>
      </c>
      <c r="D101" s="224" t="s">
        <v>16076</v>
      </c>
      <c r="E101" s="224" t="s">
        <v>16077</v>
      </c>
      <c r="F101" s="224" t="s">
        <v>16078</v>
      </c>
      <c r="G101" s="224" t="s">
        <v>14618</v>
      </c>
      <c r="H101" s="224" t="s">
        <v>1075</v>
      </c>
      <c r="I101" s="361">
        <v>46198</v>
      </c>
    </row>
    <row r="102" spans="1:9" x14ac:dyDescent="0.3">
      <c r="A102" t="s">
        <v>16079</v>
      </c>
      <c r="B102" t="s">
        <v>15953</v>
      </c>
      <c r="C102" t="s">
        <v>15954</v>
      </c>
      <c r="D102" t="s">
        <v>16080</v>
      </c>
      <c r="E102" t="s">
        <v>14991</v>
      </c>
      <c r="F102" t="s">
        <v>16081</v>
      </c>
      <c r="G102" t="s">
        <v>14618</v>
      </c>
      <c r="H102" t="s">
        <v>1075</v>
      </c>
      <c r="I102" s="385">
        <v>46208</v>
      </c>
    </row>
    <row r="103" spans="1:9" x14ac:dyDescent="0.3">
      <c r="A103" t="s">
        <v>16082</v>
      </c>
      <c r="B103" t="s">
        <v>16083</v>
      </c>
      <c r="C103" t="s">
        <v>16084</v>
      </c>
      <c r="D103" t="s">
        <v>16080</v>
      </c>
      <c r="E103" t="s">
        <v>14991</v>
      </c>
      <c r="F103" t="s">
        <v>16081</v>
      </c>
      <c r="G103" t="s">
        <v>14618</v>
      </c>
      <c r="H103" t="s">
        <v>1075</v>
      </c>
      <c r="I103" s="385">
        <v>46208</v>
      </c>
    </row>
    <row r="104" spans="1:9" x14ac:dyDescent="0.3">
      <c r="A104" t="s">
        <v>16085</v>
      </c>
      <c r="B104" t="s">
        <v>16086</v>
      </c>
      <c r="C104" t="s">
        <v>16087</v>
      </c>
      <c r="D104" t="s">
        <v>16080</v>
      </c>
      <c r="E104" t="s">
        <v>14991</v>
      </c>
      <c r="F104" t="s">
        <v>16081</v>
      </c>
      <c r="G104" t="s">
        <v>14618</v>
      </c>
      <c r="H104" t="s">
        <v>1075</v>
      </c>
      <c r="I104" s="385">
        <v>46207</v>
      </c>
    </row>
    <row r="105" spans="1:9" x14ac:dyDescent="0.3">
      <c r="A105" t="s">
        <v>16088</v>
      </c>
      <c r="B105" t="s">
        <v>16089</v>
      </c>
      <c r="C105" t="s">
        <v>16090</v>
      </c>
      <c r="D105" t="s">
        <v>16080</v>
      </c>
      <c r="E105" t="s">
        <v>14991</v>
      </c>
      <c r="F105" t="s">
        <v>16081</v>
      </c>
      <c r="G105" t="s">
        <v>14618</v>
      </c>
      <c r="H105" t="s">
        <v>1075</v>
      </c>
      <c r="I105" s="385">
        <v>46208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E479-A2C4-4F41-8D68-3F995302994A}">
  <sheetPr>
    <tabColor theme="6" tint="0.39997558519241921"/>
  </sheetPr>
  <dimension ref="A1:K15"/>
  <sheetViews>
    <sheetView workbookViewId="0">
      <pane ySplit="1" topLeftCell="A2" activePane="bottomLeft" state="frozen"/>
      <selection activeCell="H3" sqref="H3"/>
      <selection pane="bottomLeft" activeCell="H3" sqref="H3"/>
    </sheetView>
  </sheetViews>
  <sheetFormatPr defaultRowHeight="14.4" x14ac:dyDescent="0.3"/>
  <cols>
    <col min="1" max="1" width="13" customWidth="1"/>
    <col min="2" max="2" width="27.77734375" customWidth="1"/>
    <col min="3" max="3" width="40.77734375" customWidth="1"/>
    <col min="4" max="4" width="37" customWidth="1"/>
    <col min="5" max="5" width="16.6640625" customWidth="1"/>
    <col min="6" max="6" width="33.33203125" customWidth="1"/>
    <col min="7" max="7" width="17.5546875" customWidth="1"/>
    <col min="8" max="8" width="24.109375" customWidth="1"/>
    <col min="9" max="9" width="13" customWidth="1"/>
    <col min="10" max="10" width="17.5546875" customWidth="1"/>
    <col min="11" max="11" width="46.33203125" customWidth="1"/>
  </cols>
  <sheetData>
    <row r="1" spans="1:11" x14ac:dyDescent="0.3">
      <c r="A1" s="405" t="s">
        <v>16500</v>
      </c>
      <c r="B1" s="406" t="s">
        <v>15763</v>
      </c>
      <c r="C1" s="406" t="s">
        <v>15764</v>
      </c>
      <c r="D1" s="406" t="s">
        <v>16501</v>
      </c>
      <c r="E1" s="406" t="s">
        <v>15432</v>
      </c>
      <c r="F1" s="406" t="s">
        <v>16502</v>
      </c>
      <c r="G1" s="406" t="s">
        <v>16503</v>
      </c>
      <c r="H1" s="406" t="s">
        <v>16504</v>
      </c>
      <c r="I1" s="406" t="s">
        <v>1068</v>
      </c>
      <c r="J1" s="406" t="s">
        <v>16505</v>
      </c>
      <c r="K1" s="407" t="s">
        <v>1245</v>
      </c>
    </row>
    <row r="2" spans="1:11" x14ac:dyDescent="0.3">
      <c r="A2" s="390" t="s">
        <v>16506</v>
      </c>
      <c r="B2" s="391" t="s">
        <v>16507</v>
      </c>
      <c r="C2" s="391" t="s">
        <v>16508</v>
      </c>
      <c r="D2" s="391" t="s">
        <v>16509</v>
      </c>
      <c r="E2" s="391" t="s">
        <v>14991</v>
      </c>
      <c r="F2" s="391" t="s">
        <v>16510</v>
      </c>
      <c r="G2" s="408">
        <v>44635</v>
      </c>
      <c r="H2" s="391" t="s">
        <v>16511</v>
      </c>
      <c r="I2" s="391" t="s">
        <v>1075</v>
      </c>
      <c r="J2" s="408">
        <v>46461</v>
      </c>
      <c r="K2" s="392" t="s">
        <v>16512</v>
      </c>
    </row>
    <row r="3" spans="1:11" x14ac:dyDescent="0.3">
      <c r="A3" s="390" t="s">
        <v>16513</v>
      </c>
      <c r="B3" s="391" t="s">
        <v>15459</v>
      </c>
      <c r="C3" s="391" t="s">
        <v>16514</v>
      </c>
      <c r="D3" s="391" t="s">
        <v>16515</v>
      </c>
      <c r="E3" s="391" t="s">
        <v>14991</v>
      </c>
      <c r="F3" s="391" t="s">
        <v>16510</v>
      </c>
      <c r="G3" s="408">
        <v>44936</v>
      </c>
      <c r="H3" s="391" t="s">
        <v>16507</v>
      </c>
      <c r="I3" s="391" t="s">
        <v>1075</v>
      </c>
      <c r="J3" s="408">
        <v>46397</v>
      </c>
      <c r="K3" s="392" t="s">
        <v>16516</v>
      </c>
    </row>
    <row r="4" spans="1:11" x14ac:dyDescent="0.3">
      <c r="A4" s="390" t="s">
        <v>16517</v>
      </c>
      <c r="B4" s="391" t="s">
        <v>15644</v>
      </c>
      <c r="C4" s="391" t="s">
        <v>16008</v>
      </c>
      <c r="D4" s="391" t="s">
        <v>16518</v>
      </c>
      <c r="E4" s="391" t="s">
        <v>14991</v>
      </c>
      <c r="F4" s="391" t="s">
        <v>16519</v>
      </c>
      <c r="G4" s="408">
        <v>45097</v>
      </c>
      <c r="H4" s="391" t="s">
        <v>15459</v>
      </c>
      <c r="I4" s="391" t="s">
        <v>1075</v>
      </c>
      <c r="J4" s="408">
        <v>46387</v>
      </c>
      <c r="K4" s="392" t="s">
        <v>16520</v>
      </c>
    </row>
    <row r="5" spans="1:11" x14ac:dyDescent="0.3">
      <c r="A5" s="390" t="s">
        <v>16521</v>
      </c>
      <c r="B5" s="391" t="s">
        <v>15647</v>
      </c>
      <c r="C5" s="391" t="s">
        <v>16522</v>
      </c>
      <c r="D5" s="391" t="s">
        <v>16523</v>
      </c>
      <c r="E5" s="391" t="s">
        <v>152</v>
      </c>
      <c r="F5" s="391" t="s">
        <v>16510</v>
      </c>
      <c r="G5" s="408">
        <v>44774</v>
      </c>
      <c r="H5" s="391" t="s">
        <v>16507</v>
      </c>
      <c r="I5" s="391" t="s">
        <v>1075</v>
      </c>
      <c r="J5" s="408">
        <v>46600</v>
      </c>
      <c r="K5" s="392" t="s">
        <v>16524</v>
      </c>
    </row>
    <row r="6" spans="1:11" x14ac:dyDescent="0.3">
      <c r="A6" s="390" t="s">
        <v>16525</v>
      </c>
      <c r="B6" s="391" t="s">
        <v>16526</v>
      </c>
      <c r="C6" s="391" t="s">
        <v>16527</v>
      </c>
      <c r="D6" s="391" t="s">
        <v>16528</v>
      </c>
      <c r="E6" s="391" t="s">
        <v>14991</v>
      </c>
      <c r="F6" s="391" t="s">
        <v>16510</v>
      </c>
      <c r="G6" s="408">
        <v>44326</v>
      </c>
      <c r="H6" s="391" t="s">
        <v>16511</v>
      </c>
      <c r="I6" s="391" t="s">
        <v>1075</v>
      </c>
      <c r="J6" s="408">
        <v>46517</v>
      </c>
      <c r="K6" s="392" t="s">
        <v>16529</v>
      </c>
    </row>
    <row r="7" spans="1:11" x14ac:dyDescent="0.3">
      <c r="A7" s="390" t="s">
        <v>16530</v>
      </c>
      <c r="B7" s="391" t="s">
        <v>15564</v>
      </c>
      <c r="C7" s="391" t="s">
        <v>16531</v>
      </c>
      <c r="D7" s="391" t="s">
        <v>16532</v>
      </c>
      <c r="E7" s="391" t="s">
        <v>14991</v>
      </c>
      <c r="F7" s="391" t="s">
        <v>16533</v>
      </c>
      <c r="G7" s="408">
        <v>45337</v>
      </c>
      <c r="H7" s="391" t="s">
        <v>15459</v>
      </c>
      <c r="I7" s="391" t="s">
        <v>1075</v>
      </c>
      <c r="J7" s="408">
        <v>46249</v>
      </c>
      <c r="K7" s="392" t="s">
        <v>16534</v>
      </c>
    </row>
    <row r="8" spans="1:11" x14ac:dyDescent="0.3">
      <c r="A8" s="390" t="s">
        <v>16535</v>
      </c>
      <c r="B8" s="391" t="s">
        <v>15674</v>
      </c>
      <c r="C8" s="391" t="s">
        <v>16010</v>
      </c>
      <c r="D8" s="391" t="s">
        <v>16536</v>
      </c>
      <c r="E8" s="391" t="s">
        <v>1159</v>
      </c>
      <c r="F8" s="391" t="s">
        <v>16537</v>
      </c>
      <c r="G8" s="408">
        <v>45170</v>
      </c>
      <c r="H8" s="391" t="s">
        <v>15459</v>
      </c>
      <c r="I8" s="391" t="s">
        <v>1075</v>
      </c>
      <c r="J8" s="408">
        <v>46266</v>
      </c>
      <c r="K8" s="392" t="s">
        <v>16538</v>
      </c>
    </row>
    <row r="9" spans="1:11" x14ac:dyDescent="0.3">
      <c r="A9" s="390" t="s">
        <v>16539</v>
      </c>
      <c r="B9" s="391" t="s">
        <v>15438</v>
      </c>
      <c r="C9" s="391" t="s">
        <v>15994</v>
      </c>
      <c r="D9" s="391" t="s">
        <v>16540</v>
      </c>
      <c r="E9" s="391" t="s">
        <v>1158</v>
      </c>
      <c r="F9" s="391" t="s">
        <v>16541</v>
      </c>
      <c r="G9" s="408">
        <v>45031</v>
      </c>
      <c r="H9" s="391" t="s">
        <v>16507</v>
      </c>
      <c r="I9" s="391" t="s">
        <v>1075</v>
      </c>
      <c r="J9" s="408">
        <v>46310</v>
      </c>
      <c r="K9" s="392" t="s">
        <v>16542</v>
      </c>
    </row>
    <row r="10" spans="1:11" x14ac:dyDescent="0.3">
      <c r="A10" s="390" t="s">
        <v>16543</v>
      </c>
      <c r="B10" s="391" t="s">
        <v>15656</v>
      </c>
      <c r="C10" s="391" t="s">
        <v>16544</v>
      </c>
      <c r="D10" s="391" t="s">
        <v>16545</v>
      </c>
      <c r="E10" s="391" t="s">
        <v>14991</v>
      </c>
      <c r="F10" s="391" t="s">
        <v>16546</v>
      </c>
      <c r="G10" s="408">
        <v>45296</v>
      </c>
      <c r="H10" s="391" t="s">
        <v>16526</v>
      </c>
      <c r="I10" s="391" t="s">
        <v>1075</v>
      </c>
      <c r="J10" s="408">
        <v>46208</v>
      </c>
      <c r="K10" s="392" t="s">
        <v>16547</v>
      </c>
    </row>
    <row r="11" spans="1:11" x14ac:dyDescent="0.3">
      <c r="A11" s="390" t="s">
        <v>16548</v>
      </c>
      <c r="B11" s="391" t="s">
        <v>15653</v>
      </c>
      <c r="C11" s="391" t="s">
        <v>16549</v>
      </c>
      <c r="D11" s="391" t="s">
        <v>16550</v>
      </c>
      <c r="E11" s="391" t="s">
        <v>152</v>
      </c>
      <c r="F11" s="391" t="s">
        <v>16551</v>
      </c>
      <c r="G11" s="408">
        <v>45250</v>
      </c>
      <c r="H11" s="391" t="s">
        <v>15647</v>
      </c>
      <c r="I11" s="391" t="s">
        <v>1075</v>
      </c>
      <c r="J11" s="408">
        <v>46346</v>
      </c>
      <c r="K11" s="392" t="s">
        <v>16552</v>
      </c>
    </row>
    <row r="12" spans="1:11" x14ac:dyDescent="0.3">
      <c r="A12" s="390" t="s">
        <v>16553</v>
      </c>
      <c r="B12" s="391" t="s">
        <v>15662</v>
      </c>
      <c r="C12" s="391" t="s">
        <v>16554</v>
      </c>
      <c r="D12" s="391" t="s">
        <v>16555</v>
      </c>
      <c r="E12" s="391" t="s">
        <v>14991</v>
      </c>
      <c r="F12" s="391" t="s">
        <v>16556</v>
      </c>
      <c r="G12" s="408">
        <v>45361</v>
      </c>
      <c r="H12" s="391" t="s">
        <v>15644</v>
      </c>
      <c r="I12" s="391" t="s">
        <v>1075</v>
      </c>
      <c r="J12" s="408">
        <v>46275</v>
      </c>
      <c r="K12" s="392" t="s">
        <v>16557</v>
      </c>
    </row>
    <row r="13" spans="1:11" x14ac:dyDescent="0.3">
      <c r="A13" s="393" t="s">
        <v>16558</v>
      </c>
      <c r="B13" s="394" t="s">
        <v>15665</v>
      </c>
      <c r="C13" s="394" t="s">
        <v>16559</v>
      </c>
      <c r="D13" s="394" t="s">
        <v>16560</v>
      </c>
      <c r="E13" s="394" t="s">
        <v>14991</v>
      </c>
      <c r="F13" s="394" t="s">
        <v>16561</v>
      </c>
      <c r="G13" s="409">
        <v>45122</v>
      </c>
      <c r="H13" s="394" t="s">
        <v>15644</v>
      </c>
      <c r="I13" s="394" t="s">
        <v>1075</v>
      </c>
      <c r="J13" s="409">
        <v>46218</v>
      </c>
      <c r="K13" s="395" t="s">
        <v>16562</v>
      </c>
    </row>
    <row r="15" spans="1:11" x14ac:dyDescent="0.3">
      <c r="A15" s="410" t="s">
        <v>16563</v>
      </c>
      <c r="B15" s="219"/>
      <c r="C15" s="219"/>
      <c r="D15" s="219"/>
      <c r="E15" s="219"/>
      <c r="F15" s="219"/>
      <c r="G15" s="219"/>
      <c r="H15" s="219"/>
      <c r="I15" s="219"/>
      <c r="J15" s="219"/>
      <c r="K15" s="219"/>
    </row>
  </sheetData>
  <mergeCells count="1">
    <mergeCell ref="A15:K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6B46-6536-4556-8CE5-F090D42643FF}">
  <sheetPr>
    <tabColor theme="6" tint="0.59999389629810485"/>
  </sheetPr>
  <dimension ref="A1:I13"/>
  <sheetViews>
    <sheetView workbookViewId="0">
      <pane ySplit="1" topLeftCell="A2" activePane="bottomLeft" state="frozen"/>
      <selection activeCell="H3" sqref="H3"/>
      <selection pane="bottomLeft" activeCell="H3" sqref="H3"/>
    </sheetView>
  </sheetViews>
  <sheetFormatPr defaultRowHeight="14.4" x14ac:dyDescent="0.3"/>
  <cols>
    <col min="1" max="1" width="7.21875" bestFit="1" customWidth="1"/>
    <col min="2" max="2" width="13.88671875" bestFit="1" customWidth="1"/>
    <col min="3" max="3" width="28.33203125" bestFit="1" customWidth="1"/>
    <col min="4" max="4" width="11.5546875" bestFit="1" customWidth="1"/>
    <col min="5" max="5" width="13.44140625" bestFit="1" customWidth="1"/>
    <col min="6" max="6" width="14.44140625" bestFit="1" customWidth="1"/>
    <col min="7" max="7" width="8.5546875" bestFit="1" customWidth="1"/>
    <col min="8" max="8" width="10.33203125" bestFit="1" customWidth="1"/>
    <col min="9" max="9" width="23.44140625" bestFit="1" customWidth="1"/>
  </cols>
  <sheetData>
    <row r="1" spans="1:9" x14ac:dyDescent="0.3">
      <c r="A1" s="291" t="s">
        <v>13055</v>
      </c>
      <c r="B1" s="291" t="s">
        <v>15763</v>
      </c>
      <c r="C1" s="291" t="s">
        <v>15764</v>
      </c>
      <c r="D1" s="291" t="s">
        <v>15432</v>
      </c>
      <c r="E1" s="291" t="s">
        <v>16456</v>
      </c>
      <c r="F1" s="291" t="s">
        <v>16457</v>
      </c>
      <c r="G1" s="291" t="s">
        <v>1068</v>
      </c>
      <c r="H1" s="291" t="s">
        <v>1554</v>
      </c>
      <c r="I1" s="291" t="s">
        <v>16458</v>
      </c>
    </row>
    <row r="2" spans="1:9" x14ac:dyDescent="0.3">
      <c r="A2" s="224" t="s">
        <v>16459</v>
      </c>
      <c r="B2" s="224" t="s">
        <v>15880</v>
      </c>
      <c r="C2" s="224" t="s">
        <v>15881</v>
      </c>
      <c r="D2" s="224" t="s">
        <v>14991</v>
      </c>
      <c r="E2" s="224" t="s">
        <v>16460</v>
      </c>
      <c r="F2" s="224" t="s">
        <v>16461</v>
      </c>
      <c r="G2" s="224" t="s">
        <v>1075</v>
      </c>
      <c r="H2" s="361">
        <v>43905</v>
      </c>
      <c r="I2" s="224" t="s">
        <v>16462</v>
      </c>
    </row>
    <row r="3" spans="1:9" x14ac:dyDescent="0.3">
      <c r="A3" s="224" t="s">
        <v>16463</v>
      </c>
      <c r="B3" s="224" t="s">
        <v>15884</v>
      </c>
      <c r="C3" s="224" t="s">
        <v>15885</v>
      </c>
      <c r="D3" s="224" t="s">
        <v>14991</v>
      </c>
      <c r="E3" s="224" t="s">
        <v>16460</v>
      </c>
      <c r="F3" s="224" t="s">
        <v>16464</v>
      </c>
      <c r="G3" s="224" t="s">
        <v>1075</v>
      </c>
      <c r="H3" s="361">
        <v>43636</v>
      </c>
      <c r="I3" s="224" t="s">
        <v>16465</v>
      </c>
    </row>
    <row r="4" spans="1:9" x14ac:dyDescent="0.3">
      <c r="A4" s="224" t="s">
        <v>16466</v>
      </c>
      <c r="B4" s="224" t="s">
        <v>15887</v>
      </c>
      <c r="C4" s="224" t="s">
        <v>15888</v>
      </c>
      <c r="D4" s="224" t="s">
        <v>14991</v>
      </c>
      <c r="E4" s="224" t="s">
        <v>16467</v>
      </c>
      <c r="F4" s="224" t="s">
        <v>16468</v>
      </c>
      <c r="G4" s="224" t="s">
        <v>1075</v>
      </c>
      <c r="H4" s="361">
        <v>44206</v>
      </c>
      <c r="I4" s="224" t="s">
        <v>16469</v>
      </c>
    </row>
    <row r="5" spans="1:9" x14ac:dyDescent="0.3">
      <c r="A5" s="224" t="s">
        <v>16470</v>
      </c>
      <c r="B5" s="224" t="s">
        <v>15890</v>
      </c>
      <c r="C5" s="224" t="s">
        <v>15891</v>
      </c>
      <c r="D5" s="224" t="s">
        <v>14991</v>
      </c>
      <c r="E5" s="224" t="s">
        <v>16467</v>
      </c>
      <c r="F5" s="224" t="s">
        <v>16471</v>
      </c>
      <c r="G5" s="224" t="s">
        <v>1075</v>
      </c>
      <c r="H5" s="361">
        <v>43344</v>
      </c>
      <c r="I5" s="224" t="s">
        <v>16472</v>
      </c>
    </row>
    <row r="6" spans="1:9" x14ac:dyDescent="0.3">
      <c r="A6" s="224" t="s">
        <v>16473</v>
      </c>
      <c r="B6" s="224" t="s">
        <v>15893</v>
      </c>
      <c r="C6" s="224" t="s">
        <v>15894</v>
      </c>
      <c r="D6" s="224" t="s">
        <v>14991</v>
      </c>
      <c r="E6" s="224" t="s">
        <v>16474</v>
      </c>
      <c r="F6" s="224" t="s">
        <v>16475</v>
      </c>
      <c r="G6" s="224" t="s">
        <v>1075</v>
      </c>
      <c r="H6" s="361">
        <v>44150</v>
      </c>
      <c r="I6" s="224" t="s">
        <v>16476</v>
      </c>
    </row>
    <row r="7" spans="1:9" x14ac:dyDescent="0.3">
      <c r="A7" s="224" t="s">
        <v>16477</v>
      </c>
      <c r="B7" s="224" t="s">
        <v>15896</v>
      </c>
      <c r="C7" s="224" t="s">
        <v>15897</v>
      </c>
      <c r="D7" s="224" t="s">
        <v>14991</v>
      </c>
      <c r="E7" s="224" t="s">
        <v>16474</v>
      </c>
      <c r="F7" s="224" t="s">
        <v>16478</v>
      </c>
      <c r="G7" s="224" t="s">
        <v>1075</v>
      </c>
      <c r="H7" s="361">
        <v>44620</v>
      </c>
      <c r="I7" s="224" t="s">
        <v>16479</v>
      </c>
    </row>
    <row r="8" spans="1:9" x14ac:dyDescent="0.3">
      <c r="A8" s="224" t="s">
        <v>16480</v>
      </c>
      <c r="B8" s="224" t="s">
        <v>15899</v>
      </c>
      <c r="C8" s="224" t="s">
        <v>15900</v>
      </c>
      <c r="D8" s="224" t="s">
        <v>14991</v>
      </c>
      <c r="E8" s="224" t="s">
        <v>16460</v>
      </c>
      <c r="F8" s="224" t="s">
        <v>16481</v>
      </c>
      <c r="G8" s="224" t="s">
        <v>1075</v>
      </c>
      <c r="H8" s="361">
        <v>43567</v>
      </c>
      <c r="I8" s="224" t="s">
        <v>16482</v>
      </c>
    </row>
    <row r="9" spans="1:9" x14ac:dyDescent="0.3">
      <c r="A9" s="224" t="s">
        <v>16483</v>
      </c>
      <c r="B9" s="224" t="s">
        <v>15902</v>
      </c>
      <c r="C9" s="224" t="s">
        <v>15903</v>
      </c>
      <c r="D9" s="224" t="s">
        <v>14991</v>
      </c>
      <c r="E9" s="224" t="s">
        <v>16467</v>
      </c>
      <c r="F9" s="224" t="s">
        <v>16484</v>
      </c>
      <c r="G9" s="224" t="s">
        <v>1075</v>
      </c>
      <c r="H9" s="361">
        <v>44399</v>
      </c>
      <c r="I9" s="224" t="s">
        <v>16485</v>
      </c>
    </row>
    <row r="10" spans="1:9" x14ac:dyDescent="0.3">
      <c r="A10" s="224" t="s">
        <v>16486</v>
      </c>
      <c r="B10" s="224" t="s">
        <v>15905</v>
      </c>
      <c r="C10" s="224" t="s">
        <v>15906</v>
      </c>
      <c r="D10" s="224" t="s">
        <v>14991</v>
      </c>
      <c r="E10" s="224" t="s">
        <v>16487</v>
      </c>
      <c r="F10" s="224" t="s">
        <v>16488</v>
      </c>
      <c r="G10" s="224" t="s">
        <v>1075</v>
      </c>
      <c r="H10" s="361">
        <v>44048</v>
      </c>
      <c r="I10" s="224" t="s">
        <v>16489</v>
      </c>
    </row>
    <row r="11" spans="1:9" x14ac:dyDescent="0.3">
      <c r="A11" s="224" t="s">
        <v>16490</v>
      </c>
      <c r="B11" s="224" t="s">
        <v>15908</v>
      </c>
      <c r="C11" s="224" t="s">
        <v>15909</v>
      </c>
      <c r="D11" s="224" t="s">
        <v>14991</v>
      </c>
      <c r="E11" s="224" t="s">
        <v>16460</v>
      </c>
      <c r="F11" s="224" t="s">
        <v>16491</v>
      </c>
      <c r="G11" s="224" t="s">
        <v>1075</v>
      </c>
      <c r="H11" s="361">
        <v>43070</v>
      </c>
      <c r="I11" s="224" t="s">
        <v>16492</v>
      </c>
    </row>
    <row r="12" spans="1:9" x14ac:dyDescent="0.3">
      <c r="A12" s="224" t="s">
        <v>16493</v>
      </c>
      <c r="B12" s="224" t="s">
        <v>15911</v>
      </c>
      <c r="C12" s="224" t="s">
        <v>15912</v>
      </c>
      <c r="D12" s="224" t="s">
        <v>14991</v>
      </c>
      <c r="E12" s="224" t="s">
        <v>16474</v>
      </c>
      <c r="F12" s="224" t="s">
        <v>16494</v>
      </c>
      <c r="G12" s="224" t="s">
        <v>1075</v>
      </c>
      <c r="H12" s="361">
        <v>44699</v>
      </c>
      <c r="I12" s="224" t="s">
        <v>16495</v>
      </c>
    </row>
    <row r="13" spans="1:9" x14ac:dyDescent="0.3">
      <c r="A13" s="224" t="s">
        <v>16496</v>
      </c>
      <c r="B13" s="224" t="s">
        <v>15914</v>
      </c>
      <c r="C13" s="224" t="s">
        <v>15915</v>
      </c>
      <c r="D13" s="224" t="s">
        <v>14991</v>
      </c>
      <c r="E13" s="224" t="s">
        <v>16467</v>
      </c>
      <c r="F13" s="224" t="s">
        <v>16497</v>
      </c>
      <c r="G13" s="224" t="s">
        <v>16498</v>
      </c>
      <c r="H13" s="361">
        <v>43768</v>
      </c>
      <c r="I13" s="224" t="s">
        <v>16499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6D34-B131-4951-B728-3F60C884D927}">
  <sheetPr>
    <tabColor theme="6" tint="0.59999389629810485"/>
  </sheetPr>
  <dimension ref="A1:AY227"/>
  <sheetViews>
    <sheetView workbookViewId="0">
      <selection activeCell="F1" sqref="F1:F1048576"/>
    </sheetView>
  </sheetViews>
  <sheetFormatPr defaultRowHeight="14.4" x14ac:dyDescent="0.3"/>
  <cols>
    <col min="1" max="1" width="22.44140625" customWidth="1"/>
    <col min="2" max="2" width="30.21875" bestFit="1" customWidth="1"/>
    <col min="3" max="3" width="37" customWidth="1"/>
    <col min="4" max="4" width="16.6640625" customWidth="1"/>
    <col min="5" max="5" width="24.5546875" customWidth="1"/>
    <col min="6" max="6" width="16.77734375" bestFit="1" customWidth="1"/>
    <col min="7" max="7" width="11.109375" customWidth="1"/>
    <col min="8" max="8" width="21.77734375" customWidth="1"/>
    <col min="9" max="9" width="11.109375" customWidth="1"/>
    <col min="10" max="10" width="27.77734375" customWidth="1"/>
    <col min="11" max="11" width="14.77734375" customWidth="1"/>
    <col min="12" max="12" width="33.33203125" customWidth="1"/>
    <col min="13" max="16" width="11.109375" customWidth="1"/>
    <col min="17" max="20" width="12" customWidth="1"/>
    <col min="21" max="23" width="11.109375" customWidth="1"/>
    <col min="24" max="32" width="12" customWidth="1"/>
    <col min="33" max="33" width="18.5546875" customWidth="1"/>
    <col min="34" max="34" width="16.6640625" customWidth="1"/>
    <col min="50" max="50" width="14.77734375" customWidth="1"/>
  </cols>
  <sheetData>
    <row r="1" spans="1:12" ht="18" x14ac:dyDescent="0.35">
      <c r="A1" s="286" t="s">
        <v>15048</v>
      </c>
      <c r="B1" s="286"/>
      <c r="C1" s="286"/>
      <c r="D1" s="286"/>
      <c r="E1" s="286"/>
      <c r="F1" s="286"/>
      <c r="G1" s="286"/>
      <c r="H1" s="286"/>
      <c r="I1" s="286"/>
      <c r="J1" s="287"/>
      <c r="K1" s="288"/>
      <c r="L1" s="288"/>
    </row>
    <row r="2" spans="1:12" x14ac:dyDescent="0.3">
      <c r="A2" s="289" t="s">
        <v>15049</v>
      </c>
      <c r="B2" s="289"/>
      <c r="C2" s="289"/>
      <c r="D2" s="289"/>
      <c r="E2" s="289"/>
      <c r="F2" s="289"/>
      <c r="G2" s="289"/>
      <c r="H2" s="289"/>
      <c r="I2" s="289"/>
      <c r="J2" s="290"/>
      <c r="K2" s="290"/>
      <c r="L2" s="290"/>
    </row>
    <row r="3" spans="1:12" x14ac:dyDescent="0.3">
      <c r="J3" s="224" t="s">
        <v>15050</v>
      </c>
      <c r="K3" s="224">
        <f>COUNTA($A$68:$A$79)</f>
        <v>12</v>
      </c>
      <c r="L3" s="224"/>
    </row>
    <row r="4" spans="1:12" x14ac:dyDescent="0.3">
      <c r="A4" s="291" t="s">
        <v>15051</v>
      </c>
      <c r="B4" s="291" t="s">
        <v>15052</v>
      </c>
      <c r="C4" s="291" t="s">
        <v>15053</v>
      </c>
      <c r="D4" s="291" t="s">
        <v>15054</v>
      </c>
      <c r="E4" s="291" t="s">
        <v>1</v>
      </c>
      <c r="F4" s="291" t="s">
        <v>15055</v>
      </c>
      <c r="G4" s="291" t="s">
        <v>15056</v>
      </c>
      <c r="H4" s="291" t="s">
        <v>15057</v>
      </c>
      <c r="J4" s="292" t="s">
        <v>15058</v>
      </c>
      <c r="K4" s="293">
        <f>COUNTIF($AY$68:$AY$79,"SEVERE")</f>
        <v>2</v>
      </c>
      <c r="L4" s="292" t="s">
        <v>15059</v>
      </c>
    </row>
    <row r="5" spans="1:12" x14ac:dyDescent="0.3">
      <c r="A5" s="294" t="s">
        <v>14822</v>
      </c>
      <c r="B5" s="294"/>
      <c r="C5" s="270" t="s">
        <v>15060</v>
      </c>
      <c r="D5" s="295">
        <v>0.01</v>
      </c>
      <c r="E5" s="270" t="s">
        <v>15061</v>
      </c>
      <c r="F5" s="270" t="s">
        <v>15062</v>
      </c>
      <c r="G5" s="270" t="s">
        <v>15063</v>
      </c>
      <c r="H5" s="270" t="s">
        <v>15064</v>
      </c>
      <c r="J5" s="266" t="s">
        <v>15065</v>
      </c>
      <c r="K5" s="296">
        <f>COUNTIF($AY$68:$AY$79,"CRITICAL")</f>
        <v>1</v>
      </c>
      <c r="L5" s="266" t="s">
        <v>15066</v>
      </c>
    </row>
    <row r="6" spans="1:12" x14ac:dyDescent="0.3">
      <c r="A6" s="297"/>
      <c r="B6" s="297"/>
      <c r="C6" s="270" t="s">
        <v>15067</v>
      </c>
      <c r="D6" s="295">
        <v>0.02</v>
      </c>
      <c r="E6" s="270" t="s">
        <v>15068</v>
      </c>
      <c r="F6" s="270" t="s">
        <v>15069</v>
      </c>
      <c r="G6" s="270" t="s">
        <v>15070</v>
      </c>
      <c r="H6" s="270" t="s">
        <v>15064</v>
      </c>
      <c r="J6" s="298" t="s">
        <v>15071</v>
      </c>
      <c r="K6" s="298">
        <f>COUNTIF($AY$68:$AY$79,"HIGH")</f>
        <v>0</v>
      </c>
      <c r="L6" s="298" t="s">
        <v>15072</v>
      </c>
    </row>
    <row r="7" spans="1:12" x14ac:dyDescent="0.3">
      <c r="A7" s="297"/>
      <c r="B7" s="297">
        <v>8</v>
      </c>
      <c r="C7" s="270" t="s">
        <v>15073</v>
      </c>
      <c r="D7" s="295">
        <v>0.02</v>
      </c>
      <c r="E7" s="270" t="s">
        <v>15074</v>
      </c>
      <c r="F7" s="270">
        <v>0</v>
      </c>
      <c r="G7" s="270" t="s">
        <v>15075</v>
      </c>
      <c r="H7" s="270" t="s">
        <v>15076</v>
      </c>
      <c r="J7" s="299" t="s">
        <v>15077</v>
      </c>
      <c r="K7" s="299">
        <f>COUNTIF($AY$68:$AY$79,"MEDIUM")</f>
        <v>5</v>
      </c>
      <c r="L7" s="299" t="s">
        <v>14932</v>
      </c>
    </row>
    <row r="8" spans="1:12" x14ac:dyDescent="0.3">
      <c r="A8" s="297"/>
      <c r="B8" s="297"/>
      <c r="C8" s="270" t="s">
        <v>15078</v>
      </c>
      <c r="D8" s="295">
        <v>0.02</v>
      </c>
      <c r="E8" s="270" t="s">
        <v>15079</v>
      </c>
      <c r="F8" s="270">
        <v>0</v>
      </c>
      <c r="G8" s="270" t="s">
        <v>15080</v>
      </c>
      <c r="H8" s="270" t="s">
        <v>15081</v>
      </c>
      <c r="J8" s="268" t="s">
        <v>15082</v>
      </c>
      <c r="K8" s="268">
        <f>COUNTIF($AY$68:$AY$79,"LOW")</f>
        <v>4</v>
      </c>
      <c r="L8" s="268" t="s">
        <v>15083</v>
      </c>
    </row>
    <row r="9" spans="1:12" x14ac:dyDescent="0.3">
      <c r="A9" s="300"/>
      <c r="B9" s="300"/>
      <c r="C9" s="270" t="s">
        <v>15084</v>
      </c>
      <c r="D9" s="295">
        <v>0.01</v>
      </c>
      <c r="E9" s="270" t="s">
        <v>15085</v>
      </c>
      <c r="F9" s="270" t="s">
        <v>15086</v>
      </c>
      <c r="G9" s="270" t="s">
        <v>15087</v>
      </c>
      <c r="H9" s="270" t="s">
        <v>15088</v>
      </c>
      <c r="J9" s="224"/>
      <c r="K9" s="224"/>
      <c r="L9" s="224"/>
    </row>
    <row r="10" spans="1:12" x14ac:dyDescent="0.3">
      <c r="A10" s="301" t="s">
        <v>14820</v>
      </c>
      <c r="B10" s="301"/>
      <c r="C10" s="268" t="s">
        <v>15089</v>
      </c>
      <c r="D10" s="302">
        <v>0.06</v>
      </c>
      <c r="E10" s="268" t="s">
        <v>15090</v>
      </c>
      <c r="F10" s="268" t="s">
        <v>15091</v>
      </c>
      <c r="G10" s="268" t="s">
        <v>15092</v>
      </c>
      <c r="H10" s="268" t="s">
        <v>15093</v>
      </c>
      <c r="J10" s="303" t="s">
        <v>15094</v>
      </c>
      <c r="K10" s="304">
        <f>ROUND(AVERAGE($AX$68:$AX$79),2)</f>
        <v>2.2799999999999998</v>
      </c>
      <c r="L10" s="224"/>
    </row>
    <row r="11" spans="1:12" x14ac:dyDescent="0.3">
      <c r="A11" s="305"/>
      <c r="B11" s="305"/>
      <c r="C11" s="268" t="s">
        <v>15095</v>
      </c>
      <c r="D11" s="302">
        <v>0.03</v>
      </c>
      <c r="E11" s="268" t="s">
        <v>15096</v>
      </c>
      <c r="F11" s="268" t="s">
        <v>15097</v>
      </c>
      <c r="G11" s="268" t="s">
        <v>15098</v>
      </c>
      <c r="H11" s="268" t="s">
        <v>15099</v>
      </c>
      <c r="J11" s="224" t="s">
        <v>15100</v>
      </c>
      <c r="K11" s="224" t="str">
        <f>INDEX($A$68:$A$79,MATCH(MAX($AX$68:$AX$79),$AX$68:$AX$79,0))</f>
        <v>REL-0010</v>
      </c>
      <c r="L11" s="304">
        <f>MAX($AX$68:$AX$79)</f>
        <v>4.5199999999999996</v>
      </c>
    </row>
    <row r="12" spans="1:12" x14ac:dyDescent="0.3">
      <c r="A12" s="305"/>
      <c r="B12" s="305"/>
      <c r="C12" s="268" t="s">
        <v>15101</v>
      </c>
      <c r="D12" s="302">
        <v>0.04</v>
      </c>
      <c r="E12" s="268" t="s">
        <v>15102</v>
      </c>
      <c r="F12" s="268" t="s">
        <v>15103</v>
      </c>
      <c r="G12" s="268" t="s">
        <v>15104</v>
      </c>
      <c r="H12" s="268" t="s">
        <v>15105</v>
      </c>
    </row>
    <row r="13" spans="1:12" x14ac:dyDescent="0.3">
      <c r="A13" s="305"/>
      <c r="B13" s="305">
        <v>40</v>
      </c>
      <c r="C13" s="268" t="s">
        <v>15106</v>
      </c>
      <c r="D13" s="302">
        <v>0.02</v>
      </c>
      <c r="E13" s="268" t="s">
        <v>15107</v>
      </c>
      <c r="F13" s="268" t="s">
        <v>15108</v>
      </c>
      <c r="G13" s="268" t="s">
        <v>15092</v>
      </c>
      <c r="H13" s="268" t="s">
        <v>15105</v>
      </c>
    </row>
    <row r="14" spans="1:12" x14ac:dyDescent="0.3">
      <c r="A14" s="305"/>
      <c r="B14" s="305"/>
      <c r="C14" s="268" t="s">
        <v>15109</v>
      </c>
      <c r="D14" s="302">
        <v>0.03</v>
      </c>
      <c r="E14" s="268" t="s">
        <v>15110</v>
      </c>
      <c r="F14" s="268" t="s">
        <v>15097</v>
      </c>
      <c r="G14" s="268" t="s">
        <v>15098</v>
      </c>
      <c r="H14" s="268" t="s">
        <v>15111</v>
      </c>
    </row>
    <row r="15" spans="1:12" x14ac:dyDescent="0.3">
      <c r="A15" s="305"/>
      <c r="B15" s="305"/>
      <c r="C15" s="268" t="s">
        <v>15112</v>
      </c>
      <c r="D15" s="302">
        <v>0.04</v>
      </c>
      <c r="E15" s="268" t="s">
        <v>15113</v>
      </c>
      <c r="F15" s="268" t="s">
        <v>15114</v>
      </c>
      <c r="G15" s="268" t="s">
        <v>15115</v>
      </c>
      <c r="H15" s="268" t="s">
        <v>15105</v>
      </c>
    </row>
    <row r="16" spans="1:12" x14ac:dyDescent="0.3">
      <c r="A16" s="305"/>
      <c r="B16" s="305"/>
      <c r="C16" s="268" t="s">
        <v>15116</v>
      </c>
      <c r="D16" s="302">
        <v>0.02</v>
      </c>
      <c r="E16" s="268" t="s">
        <v>15117</v>
      </c>
      <c r="F16" s="268" t="s">
        <v>15118</v>
      </c>
      <c r="G16" s="268" t="s">
        <v>15119</v>
      </c>
      <c r="H16" s="268" t="s">
        <v>15120</v>
      </c>
    </row>
    <row r="17" spans="1:12" x14ac:dyDescent="0.3">
      <c r="A17" s="306"/>
      <c r="B17" s="306"/>
      <c r="C17" s="268" t="s">
        <v>15121</v>
      </c>
      <c r="D17" s="302">
        <v>0.02</v>
      </c>
      <c r="E17" s="268" t="s">
        <v>15122</v>
      </c>
      <c r="F17" s="268" t="s">
        <v>15123</v>
      </c>
      <c r="G17" s="268" t="s">
        <v>15124</v>
      </c>
      <c r="H17" s="268" t="s">
        <v>15125</v>
      </c>
    </row>
    <row r="18" spans="1:12" x14ac:dyDescent="0.3">
      <c r="A18" s="307" t="s">
        <v>14817</v>
      </c>
      <c r="B18" s="307"/>
      <c r="C18" s="266" t="s">
        <v>15126</v>
      </c>
      <c r="D18" s="308">
        <v>0.03</v>
      </c>
      <c r="E18" s="266" t="s">
        <v>15127</v>
      </c>
      <c r="F18" s="266">
        <v>0</v>
      </c>
      <c r="G18" s="266" t="s">
        <v>15075</v>
      </c>
      <c r="H18" s="266" t="s">
        <v>15128</v>
      </c>
    </row>
    <row r="19" spans="1:12" x14ac:dyDescent="0.3">
      <c r="A19" s="309"/>
      <c r="B19" s="309">
        <v>8</v>
      </c>
      <c r="C19" s="266" t="s">
        <v>15129</v>
      </c>
      <c r="D19" s="308">
        <v>0.02</v>
      </c>
      <c r="E19" s="266" t="s">
        <v>15130</v>
      </c>
      <c r="F19" s="266" t="s">
        <v>15131</v>
      </c>
      <c r="G19" s="266" t="s">
        <v>15132</v>
      </c>
      <c r="H19" s="266" t="s">
        <v>14635</v>
      </c>
    </row>
    <row r="20" spans="1:12" x14ac:dyDescent="0.3">
      <c r="A20" s="310"/>
      <c r="B20" s="310"/>
      <c r="C20" s="266" t="s">
        <v>15133</v>
      </c>
      <c r="D20" s="308">
        <v>0.03</v>
      </c>
      <c r="E20" s="266" t="s">
        <v>15134</v>
      </c>
      <c r="F20" s="266" t="s">
        <v>15135</v>
      </c>
      <c r="G20" s="266" t="s">
        <v>1106</v>
      </c>
      <c r="H20" s="266" t="s">
        <v>15136</v>
      </c>
    </row>
    <row r="21" spans="1:12" x14ac:dyDescent="0.3">
      <c r="A21" s="311" t="s">
        <v>14778</v>
      </c>
      <c r="B21" s="311"/>
      <c r="C21" s="264" t="s">
        <v>15137</v>
      </c>
      <c r="D21" s="312">
        <v>0.01</v>
      </c>
      <c r="E21" s="264" t="s">
        <v>15138</v>
      </c>
      <c r="F21" s="264" t="s">
        <v>988</v>
      </c>
      <c r="G21" s="264" t="s">
        <v>15139</v>
      </c>
      <c r="H21" s="264" t="s">
        <v>1569</v>
      </c>
      <c r="J21" s="313" t="s">
        <v>15140</v>
      </c>
      <c r="K21" s="264"/>
      <c r="L21" s="264"/>
    </row>
    <row r="22" spans="1:12" x14ac:dyDescent="0.3">
      <c r="A22" s="314"/>
      <c r="B22" s="314"/>
      <c r="C22" s="264" t="s">
        <v>15141</v>
      </c>
      <c r="D22" s="312">
        <v>1.4999999999999999E-2</v>
      </c>
      <c r="E22" s="264" t="s">
        <v>15142</v>
      </c>
      <c r="F22" s="264" t="s">
        <v>15143</v>
      </c>
      <c r="G22" s="264" t="s">
        <v>15144</v>
      </c>
      <c r="H22" s="264" t="s">
        <v>15145</v>
      </c>
      <c r="J22" s="315" t="s">
        <v>14732</v>
      </c>
      <c r="K22" s="315" t="s">
        <v>14940</v>
      </c>
      <c r="L22" s="315" t="s">
        <v>15146</v>
      </c>
    </row>
    <row r="23" spans="1:12" x14ac:dyDescent="0.3">
      <c r="A23" s="316"/>
      <c r="B23" s="316"/>
      <c r="C23" s="264" t="s">
        <v>15147</v>
      </c>
      <c r="D23" s="312">
        <v>1.4999999999999999E-2</v>
      </c>
      <c r="E23" s="264" t="s">
        <v>15148</v>
      </c>
      <c r="F23" s="264" t="s">
        <v>15149</v>
      </c>
      <c r="G23" s="264" t="s">
        <v>15144</v>
      </c>
      <c r="H23" s="264" t="s">
        <v>15145</v>
      </c>
      <c r="J23" s="268" t="s">
        <v>14937</v>
      </c>
      <c r="K23" s="268" t="s">
        <v>14936</v>
      </c>
      <c r="L23" s="268" t="s">
        <v>15083</v>
      </c>
    </row>
    <row r="24" spans="1:12" x14ac:dyDescent="0.3">
      <c r="A24" s="317" t="s">
        <v>14813</v>
      </c>
      <c r="B24" s="317"/>
      <c r="C24" s="262" t="s">
        <v>15150</v>
      </c>
      <c r="D24" s="318">
        <v>0.02</v>
      </c>
      <c r="E24" s="262" t="s">
        <v>15151</v>
      </c>
      <c r="F24" s="262" t="s">
        <v>15152</v>
      </c>
      <c r="G24" s="262" t="s">
        <v>15153</v>
      </c>
      <c r="H24" s="262" t="s">
        <v>15154</v>
      </c>
      <c r="J24" s="299" t="s">
        <v>14934</v>
      </c>
      <c r="K24" s="299" t="s">
        <v>14933</v>
      </c>
      <c r="L24" s="299" t="s">
        <v>14932</v>
      </c>
    </row>
    <row r="25" spans="1:12" x14ac:dyDescent="0.3">
      <c r="A25" s="319"/>
      <c r="B25" s="319"/>
      <c r="C25" s="262" t="s">
        <v>15155</v>
      </c>
      <c r="D25" s="318">
        <v>0.03</v>
      </c>
      <c r="E25" s="262" t="s">
        <v>15156</v>
      </c>
      <c r="F25" s="262" t="s">
        <v>15157</v>
      </c>
      <c r="G25" s="262" t="s">
        <v>15158</v>
      </c>
      <c r="H25" s="262" t="s">
        <v>14340</v>
      </c>
      <c r="J25" s="298" t="s">
        <v>14931</v>
      </c>
      <c r="K25" s="298" t="s">
        <v>14930</v>
      </c>
      <c r="L25" s="298" t="s">
        <v>15072</v>
      </c>
    </row>
    <row r="26" spans="1:12" x14ac:dyDescent="0.3">
      <c r="A26" s="319"/>
      <c r="B26" s="319"/>
      <c r="C26" s="262" t="s">
        <v>15159</v>
      </c>
      <c r="D26" s="318">
        <v>0.04</v>
      </c>
      <c r="E26" s="262" t="s">
        <v>15160</v>
      </c>
      <c r="F26" s="262" t="s">
        <v>15161</v>
      </c>
      <c r="G26" s="262" t="s">
        <v>15162</v>
      </c>
      <c r="H26" s="262" t="s">
        <v>15163</v>
      </c>
      <c r="J26" s="266" t="s">
        <v>14927</v>
      </c>
      <c r="K26" s="266" t="s">
        <v>14926</v>
      </c>
      <c r="L26" s="266" t="s">
        <v>15066</v>
      </c>
    </row>
    <row r="27" spans="1:12" x14ac:dyDescent="0.3">
      <c r="A27" s="319"/>
      <c r="B27" s="319"/>
      <c r="C27" s="262" t="s">
        <v>15164</v>
      </c>
      <c r="D27" s="318">
        <v>0.03</v>
      </c>
      <c r="E27" s="262" t="s">
        <v>15165</v>
      </c>
      <c r="F27" s="262">
        <v>0</v>
      </c>
      <c r="G27" s="262" t="s">
        <v>15080</v>
      </c>
      <c r="H27" s="262" t="s">
        <v>66</v>
      </c>
      <c r="J27" s="292" t="s">
        <v>14924</v>
      </c>
      <c r="K27" s="292" t="s">
        <v>14923</v>
      </c>
      <c r="L27" s="292" t="s">
        <v>15166</v>
      </c>
    </row>
    <row r="28" spans="1:12" x14ac:dyDescent="0.3">
      <c r="A28" s="320"/>
      <c r="B28" s="320"/>
      <c r="C28" s="262" t="s">
        <v>15167</v>
      </c>
      <c r="D28" s="318">
        <v>0.02</v>
      </c>
      <c r="E28" s="262" t="s">
        <v>15168</v>
      </c>
      <c r="F28" s="262">
        <v>0</v>
      </c>
      <c r="G28" s="262" t="s">
        <v>15080</v>
      </c>
      <c r="H28" s="262" t="s">
        <v>15169</v>
      </c>
    </row>
    <row r="29" spans="1:12" x14ac:dyDescent="0.3">
      <c r="A29" s="321" t="s">
        <v>15170</v>
      </c>
      <c r="B29" s="321"/>
      <c r="C29" s="260" t="s">
        <v>15171</v>
      </c>
      <c r="D29" s="322">
        <v>0.03</v>
      </c>
      <c r="E29" s="260" t="s">
        <v>15172</v>
      </c>
      <c r="F29" s="260">
        <v>0</v>
      </c>
      <c r="G29" s="260" t="s">
        <v>15080</v>
      </c>
      <c r="H29" s="260" t="s">
        <v>15173</v>
      </c>
    </row>
    <row r="30" spans="1:12" x14ac:dyDescent="0.3">
      <c r="A30" s="323"/>
      <c r="B30" s="323"/>
      <c r="C30" s="260" t="s">
        <v>15174</v>
      </c>
      <c r="D30" s="322">
        <v>0.02</v>
      </c>
      <c r="E30" s="260" t="s">
        <v>15175</v>
      </c>
      <c r="F30" s="260">
        <v>0</v>
      </c>
      <c r="G30" s="260" t="s">
        <v>15080</v>
      </c>
      <c r="H30" s="260" t="s">
        <v>66</v>
      </c>
    </row>
    <row r="31" spans="1:12" x14ac:dyDescent="0.3">
      <c r="A31" s="323"/>
      <c r="B31" s="323"/>
      <c r="C31" s="260" t="s">
        <v>15176</v>
      </c>
      <c r="D31" s="322">
        <v>0.02</v>
      </c>
      <c r="E31" s="260" t="s">
        <v>15177</v>
      </c>
      <c r="F31" s="260" t="s">
        <v>15178</v>
      </c>
      <c r="G31" s="260" t="s">
        <v>15179</v>
      </c>
      <c r="H31" s="260" t="s">
        <v>15180</v>
      </c>
    </row>
    <row r="32" spans="1:12" x14ac:dyDescent="0.3">
      <c r="A32" s="324"/>
      <c r="B32" s="324"/>
      <c r="C32" s="260" t="s">
        <v>15181</v>
      </c>
      <c r="D32" s="322">
        <v>0.02</v>
      </c>
      <c r="E32" s="260" t="s">
        <v>15182</v>
      </c>
      <c r="F32" s="260" t="s">
        <v>15183</v>
      </c>
      <c r="G32" s="260" t="s">
        <v>15184</v>
      </c>
      <c r="H32" s="260" t="s">
        <v>15185</v>
      </c>
    </row>
    <row r="33" spans="1:8" x14ac:dyDescent="0.3">
      <c r="A33" s="325" t="s">
        <v>14807</v>
      </c>
      <c r="B33" s="326"/>
      <c r="C33" s="222" t="s">
        <v>1474</v>
      </c>
      <c r="D33" s="327">
        <v>0.02</v>
      </c>
      <c r="E33" s="222" t="s">
        <v>15186</v>
      </c>
      <c r="F33" s="222" t="s">
        <v>15187</v>
      </c>
      <c r="G33" s="222" t="s">
        <v>15188</v>
      </c>
      <c r="H33" s="222" t="s">
        <v>15189</v>
      </c>
    </row>
    <row r="34" spans="1:8" x14ac:dyDescent="0.3">
      <c r="A34" s="328"/>
      <c r="B34" s="329"/>
      <c r="C34" s="222" t="s">
        <v>15190</v>
      </c>
      <c r="D34" s="327">
        <v>0.02</v>
      </c>
      <c r="E34" s="222" t="s">
        <v>15191</v>
      </c>
      <c r="F34" s="222" t="s">
        <v>15091</v>
      </c>
      <c r="G34" s="222" t="s">
        <v>15192</v>
      </c>
      <c r="H34" s="222" t="s">
        <v>15193</v>
      </c>
    </row>
    <row r="35" spans="1:8" x14ac:dyDescent="0.3">
      <c r="A35" s="328"/>
      <c r="B35" s="329"/>
      <c r="C35" s="222" t="s">
        <v>15194</v>
      </c>
      <c r="D35" s="327">
        <v>1.4999999999999999E-2</v>
      </c>
      <c r="E35" s="222" t="s">
        <v>15195</v>
      </c>
      <c r="F35" s="222" t="s">
        <v>15196</v>
      </c>
      <c r="G35" s="222" t="s">
        <v>15197</v>
      </c>
      <c r="H35" s="222" t="s">
        <v>14344</v>
      </c>
    </row>
    <row r="36" spans="1:8" x14ac:dyDescent="0.3">
      <c r="A36" s="328"/>
      <c r="B36" s="329"/>
      <c r="C36" s="222" t="s">
        <v>15198</v>
      </c>
      <c r="D36" s="327">
        <v>5.0000000000000001E-3</v>
      </c>
      <c r="E36" s="222" t="s">
        <v>15199</v>
      </c>
      <c r="F36" s="222" t="s">
        <v>1720</v>
      </c>
      <c r="G36" s="222" t="s">
        <v>15200</v>
      </c>
      <c r="H36" s="222" t="s">
        <v>15201</v>
      </c>
    </row>
    <row r="37" spans="1:8" x14ac:dyDescent="0.3">
      <c r="A37" s="328"/>
      <c r="B37" s="329"/>
      <c r="C37" s="222" t="s">
        <v>15202</v>
      </c>
      <c r="D37" s="327">
        <v>0.02</v>
      </c>
      <c r="E37" s="222" t="s">
        <v>15203</v>
      </c>
      <c r="F37" s="222" t="s">
        <v>15204</v>
      </c>
      <c r="G37" s="222" t="s">
        <v>15205</v>
      </c>
      <c r="H37" s="222" t="s">
        <v>15189</v>
      </c>
    </row>
    <row r="38" spans="1:8" x14ac:dyDescent="0.3">
      <c r="A38" s="330"/>
      <c r="B38" s="331"/>
      <c r="C38" s="222" t="s">
        <v>15206</v>
      </c>
      <c r="D38" s="327">
        <v>1.4999999999999999E-2</v>
      </c>
      <c r="E38" s="222" t="s">
        <v>15207</v>
      </c>
      <c r="F38" s="222" t="s">
        <v>15091</v>
      </c>
      <c r="G38" s="222" t="s">
        <v>15192</v>
      </c>
      <c r="H38" s="222" t="s">
        <v>15208</v>
      </c>
    </row>
    <row r="39" spans="1:8" x14ac:dyDescent="0.3">
      <c r="A39" s="332" t="s">
        <v>14805</v>
      </c>
      <c r="B39" s="333"/>
      <c r="C39" s="257" t="s">
        <v>15209</v>
      </c>
      <c r="D39" s="334">
        <v>0.02</v>
      </c>
      <c r="E39" s="257" t="s">
        <v>15210</v>
      </c>
      <c r="F39" s="257" t="s">
        <v>15131</v>
      </c>
      <c r="G39" s="257" t="s">
        <v>15132</v>
      </c>
      <c r="H39" s="257" t="s">
        <v>15211</v>
      </c>
    </row>
    <row r="40" spans="1:8" x14ac:dyDescent="0.3">
      <c r="A40" s="335"/>
      <c r="B40" s="336"/>
      <c r="C40" s="257" t="s">
        <v>15212</v>
      </c>
      <c r="D40" s="334">
        <v>0.02</v>
      </c>
      <c r="E40" s="257" t="s">
        <v>15213</v>
      </c>
      <c r="F40" s="257" t="s">
        <v>15214</v>
      </c>
      <c r="G40" s="257" t="s">
        <v>15215</v>
      </c>
      <c r="H40" s="257" t="s">
        <v>15216</v>
      </c>
    </row>
    <row r="41" spans="1:8" x14ac:dyDescent="0.3">
      <c r="A41" s="337" t="s">
        <v>14803</v>
      </c>
      <c r="B41" s="338"/>
      <c r="C41" s="255" t="s">
        <v>15217</v>
      </c>
      <c r="D41" s="339">
        <v>1.4999999999999999E-2</v>
      </c>
      <c r="E41" s="255" t="s">
        <v>15218</v>
      </c>
      <c r="F41" s="255" t="s">
        <v>15219</v>
      </c>
      <c r="G41" s="255" t="s">
        <v>15144</v>
      </c>
      <c r="H41" s="255" t="s">
        <v>15220</v>
      </c>
    </row>
    <row r="42" spans="1:8" ht="34.950000000000003" customHeight="1" x14ac:dyDescent="0.3">
      <c r="A42" s="340"/>
      <c r="B42" s="341"/>
      <c r="C42" s="255" t="s">
        <v>15221</v>
      </c>
      <c r="D42" s="339">
        <v>1.4999999999999999E-2</v>
      </c>
      <c r="E42" s="255" t="s">
        <v>15222</v>
      </c>
      <c r="F42" s="255" t="s">
        <v>15149</v>
      </c>
      <c r="G42" s="255" t="s">
        <v>15223</v>
      </c>
      <c r="H42" s="255" t="s">
        <v>15224</v>
      </c>
    </row>
    <row r="43" spans="1:8" x14ac:dyDescent="0.3">
      <c r="A43" s="340"/>
      <c r="B43" s="341"/>
      <c r="C43" s="255" t="s">
        <v>15225</v>
      </c>
      <c r="D43" s="339">
        <v>5.0000000000000001E-3</v>
      </c>
      <c r="E43" s="255" t="s">
        <v>15226</v>
      </c>
      <c r="F43" s="255" t="s">
        <v>15227</v>
      </c>
      <c r="G43" s="255" t="s">
        <v>15228</v>
      </c>
      <c r="H43" s="255" t="s">
        <v>15229</v>
      </c>
    </row>
    <row r="44" spans="1:8" x14ac:dyDescent="0.3">
      <c r="A44" s="340"/>
      <c r="B44" s="341"/>
      <c r="C44" s="255" t="s">
        <v>15230</v>
      </c>
      <c r="D44" s="339">
        <v>5.0000000000000001E-3</v>
      </c>
      <c r="E44" s="255" t="s">
        <v>15231</v>
      </c>
      <c r="F44" s="255" t="s">
        <v>15232</v>
      </c>
      <c r="G44" s="255" t="s">
        <v>15233</v>
      </c>
      <c r="H44" s="255" t="s">
        <v>15234</v>
      </c>
    </row>
    <row r="45" spans="1:8" x14ac:dyDescent="0.3">
      <c r="A45" s="340"/>
      <c r="B45" s="341"/>
      <c r="C45" s="255" t="s">
        <v>15235</v>
      </c>
      <c r="D45" s="339">
        <v>5.0000000000000001E-3</v>
      </c>
      <c r="E45" s="255" t="s">
        <v>15236</v>
      </c>
      <c r="F45" s="255" t="s">
        <v>15237</v>
      </c>
      <c r="G45" s="255" t="s">
        <v>15238</v>
      </c>
      <c r="H45" s="255" t="s">
        <v>15239</v>
      </c>
    </row>
    <row r="46" spans="1:8" x14ac:dyDescent="0.3">
      <c r="A46" s="342"/>
      <c r="B46" s="343"/>
      <c r="C46" s="255" t="s">
        <v>15240</v>
      </c>
      <c r="D46" s="339">
        <v>5.0000000000000001E-3</v>
      </c>
      <c r="E46" s="255" t="s">
        <v>15241</v>
      </c>
      <c r="F46" s="255">
        <v>0</v>
      </c>
      <c r="G46" s="255" t="s">
        <v>15242</v>
      </c>
      <c r="H46" s="255" t="s">
        <v>15243</v>
      </c>
    </row>
    <row r="47" spans="1:8" x14ac:dyDescent="0.3">
      <c r="A47" s="344" t="s">
        <v>14800</v>
      </c>
      <c r="B47" s="345"/>
      <c r="C47" s="223" t="s">
        <v>15244</v>
      </c>
      <c r="D47" s="346">
        <v>0.01</v>
      </c>
      <c r="E47" s="223" t="s">
        <v>15245</v>
      </c>
      <c r="F47" s="223" t="s">
        <v>14689</v>
      </c>
      <c r="G47" s="223" t="s">
        <v>14697</v>
      </c>
      <c r="H47" s="223" t="s">
        <v>15246</v>
      </c>
    </row>
    <row r="48" spans="1:8" x14ac:dyDescent="0.3">
      <c r="A48" s="347"/>
      <c r="B48" s="348"/>
      <c r="C48" s="223" t="s">
        <v>15247</v>
      </c>
      <c r="D48" s="346">
        <v>0.01</v>
      </c>
      <c r="E48" s="223" t="s">
        <v>15248</v>
      </c>
      <c r="F48" s="223" t="s">
        <v>15249</v>
      </c>
      <c r="G48" s="223" t="s">
        <v>15250</v>
      </c>
      <c r="H48" s="223" t="s">
        <v>15251</v>
      </c>
    </row>
    <row r="50" spans="1:4" x14ac:dyDescent="0.3">
      <c r="A50" s="349" t="s">
        <v>15252</v>
      </c>
      <c r="B50" s="349"/>
      <c r="C50" s="350"/>
      <c r="D50" s="350"/>
    </row>
    <row r="51" spans="1:4" x14ac:dyDescent="0.3">
      <c r="A51" s="315" t="s">
        <v>1397</v>
      </c>
      <c r="B51" s="315"/>
      <c r="C51" s="315" t="s">
        <v>15054</v>
      </c>
      <c r="D51" s="315" t="s">
        <v>15253</v>
      </c>
    </row>
    <row r="52" spans="1:4" x14ac:dyDescent="0.3">
      <c r="A52" s="270" t="s">
        <v>14822</v>
      </c>
      <c r="B52" s="270"/>
      <c r="C52" s="271">
        <v>0.18</v>
      </c>
      <c r="D52" s="270" t="s">
        <v>14812</v>
      </c>
    </row>
    <row r="53" spans="1:4" x14ac:dyDescent="0.3">
      <c r="A53" s="268" t="s">
        <v>14820</v>
      </c>
      <c r="B53" s="268"/>
      <c r="C53" s="269">
        <v>0.26</v>
      </c>
      <c r="D53" s="268" t="s">
        <v>14819</v>
      </c>
    </row>
    <row r="54" spans="1:4" x14ac:dyDescent="0.3">
      <c r="A54" s="266" t="s">
        <v>14817</v>
      </c>
      <c r="B54" s="266"/>
      <c r="C54" s="267">
        <v>0.08</v>
      </c>
      <c r="D54" s="266" t="s">
        <v>14815</v>
      </c>
    </row>
    <row r="55" spans="1:4" x14ac:dyDescent="0.3">
      <c r="A55" s="264" t="s">
        <v>14778</v>
      </c>
      <c r="B55" s="264"/>
      <c r="C55" s="265">
        <v>0.04</v>
      </c>
      <c r="D55" s="264" t="s">
        <v>14815</v>
      </c>
    </row>
    <row r="56" spans="1:4" ht="18" x14ac:dyDescent="0.35">
      <c r="A56" s="351" t="s">
        <v>14813</v>
      </c>
      <c r="B56" s="351"/>
      <c r="C56" s="263">
        <v>0.14000000000000001</v>
      </c>
      <c r="D56" s="262" t="s">
        <v>14812</v>
      </c>
    </row>
    <row r="57" spans="1:4" x14ac:dyDescent="0.3">
      <c r="A57" s="260" t="s">
        <v>15170</v>
      </c>
      <c r="B57" s="260"/>
      <c r="C57" s="261">
        <v>0.09</v>
      </c>
      <c r="D57" s="260" t="s">
        <v>14809</v>
      </c>
    </row>
    <row r="58" spans="1:4" x14ac:dyDescent="0.3">
      <c r="A58" s="352" t="s">
        <v>14807</v>
      </c>
      <c r="B58" s="352"/>
      <c r="C58" s="259">
        <v>0.1</v>
      </c>
      <c r="D58" s="222" t="s">
        <v>14802</v>
      </c>
    </row>
    <row r="59" spans="1:4" x14ac:dyDescent="0.3">
      <c r="A59" s="353" t="s">
        <v>14805</v>
      </c>
      <c r="B59" s="353"/>
      <c r="C59" s="258">
        <v>0.04</v>
      </c>
      <c r="D59" s="257" t="s">
        <v>14799</v>
      </c>
    </row>
    <row r="60" spans="1:4" x14ac:dyDescent="0.3">
      <c r="A60" s="354" t="s">
        <v>14803</v>
      </c>
      <c r="B60" s="354"/>
      <c r="C60" s="256">
        <v>0.05</v>
      </c>
      <c r="D60" s="255" t="s">
        <v>14802</v>
      </c>
    </row>
    <row r="61" spans="1:4" x14ac:dyDescent="0.3">
      <c r="A61" s="355" t="s">
        <v>14800</v>
      </c>
      <c r="B61" s="355"/>
      <c r="C61" s="254">
        <v>0.02</v>
      </c>
      <c r="D61" s="223" t="s">
        <v>14799</v>
      </c>
    </row>
    <row r="62" spans="1:4" x14ac:dyDescent="0.3">
      <c r="A62" s="253" t="s">
        <v>4458</v>
      </c>
      <c r="B62" s="253"/>
      <c r="C62" s="356">
        <v>1</v>
      </c>
      <c r="D62" s="253" t="s">
        <v>15023</v>
      </c>
    </row>
    <row r="63" spans="1:4" x14ac:dyDescent="0.3">
      <c r="A63" s="357" t="s">
        <v>15254</v>
      </c>
      <c r="B63" s="357"/>
    </row>
    <row r="65" spans="1:51" ht="30" customHeight="1" x14ac:dyDescent="0.3"/>
    <row r="66" spans="1:51" ht="25.05" customHeight="1" x14ac:dyDescent="0.35">
      <c r="A66" s="358" t="s">
        <v>15255</v>
      </c>
      <c r="B66" s="358"/>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19"/>
      <c r="AH66" s="219"/>
      <c r="AI66" s="219"/>
      <c r="AJ66" s="219"/>
      <c r="AK66" s="219"/>
      <c r="AL66" s="219"/>
      <c r="AM66" s="219"/>
      <c r="AN66" s="219"/>
      <c r="AO66" s="219"/>
      <c r="AP66" s="219"/>
      <c r="AQ66" s="219"/>
      <c r="AR66" s="219"/>
      <c r="AS66" s="219"/>
      <c r="AT66" s="219"/>
      <c r="AU66" s="219"/>
      <c r="AV66" s="219"/>
      <c r="AW66" s="219"/>
      <c r="AX66" s="219"/>
      <c r="AY66" s="219"/>
    </row>
    <row r="67" spans="1:51" ht="22.05" customHeight="1" x14ac:dyDescent="0.3">
      <c r="A67" s="359" t="s">
        <v>1537</v>
      </c>
      <c r="B67" s="359"/>
      <c r="C67" s="359" t="s">
        <v>1541</v>
      </c>
      <c r="D67" s="359" t="s">
        <v>15256</v>
      </c>
      <c r="E67" s="359" t="s">
        <v>15257</v>
      </c>
      <c r="F67" s="359" t="s">
        <v>15060</v>
      </c>
      <c r="G67" s="359" t="s">
        <v>15258</v>
      </c>
      <c r="H67" s="359" t="s">
        <v>15259</v>
      </c>
      <c r="I67" s="359" t="s">
        <v>15260</v>
      </c>
      <c r="J67" s="359" t="s">
        <v>15261</v>
      </c>
      <c r="K67" s="359" t="s">
        <v>15089</v>
      </c>
      <c r="L67" s="359" t="s">
        <v>14976</v>
      </c>
      <c r="M67" s="359" t="s">
        <v>15262</v>
      </c>
      <c r="N67" s="359" t="s">
        <v>15106</v>
      </c>
      <c r="O67" s="359" t="s">
        <v>14975</v>
      </c>
      <c r="P67" s="359" t="s">
        <v>15112</v>
      </c>
      <c r="Q67" s="359" t="s">
        <v>15116</v>
      </c>
      <c r="R67" s="359" t="s">
        <v>15121</v>
      </c>
      <c r="S67" s="359" t="s">
        <v>15263</v>
      </c>
      <c r="T67" s="359" t="s">
        <v>15264</v>
      </c>
      <c r="U67" s="359" t="s">
        <v>15133</v>
      </c>
      <c r="V67" s="359" t="s">
        <v>15265</v>
      </c>
      <c r="W67" s="359" t="s">
        <v>15266</v>
      </c>
      <c r="X67" s="359" t="s">
        <v>15267</v>
      </c>
      <c r="Y67" s="359" t="s">
        <v>15268</v>
      </c>
      <c r="Z67" s="359" t="s">
        <v>15269</v>
      </c>
      <c r="AA67" s="359" t="s">
        <v>15270</v>
      </c>
      <c r="AB67" s="359" t="s">
        <v>15271</v>
      </c>
      <c r="AC67" s="359" t="s">
        <v>15272</v>
      </c>
      <c r="AD67" s="359" t="s">
        <v>15273</v>
      </c>
      <c r="AE67" s="359" t="s">
        <v>15274</v>
      </c>
      <c r="AF67" s="359" t="s">
        <v>15275</v>
      </c>
      <c r="AG67" s="359" t="s">
        <v>15276</v>
      </c>
      <c r="AH67" s="359" t="s">
        <v>1474</v>
      </c>
      <c r="AI67" s="359" t="s">
        <v>15277</v>
      </c>
      <c r="AJ67" s="359" t="s">
        <v>15278</v>
      </c>
      <c r="AK67" s="359" t="s">
        <v>15279</v>
      </c>
      <c r="AL67" s="359" t="s">
        <v>15280</v>
      </c>
      <c r="AM67" s="359" t="s">
        <v>15281</v>
      </c>
      <c r="AN67" s="359" t="s">
        <v>15282</v>
      </c>
      <c r="AO67" s="359" t="s">
        <v>15212</v>
      </c>
      <c r="AP67" s="359" t="s">
        <v>15283</v>
      </c>
      <c r="AQ67" s="359" t="s">
        <v>15284</v>
      </c>
      <c r="AR67" s="359" t="s">
        <v>15235</v>
      </c>
      <c r="AS67" s="359" t="s">
        <v>15285</v>
      </c>
      <c r="AT67" s="359" t="s">
        <v>15217</v>
      </c>
      <c r="AU67" s="359" t="s">
        <v>15286</v>
      </c>
      <c r="AV67" s="359" t="s">
        <v>15244</v>
      </c>
      <c r="AW67" s="359" t="s">
        <v>15287</v>
      </c>
      <c r="AX67" s="360" t="s">
        <v>15288</v>
      </c>
      <c r="AY67" s="360" t="s">
        <v>15289</v>
      </c>
    </row>
    <row r="68" spans="1:51" x14ac:dyDescent="0.3">
      <c r="A68" s="224" t="s">
        <v>15290</v>
      </c>
      <c r="B68" s="224"/>
      <c r="C68" s="224" t="s">
        <v>15291</v>
      </c>
      <c r="D68" s="361">
        <v>46203</v>
      </c>
      <c r="E68" s="224">
        <v>5</v>
      </c>
      <c r="F68" s="224">
        <v>12</v>
      </c>
      <c r="G68" s="224">
        <v>320</v>
      </c>
      <c r="H68" s="224">
        <v>0</v>
      </c>
      <c r="I68" s="224">
        <v>0</v>
      </c>
      <c r="J68" s="224">
        <v>1</v>
      </c>
      <c r="K68" s="224">
        <v>85</v>
      </c>
      <c r="L68" s="224">
        <v>3</v>
      </c>
      <c r="M68" s="224">
        <v>2</v>
      </c>
      <c r="N68" s="224">
        <v>100</v>
      </c>
      <c r="O68" s="224">
        <v>2</v>
      </c>
      <c r="P68" s="224">
        <v>0</v>
      </c>
      <c r="Q68" s="224">
        <v>4</v>
      </c>
      <c r="R68" s="224">
        <v>4</v>
      </c>
      <c r="S68" s="224">
        <v>0</v>
      </c>
      <c r="T68" s="224">
        <v>4</v>
      </c>
      <c r="U68" s="224">
        <v>5</v>
      </c>
      <c r="V68" s="224">
        <v>0</v>
      </c>
      <c r="W68" s="224">
        <v>5</v>
      </c>
      <c r="X68" s="224">
        <v>5</v>
      </c>
      <c r="Y68" s="224">
        <v>2</v>
      </c>
      <c r="Z68" s="224">
        <v>2</v>
      </c>
      <c r="AA68" s="224">
        <v>30</v>
      </c>
      <c r="AB68" s="224">
        <v>5</v>
      </c>
      <c r="AC68" s="224">
        <v>1</v>
      </c>
      <c r="AD68" s="224">
        <v>2</v>
      </c>
      <c r="AE68" s="224">
        <v>5</v>
      </c>
      <c r="AF68" s="224">
        <v>0</v>
      </c>
      <c r="AG68" s="224">
        <v>5</v>
      </c>
      <c r="AH68" s="224">
        <v>4</v>
      </c>
      <c r="AI68" s="224">
        <v>4</v>
      </c>
      <c r="AJ68" s="224">
        <v>4</v>
      </c>
      <c r="AK68" s="224">
        <v>4</v>
      </c>
      <c r="AL68" s="224">
        <v>15</v>
      </c>
      <c r="AM68" s="224">
        <v>90</v>
      </c>
      <c r="AN68" s="224">
        <v>5</v>
      </c>
      <c r="AO68" s="224">
        <v>5</v>
      </c>
      <c r="AP68" s="224">
        <v>5</v>
      </c>
      <c r="AQ68" s="224">
        <v>0</v>
      </c>
      <c r="AR68" s="224">
        <v>90</v>
      </c>
      <c r="AS68" s="224">
        <v>0</v>
      </c>
      <c r="AT68" s="224">
        <v>5</v>
      </c>
      <c r="AU68" s="224">
        <v>4</v>
      </c>
      <c r="AV68" s="224">
        <v>1</v>
      </c>
      <c r="AW68" s="224">
        <v>500</v>
      </c>
      <c r="AX68" s="304">
        <f>ROUND((IF(F68&lt;10,1,IF(F68&lt;30,2,IF(F68&lt;60,3,IF(F68&lt;100,4,5))))*0.04)+(IF(G68&lt;200,1,IF(G68&lt;500,2,IF(G68&lt;1500,3,IF(G68&lt;3000,4,5))))*0.03)+(IF(H68=0,1,IF(H68=1,2,IF(H68=2,3,IF(H68&lt;5,4,5))))*0.05)+(IF(I68=0,1,IF(I68=1,2,IF(I68=2,3,IF(I68=3,4,5))))*0.04)+(J68*0.02)+(IF(K68&gt;90,1,IF(K68&gt;80,2,IF(K68&gt;70,3,IF(K68&gt;60,4,5))))*0.06)+(IF(L68&lt;3,1,IF(L68&lt;5,2,IF(L68&lt;7,3,IF(L68&lt;10,4,5))))*0.03)+(IF(M68&lt;3,1,IF(M68&lt;6,2,IF(M68&lt;10,3,IF(M68&lt;15,4,5))))*0.04)+(IF(N68&gt;95,1,IF(N68&gt;85,2,IF(N68&gt;75,3,IF(N68&gt;60,4,5))))*0.02)+(IF(O68&lt;3,1,IF(O68&lt;5,2,IF(O68&lt;7,3,IF(O68&lt;10,4,5))))*0.03)+(IF(P68&lt;2,1,IF(P68&lt;4,2,IF(P68&lt;7,3,IF(P68&lt;10,4,5))))*0.02)+((6-Q68)*0.03)+((6-R68)*0.02)+(IF(S68=0,1,IF(S68&lt;3,2,IF(S68&lt;5,3,IF(S68&lt;10,4,5))))*0.03)+((6-T68)*0.03)+((6-U68)*0.02)+(IF(V68=0,1,3)*0.015)+((6-W68)*0.01)+((6-X68)*0.015)+(IF(Y68&lt;3,1,IF(Y68&lt;6,2,IF(Y68&lt;10,3,IF(Y68&lt;15,4,5))))*0.02)+(IF(Z68&lt;2,1,IF(Z68&lt;4,2,IF(Z68&lt;6,3,IF(Z68&lt;8,4,5))))*0.03)+(IF(AA68&gt;14,1,IF(AA68&gt;7,2,IF(AA68&gt;3,3,IF(AA68&gt;1,4,5))))*0.03)+((6-AB68)*0.03)+(IF(AC68=0,1,IF(AC68=1,2,IF(AC68=2,3,IF(AC68=3,4,5))))*0.03)+(IF(AD68&lt;2,1,IF(AD68&lt;4,2,IF(AD68&lt;6,3,IF(AD68&lt;8,4,5))))*0.03)+((6-AE68)*0.02)+(IF(AF68=0,1,IF(AF68=1,3,5))*0.02)+((6-AG68)*0.02)+((6-AH68)*0.02)+((6-AI68)*0.015)+((6-AJ68)*0.015)+((6-AK68)*0.015)+(IF(AL68&lt;15,1,IF(AL68&lt;30,2,IF(AL68&lt;60,3,IF(AL68&lt;120,4,5))))*0.02)+(IF(AM68&gt;90,1,IF(AM68&gt;75,2,IF(AM68&gt;50,3,IF(AM68&gt;25,4,5))))*0.015)+((6-AN68)*0.02)+(IF(AO68&lt;5,1,IF(AO68&lt;10,2,IF(AO68&lt;15,3,IF(AO68&lt;25,4,5))))*0.02)+((6-AP68)*0.01)+(IF(AQ68&lt;2,1,IF(AQ68&lt;5,2,IF(AQ68&lt;10,3,IF(AQ68&lt;20,4,5))))*0.008)+(IF(AR68&gt;60,1,IF(AR68&gt;30,2,IF(AR68&gt;14,3,IF(AR68&gt;7,4,5))))*0.008)+(IF(AS68=0,1,IF(AS68=1,2,IF(AS68=2,3,IF(AS68=3,4,5))))*0.01)+((6-AT68)*0.008)+((6-AU68)*0.008)+(AV68*0.01)+(IF(AW68&lt;1000,1,IF(AW68&lt;5000,2,IF(AW68&lt;20000,3,IF(AW68&lt;50000,4,5))))*0.01),2)</f>
        <v>1.45</v>
      </c>
      <c r="AY68" s="362" t="str">
        <f>IF(AX68&gt;=4,"SEVERE",IF(AX68&gt;=3.5,"CRITICAL",IF(AX68&gt;=2.5,"HIGH",IF(AX68&gt;=1.5,"MEDIUM","LOW"))))</f>
        <v>LOW</v>
      </c>
    </row>
    <row r="69" spans="1:51" x14ac:dyDescent="0.3">
      <c r="A69" s="224" t="s">
        <v>15292</v>
      </c>
      <c r="B69" s="224"/>
      <c r="C69" s="224" t="s">
        <v>15293</v>
      </c>
      <c r="D69" s="361">
        <v>46207</v>
      </c>
      <c r="E69" s="224">
        <v>9</v>
      </c>
      <c r="F69" s="224">
        <v>45</v>
      </c>
      <c r="G69" s="224">
        <v>1200</v>
      </c>
      <c r="H69" s="224">
        <v>1</v>
      </c>
      <c r="I69" s="224">
        <v>1</v>
      </c>
      <c r="J69" s="224">
        <v>2</v>
      </c>
      <c r="K69" s="224">
        <v>72</v>
      </c>
      <c r="L69" s="224">
        <v>5</v>
      </c>
      <c r="M69" s="224">
        <v>8</v>
      </c>
      <c r="N69" s="224">
        <v>90</v>
      </c>
      <c r="O69" s="224">
        <v>4</v>
      </c>
      <c r="P69" s="224">
        <v>3</v>
      </c>
      <c r="Q69" s="224">
        <v>3</v>
      </c>
      <c r="R69" s="224">
        <v>3</v>
      </c>
      <c r="S69" s="224">
        <v>2</v>
      </c>
      <c r="T69" s="224">
        <v>3</v>
      </c>
      <c r="U69" s="224">
        <v>4</v>
      </c>
      <c r="V69" s="224">
        <v>0</v>
      </c>
      <c r="W69" s="224">
        <v>4</v>
      </c>
      <c r="X69" s="224">
        <v>5</v>
      </c>
      <c r="Y69" s="224">
        <v>5</v>
      </c>
      <c r="Z69" s="224">
        <v>3</v>
      </c>
      <c r="AA69" s="224">
        <v>20</v>
      </c>
      <c r="AB69" s="224">
        <v>4</v>
      </c>
      <c r="AC69" s="224">
        <v>2</v>
      </c>
      <c r="AD69" s="224">
        <v>3</v>
      </c>
      <c r="AE69" s="224">
        <v>4</v>
      </c>
      <c r="AF69" s="224">
        <v>1</v>
      </c>
      <c r="AG69" s="224">
        <v>4</v>
      </c>
      <c r="AH69" s="224">
        <v>3</v>
      </c>
      <c r="AI69" s="224">
        <v>3</v>
      </c>
      <c r="AJ69" s="224">
        <v>3</v>
      </c>
      <c r="AK69" s="224">
        <v>4</v>
      </c>
      <c r="AL69" s="224">
        <v>30</v>
      </c>
      <c r="AM69" s="224">
        <v>75</v>
      </c>
      <c r="AN69" s="224">
        <v>4</v>
      </c>
      <c r="AO69" s="224">
        <v>10</v>
      </c>
      <c r="AP69" s="224">
        <v>4</v>
      </c>
      <c r="AQ69" s="224">
        <v>3</v>
      </c>
      <c r="AR69" s="224">
        <v>60</v>
      </c>
      <c r="AS69" s="224">
        <v>1</v>
      </c>
      <c r="AT69" s="224">
        <v>4</v>
      </c>
      <c r="AU69" s="224">
        <v>3</v>
      </c>
      <c r="AV69" s="224">
        <v>2</v>
      </c>
      <c r="AW69" s="224">
        <v>5000</v>
      </c>
      <c r="AX69" s="304">
        <f t="shared" ref="AX69:AX79" si="0">ROUND((IF(F69&lt;10,1,IF(F69&lt;30,2,IF(F69&lt;60,3,IF(F69&lt;100,4,5))))*0.04)+(IF(G69&lt;200,1,IF(G69&lt;500,2,IF(G69&lt;1500,3,IF(G69&lt;3000,4,5))))*0.03)+(IF(H69=0,1,IF(H69=1,2,IF(H69=2,3,IF(H69&lt;5,4,5))))*0.05)+(IF(I69=0,1,IF(I69=1,2,IF(I69=2,3,IF(I69=3,4,5))))*0.04)+(J69*0.02)+(IF(K69&gt;90,1,IF(K69&gt;80,2,IF(K69&gt;70,3,IF(K69&gt;60,4,5))))*0.06)+(IF(L69&lt;3,1,IF(L69&lt;5,2,IF(L69&lt;7,3,IF(L69&lt;10,4,5))))*0.03)+(IF(M69&lt;3,1,IF(M69&lt;6,2,IF(M69&lt;10,3,IF(M69&lt;15,4,5))))*0.04)+(IF(N69&gt;95,1,IF(N69&gt;85,2,IF(N69&gt;75,3,IF(N69&gt;60,4,5))))*0.02)+(IF(O69&lt;3,1,IF(O69&lt;5,2,IF(O69&lt;7,3,IF(O69&lt;10,4,5))))*0.03)+(IF(P69&lt;2,1,IF(P69&lt;4,2,IF(P69&lt;7,3,IF(P69&lt;10,4,5))))*0.02)+((6-Q69)*0.03)+((6-R69)*0.02)+(IF(S69=0,1,IF(S69&lt;3,2,IF(S69&lt;5,3,IF(S69&lt;10,4,5))))*0.03)+((6-T69)*0.03)+((6-U69)*0.02)+(IF(V69=0,1,3)*0.015)+((6-W69)*0.01)+((6-X69)*0.015)+(IF(Y69&lt;3,1,IF(Y69&lt;6,2,IF(Y69&lt;10,3,IF(Y69&lt;15,4,5))))*0.02)+(IF(Z69&lt;2,1,IF(Z69&lt;4,2,IF(Z69&lt;6,3,IF(Z69&lt;8,4,5))))*0.03)+(IF(AA69&gt;14,1,IF(AA69&gt;7,2,IF(AA69&gt;3,3,IF(AA69&gt;1,4,5))))*0.03)+((6-AB69)*0.03)+(IF(AC69=0,1,IF(AC69=1,2,IF(AC69=2,3,IF(AC69=3,4,5))))*0.03)+(IF(AD69&lt;2,1,IF(AD69&lt;4,2,IF(AD69&lt;6,3,IF(AD69&lt;8,4,5))))*0.03)+((6-AE69)*0.02)+(IF(AF69=0,1,IF(AF69=1,3,5))*0.02)+((6-AG69)*0.02)+((6-AH69)*0.02)+((6-AI69)*0.015)+((6-AJ69)*0.015)+((6-AK69)*0.015)+(IF(AL69&lt;15,1,IF(AL69&lt;30,2,IF(AL69&lt;60,3,IF(AL69&lt;120,4,5))))*0.02)+(IF(AM69&gt;90,1,IF(AM69&gt;75,2,IF(AM69&gt;50,3,IF(AM69&gt;25,4,5))))*0.015)+((6-AN69)*0.02)+(IF(AO69&lt;5,1,IF(AO69&lt;10,2,IF(AO69&lt;15,3,IF(AO69&lt;25,4,5))))*0.02)+((6-AP69)*0.01)+(IF(AQ69&lt;2,1,IF(AQ69&lt;5,2,IF(AQ69&lt;10,3,IF(AQ69&lt;20,4,5))))*0.008)+(IF(AR69&gt;60,1,IF(AR69&gt;30,2,IF(AR69&gt;14,3,IF(AR69&gt;7,4,5))))*0.008)+(IF(AS69=0,1,IF(AS69=1,2,IF(AS69=2,3,IF(AS69=3,4,5))))*0.01)+((6-AT69)*0.008)+((6-AU69)*0.008)+(AV69*0.01)+(IF(AW69&lt;1000,1,IF(AW69&lt;5000,2,IF(AW69&lt;20000,3,IF(AW69&lt;50000,4,5))))*0.01),2)</f>
        <v>2.38</v>
      </c>
      <c r="AY69" s="362" t="str">
        <f t="shared" ref="AY69:AY79" si="1">IF(AX69&gt;=4,"SEVERE",IF(AX69&gt;=3.5,"CRITICAL",IF(AX69&gt;=2.5,"HIGH",IF(AX69&gt;=1.5,"MEDIUM","LOW"))))</f>
        <v>MEDIUM</v>
      </c>
    </row>
    <row r="70" spans="1:51" x14ac:dyDescent="0.3">
      <c r="A70" s="224" t="s">
        <v>15294</v>
      </c>
      <c r="B70" s="224"/>
      <c r="C70" s="224" t="s">
        <v>15295</v>
      </c>
      <c r="D70" s="361">
        <v>46205</v>
      </c>
      <c r="E70" s="224">
        <v>7</v>
      </c>
      <c r="F70" s="224">
        <v>5</v>
      </c>
      <c r="G70" s="224">
        <v>80</v>
      </c>
      <c r="H70" s="224">
        <v>0</v>
      </c>
      <c r="I70" s="224">
        <v>0</v>
      </c>
      <c r="J70" s="224">
        <v>1</v>
      </c>
      <c r="K70" s="224">
        <v>92</v>
      </c>
      <c r="L70" s="224">
        <v>2</v>
      </c>
      <c r="M70" s="224">
        <v>1</v>
      </c>
      <c r="N70" s="224">
        <v>100</v>
      </c>
      <c r="O70" s="224">
        <v>1</v>
      </c>
      <c r="P70" s="224">
        <v>0</v>
      </c>
      <c r="Q70" s="224">
        <v>5</v>
      </c>
      <c r="R70" s="224">
        <v>5</v>
      </c>
      <c r="S70" s="224">
        <v>0</v>
      </c>
      <c r="T70" s="224">
        <v>5</v>
      </c>
      <c r="U70" s="224">
        <v>5</v>
      </c>
      <c r="V70" s="224">
        <v>0</v>
      </c>
      <c r="W70" s="224">
        <v>5</v>
      </c>
      <c r="X70" s="224">
        <v>5</v>
      </c>
      <c r="Y70" s="224">
        <v>2</v>
      </c>
      <c r="Z70" s="224">
        <v>1</v>
      </c>
      <c r="AA70" s="224">
        <v>45</v>
      </c>
      <c r="AB70" s="224">
        <v>5</v>
      </c>
      <c r="AC70" s="224">
        <v>0</v>
      </c>
      <c r="AD70" s="224">
        <v>1</v>
      </c>
      <c r="AE70" s="224">
        <v>5</v>
      </c>
      <c r="AF70" s="224">
        <v>0</v>
      </c>
      <c r="AG70" s="224">
        <v>5</v>
      </c>
      <c r="AH70" s="224">
        <v>5</v>
      </c>
      <c r="AI70" s="224">
        <v>5</v>
      </c>
      <c r="AJ70" s="224">
        <v>5</v>
      </c>
      <c r="AK70" s="224">
        <v>5</v>
      </c>
      <c r="AL70" s="224">
        <v>10</v>
      </c>
      <c r="AM70" s="224">
        <v>95</v>
      </c>
      <c r="AN70" s="224">
        <v>5</v>
      </c>
      <c r="AO70" s="224">
        <v>2</v>
      </c>
      <c r="AP70" s="224">
        <v>5</v>
      </c>
      <c r="AQ70" s="224">
        <v>5</v>
      </c>
      <c r="AR70" s="224">
        <v>120</v>
      </c>
      <c r="AS70" s="224">
        <v>0</v>
      </c>
      <c r="AT70" s="224">
        <v>5</v>
      </c>
      <c r="AU70" s="224">
        <v>5</v>
      </c>
      <c r="AV70" s="224">
        <v>1</v>
      </c>
      <c r="AW70" s="224">
        <v>200</v>
      </c>
      <c r="AX70" s="304">
        <f t="shared" si="0"/>
        <v>1.01</v>
      </c>
      <c r="AY70" s="362" t="str">
        <f t="shared" si="1"/>
        <v>LOW</v>
      </c>
    </row>
    <row r="71" spans="1:51" x14ac:dyDescent="0.3">
      <c r="A71" s="224" t="s">
        <v>15296</v>
      </c>
      <c r="B71" s="224"/>
      <c r="C71" s="224" t="s">
        <v>15297</v>
      </c>
      <c r="D71" s="361">
        <v>46210</v>
      </c>
      <c r="E71" s="224">
        <v>12</v>
      </c>
      <c r="F71" s="224">
        <v>85</v>
      </c>
      <c r="G71" s="224">
        <v>3200</v>
      </c>
      <c r="H71" s="224">
        <v>4</v>
      </c>
      <c r="I71" s="224">
        <v>2</v>
      </c>
      <c r="J71" s="224">
        <v>3</v>
      </c>
      <c r="K71" s="224">
        <v>65</v>
      </c>
      <c r="L71" s="224">
        <v>8</v>
      </c>
      <c r="M71" s="224">
        <v>15</v>
      </c>
      <c r="N71" s="224">
        <v>80</v>
      </c>
      <c r="O71" s="224">
        <v>7</v>
      </c>
      <c r="P71" s="224">
        <v>8</v>
      </c>
      <c r="Q71" s="224">
        <v>2</v>
      </c>
      <c r="R71" s="224">
        <v>2</v>
      </c>
      <c r="S71" s="224">
        <v>5</v>
      </c>
      <c r="T71" s="224">
        <v>2</v>
      </c>
      <c r="U71" s="224">
        <v>3</v>
      </c>
      <c r="V71" s="224">
        <v>1</v>
      </c>
      <c r="W71" s="224">
        <v>3</v>
      </c>
      <c r="X71" s="224">
        <v>3</v>
      </c>
      <c r="Y71" s="224">
        <v>8</v>
      </c>
      <c r="Z71" s="224">
        <v>4</v>
      </c>
      <c r="AA71" s="224">
        <v>10</v>
      </c>
      <c r="AB71" s="224">
        <v>3</v>
      </c>
      <c r="AC71" s="224">
        <v>3</v>
      </c>
      <c r="AD71" s="224">
        <v>5</v>
      </c>
      <c r="AE71" s="224">
        <v>3</v>
      </c>
      <c r="AF71" s="224">
        <v>2</v>
      </c>
      <c r="AG71" s="224">
        <v>3</v>
      </c>
      <c r="AH71" s="224">
        <v>2</v>
      </c>
      <c r="AI71" s="224">
        <v>2</v>
      </c>
      <c r="AJ71" s="224">
        <v>2</v>
      </c>
      <c r="AK71" s="224">
        <v>3</v>
      </c>
      <c r="AL71" s="224">
        <v>60</v>
      </c>
      <c r="AM71" s="224">
        <v>60</v>
      </c>
      <c r="AN71" s="224">
        <v>3</v>
      </c>
      <c r="AO71" s="224">
        <v>18</v>
      </c>
      <c r="AP71" s="224">
        <v>3</v>
      </c>
      <c r="AQ71" s="224">
        <v>2</v>
      </c>
      <c r="AR71" s="224">
        <v>45</v>
      </c>
      <c r="AS71" s="224">
        <v>2</v>
      </c>
      <c r="AT71" s="224">
        <v>3</v>
      </c>
      <c r="AU71" s="224">
        <v>2</v>
      </c>
      <c r="AV71" s="224">
        <v>3</v>
      </c>
      <c r="AW71" s="224">
        <v>25000</v>
      </c>
      <c r="AX71" s="304">
        <f t="shared" si="0"/>
        <v>3.59</v>
      </c>
      <c r="AY71" s="362" t="str">
        <f t="shared" si="1"/>
        <v>CRITICAL</v>
      </c>
    </row>
    <row r="72" spans="1:51" x14ac:dyDescent="0.3">
      <c r="A72" s="224" t="s">
        <v>15298</v>
      </c>
      <c r="B72" s="224"/>
      <c r="C72" s="224" t="s">
        <v>15299</v>
      </c>
      <c r="D72" s="361">
        <v>46215</v>
      </c>
      <c r="E72" s="224">
        <v>17</v>
      </c>
      <c r="F72" s="224">
        <v>35</v>
      </c>
      <c r="G72" s="224">
        <v>950</v>
      </c>
      <c r="H72" s="224">
        <v>1</v>
      </c>
      <c r="I72" s="224">
        <v>2</v>
      </c>
      <c r="J72" s="224">
        <v>2</v>
      </c>
      <c r="K72" s="224">
        <v>78</v>
      </c>
      <c r="L72" s="224">
        <v>4</v>
      </c>
      <c r="M72" s="224">
        <v>5</v>
      </c>
      <c r="N72" s="224">
        <v>95</v>
      </c>
      <c r="O72" s="224">
        <v>3</v>
      </c>
      <c r="P72" s="224">
        <v>2</v>
      </c>
      <c r="Q72" s="224">
        <v>4</v>
      </c>
      <c r="R72" s="224">
        <v>4</v>
      </c>
      <c r="S72" s="224">
        <v>1</v>
      </c>
      <c r="T72" s="224">
        <v>4</v>
      </c>
      <c r="U72" s="224">
        <v>4</v>
      </c>
      <c r="V72" s="224">
        <v>0</v>
      </c>
      <c r="W72" s="224">
        <v>4</v>
      </c>
      <c r="X72" s="224">
        <v>5</v>
      </c>
      <c r="Y72" s="224">
        <v>4</v>
      </c>
      <c r="Z72" s="224">
        <v>3</v>
      </c>
      <c r="AA72" s="224">
        <v>25</v>
      </c>
      <c r="AB72" s="224">
        <v>4</v>
      </c>
      <c r="AC72" s="224">
        <v>1</v>
      </c>
      <c r="AD72" s="224">
        <v>3</v>
      </c>
      <c r="AE72" s="224">
        <v>4</v>
      </c>
      <c r="AF72" s="224">
        <v>1</v>
      </c>
      <c r="AG72" s="224">
        <v>4</v>
      </c>
      <c r="AH72" s="224">
        <v>4</v>
      </c>
      <c r="AI72" s="224">
        <v>4</v>
      </c>
      <c r="AJ72" s="224">
        <v>4</v>
      </c>
      <c r="AK72" s="224">
        <v>4</v>
      </c>
      <c r="AL72" s="224">
        <v>25</v>
      </c>
      <c r="AM72" s="224">
        <v>80</v>
      </c>
      <c r="AN72" s="224">
        <v>4</v>
      </c>
      <c r="AO72" s="224">
        <v>8</v>
      </c>
      <c r="AP72" s="224">
        <v>4</v>
      </c>
      <c r="AQ72" s="224">
        <v>4</v>
      </c>
      <c r="AR72" s="224">
        <v>75</v>
      </c>
      <c r="AS72" s="224">
        <v>0</v>
      </c>
      <c r="AT72" s="224">
        <v>4</v>
      </c>
      <c r="AU72" s="224">
        <v>4</v>
      </c>
      <c r="AV72" s="224">
        <v>2</v>
      </c>
      <c r="AW72" s="224">
        <v>8000</v>
      </c>
      <c r="AX72" s="304">
        <f t="shared" si="0"/>
        <v>2.11</v>
      </c>
      <c r="AY72" s="362" t="str">
        <f t="shared" si="1"/>
        <v>MEDIUM</v>
      </c>
    </row>
    <row r="73" spans="1:51" x14ac:dyDescent="0.3">
      <c r="A73" s="224" t="s">
        <v>15300</v>
      </c>
      <c r="B73" s="224"/>
      <c r="C73" s="224" t="s">
        <v>15301</v>
      </c>
      <c r="D73" s="361">
        <v>46220</v>
      </c>
      <c r="E73" s="224">
        <v>22</v>
      </c>
      <c r="F73" s="224">
        <v>18</v>
      </c>
      <c r="G73" s="224">
        <v>420</v>
      </c>
      <c r="H73" s="224">
        <v>0</v>
      </c>
      <c r="I73" s="224">
        <v>1</v>
      </c>
      <c r="J73" s="224">
        <v>1</v>
      </c>
      <c r="K73" s="224">
        <v>88</v>
      </c>
      <c r="L73" s="224">
        <v>3</v>
      </c>
      <c r="M73" s="224">
        <v>3</v>
      </c>
      <c r="N73" s="224">
        <v>100</v>
      </c>
      <c r="O73" s="224">
        <v>2</v>
      </c>
      <c r="P73" s="224">
        <v>1</v>
      </c>
      <c r="Q73" s="224">
        <v>4</v>
      </c>
      <c r="R73" s="224">
        <v>4</v>
      </c>
      <c r="S73" s="224">
        <v>0</v>
      </c>
      <c r="T73" s="224">
        <v>4</v>
      </c>
      <c r="U73" s="224">
        <v>5</v>
      </c>
      <c r="V73" s="224">
        <v>0</v>
      </c>
      <c r="W73" s="224">
        <v>5</v>
      </c>
      <c r="X73" s="224">
        <v>5</v>
      </c>
      <c r="Y73" s="224">
        <v>3</v>
      </c>
      <c r="Z73" s="224">
        <v>2</v>
      </c>
      <c r="AA73" s="224">
        <v>35</v>
      </c>
      <c r="AB73" s="224">
        <v>5</v>
      </c>
      <c r="AC73" s="224">
        <v>0</v>
      </c>
      <c r="AD73" s="224">
        <v>2</v>
      </c>
      <c r="AE73" s="224">
        <v>5</v>
      </c>
      <c r="AF73" s="224">
        <v>0</v>
      </c>
      <c r="AG73" s="224">
        <v>5</v>
      </c>
      <c r="AH73" s="224">
        <v>4</v>
      </c>
      <c r="AI73" s="224">
        <v>4</v>
      </c>
      <c r="AJ73" s="224">
        <v>4</v>
      </c>
      <c r="AK73" s="224">
        <v>5</v>
      </c>
      <c r="AL73" s="224">
        <v>20</v>
      </c>
      <c r="AM73" s="224">
        <v>85</v>
      </c>
      <c r="AN73" s="224">
        <v>5</v>
      </c>
      <c r="AO73" s="224">
        <v>4</v>
      </c>
      <c r="AP73" s="224">
        <v>5</v>
      </c>
      <c r="AQ73" s="224">
        <v>5</v>
      </c>
      <c r="AR73" s="224">
        <v>90</v>
      </c>
      <c r="AS73" s="224">
        <v>0</v>
      </c>
      <c r="AT73" s="224">
        <v>5</v>
      </c>
      <c r="AU73" s="224">
        <v>5</v>
      </c>
      <c r="AV73" s="224">
        <v>1</v>
      </c>
      <c r="AW73" s="224">
        <v>1500</v>
      </c>
      <c r="AX73" s="304">
        <f t="shared" si="0"/>
        <v>1.5</v>
      </c>
      <c r="AY73" s="362" t="str">
        <f t="shared" si="1"/>
        <v>MEDIUM</v>
      </c>
    </row>
    <row r="74" spans="1:51" x14ac:dyDescent="0.3">
      <c r="A74" s="224" t="s">
        <v>15302</v>
      </c>
      <c r="B74" s="224"/>
      <c r="C74" s="224" t="s">
        <v>15303</v>
      </c>
      <c r="D74" s="361">
        <v>46225</v>
      </c>
      <c r="E74" s="224">
        <v>27</v>
      </c>
      <c r="F74" s="224">
        <v>150</v>
      </c>
      <c r="G74" s="224">
        <v>8500</v>
      </c>
      <c r="H74" s="224">
        <v>5</v>
      </c>
      <c r="I74" s="224">
        <v>4</v>
      </c>
      <c r="J74" s="224">
        <v>4</v>
      </c>
      <c r="K74" s="224">
        <v>58</v>
      </c>
      <c r="L74" s="224">
        <v>12</v>
      </c>
      <c r="M74" s="224">
        <v>25</v>
      </c>
      <c r="N74" s="224">
        <v>75</v>
      </c>
      <c r="O74" s="224">
        <v>10</v>
      </c>
      <c r="P74" s="224">
        <v>12</v>
      </c>
      <c r="Q74" s="224">
        <v>2</v>
      </c>
      <c r="R74" s="224">
        <v>2</v>
      </c>
      <c r="S74" s="224">
        <v>8</v>
      </c>
      <c r="T74" s="224">
        <v>2</v>
      </c>
      <c r="U74" s="224">
        <v>2</v>
      </c>
      <c r="V74" s="224">
        <v>1</v>
      </c>
      <c r="W74" s="224">
        <v>2</v>
      </c>
      <c r="X74" s="224">
        <v>2</v>
      </c>
      <c r="Y74" s="224">
        <v>12</v>
      </c>
      <c r="Z74" s="224">
        <v>5</v>
      </c>
      <c r="AA74" s="224">
        <v>7</v>
      </c>
      <c r="AB74" s="224">
        <v>2</v>
      </c>
      <c r="AC74" s="224">
        <v>4</v>
      </c>
      <c r="AD74" s="224">
        <v>6</v>
      </c>
      <c r="AE74" s="224">
        <v>2</v>
      </c>
      <c r="AF74" s="224">
        <v>3</v>
      </c>
      <c r="AG74" s="224">
        <v>4</v>
      </c>
      <c r="AH74" s="224">
        <v>2</v>
      </c>
      <c r="AI74" s="224">
        <v>2</v>
      </c>
      <c r="AJ74" s="224">
        <v>2</v>
      </c>
      <c r="AK74" s="224">
        <v>2</v>
      </c>
      <c r="AL74" s="224">
        <v>90</v>
      </c>
      <c r="AM74" s="224">
        <v>50</v>
      </c>
      <c r="AN74" s="224">
        <v>2</v>
      </c>
      <c r="AO74" s="224">
        <v>22</v>
      </c>
      <c r="AP74" s="224">
        <v>2</v>
      </c>
      <c r="AQ74" s="224">
        <v>2</v>
      </c>
      <c r="AR74" s="224">
        <v>30</v>
      </c>
      <c r="AS74" s="224">
        <v>3</v>
      </c>
      <c r="AT74" s="224">
        <v>2</v>
      </c>
      <c r="AU74" s="224">
        <v>2</v>
      </c>
      <c r="AV74" s="224">
        <v>5</v>
      </c>
      <c r="AW74" s="224">
        <v>50000</v>
      </c>
      <c r="AX74" s="304">
        <f t="shared" si="0"/>
        <v>4.24</v>
      </c>
      <c r="AY74" s="362" t="str">
        <f t="shared" si="1"/>
        <v>SEVERE</v>
      </c>
    </row>
    <row r="75" spans="1:51" x14ac:dyDescent="0.3">
      <c r="A75" s="224" t="s">
        <v>15304</v>
      </c>
      <c r="B75" s="224"/>
      <c r="C75" s="224" t="s">
        <v>15305</v>
      </c>
      <c r="D75" s="361">
        <v>46230</v>
      </c>
      <c r="E75" s="224">
        <v>32</v>
      </c>
      <c r="F75" s="224">
        <v>42</v>
      </c>
      <c r="G75" s="224">
        <v>1100</v>
      </c>
      <c r="H75" s="224">
        <v>2</v>
      </c>
      <c r="I75" s="224">
        <v>1</v>
      </c>
      <c r="J75" s="224">
        <v>2</v>
      </c>
      <c r="K75" s="224">
        <v>75</v>
      </c>
      <c r="L75" s="224">
        <v>5</v>
      </c>
      <c r="M75" s="224">
        <v>6</v>
      </c>
      <c r="N75" s="224">
        <v>92</v>
      </c>
      <c r="O75" s="224">
        <v>4</v>
      </c>
      <c r="P75" s="224">
        <v>3</v>
      </c>
      <c r="Q75" s="224">
        <v>3</v>
      </c>
      <c r="R75" s="224">
        <v>3</v>
      </c>
      <c r="S75" s="224">
        <v>1</v>
      </c>
      <c r="T75" s="224">
        <v>3</v>
      </c>
      <c r="U75" s="224">
        <v>4</v>
      </c>
      <c r="V75" s="224">
        <v>0</v>
      </c>
      <c r="W75" s="224">
        <v>4</v>
      </c>
      <c r="X75" s="224">
        <v>5</v>
      </c>
      <c r="Y75" s="224">
        <v>5</v>
      </c>
      <c r="Z75" s="224">
        <v>3</v>
      </c>
      <c r="AA75" s="224">
        <v>28</v>
      </c>
      <c r="AB75" s="224">
        <v>4</v>
      </c>
      <c r="AC75" s="224">
        <v>2</v>
      </c>
      <c r="AD75" s="224">
        <v>3</v>
      </c>
      <c r="AE75" s="224">
        <v>4</v>
      </c>
      <c r="AF75" s="224">
        <v>1</v>
      </c>
      <c r="AG75" s="224">
        <v>4</v>
      </c>
      <c r="AH75" s="224">
        <v>3</v>
      </c>
      <c r="AI75" s="224">
        <v>3</v>
      </c>
      <c r="AJ75" s="224">
        <v>4</v>
      </c>
      <c r="AK75" s="224">
        <v>4</v>
      </c>
      <c r="AL75" s="224">
        <v>35</v>
      </c>
      <c r="AM75" s="224">
        <v>70</v>
      </c>
      <c r="AN75" s="224">
        <v>4</v>
      </c>
      <c r="AO75" s="224">
        <v>12</v>
      </c>
      <c r="AP75" s="224">
        <v>4</v>
      </c>
      <c r="AQ75" s="224">
        <v>3</v>
      </c>
      <c r="AR75" s="224">
        <v>55</v>
      </c>
      <c r="AS75" s="224">
        <v>1</v>
      </c>
      <c r="AT75" s="224">
        <v>4</v>
      </c>
      <c r="AU75" s="224">
        <v>3</v>
      </c>
      <c r="AV75" s="224">
        <v>2</v>
      </c>
      <c r="AW75" s="224">
        <v>12000</v>
      </c>
      <c r="AX75" s="304">
        <f t="shared" si="0"/>
        <v>2.41</v>
      </c>
      <c r="AY75" s="362" t="str">
        <f t="shared" si="1"/>
        <v>MEDIUM</v>
      </c>
    </row>
    <row r="76" spans="1:51" x14ac:dyDescent="0.3">
      <c r="A76" s="224" t="s">
        <v>15306</v>
      </c>
      <c r="B76" s="224"/>
      <c r="C76" s="224" t="s">
        <v>15307</v>
      </c>
      <c r="D76" s="361">
        <v>46235</v>
      </c>
      <c r="E76" s="224">
        <v>37</v>
      </c>
      <c r="F76" s="224">
        <v>8</v>
      </c>
      <c r="G76" s="224">
        <v>150</v>
      </c>
      <c r="H76" s="224">
        <v>0</v>
      </c>
      <c r="I76" s="224">
        <v>0</v>
      </c>
      <c r="J76" s="224">
        <v>1</v>
      </c>
      <c r="K76" s="224">
        <v>90</v>
      </c>
      <c r="L76" s="224">
        <v>2</v>
      </c>
      <c r="M76" s="224">
        <v>2</v>
      </c>
      <c r="N76" s="224">
        <v>100</v>
      </c>
      <c r="O76" s="224">
        <v>2</v>
      </c>
      <c r="P76" s="224">
        <v>0</v>
      </c>
      <c r="Q76" s="224">
        <v>5</v>
      </c>
      <c r="R76" s="224">
        <v>5</v>
      </c>
      <c r="S76" s="224">
        <v>0</v>
      </c>
      <c r="T76" s="224">
        <v>5</v>
      </c>
      <c r="U76" s="224">
        <v>5</v>
      </c>
      <c r="V76" s="224">
        <v>0</v>
      </c>
      <c r="W76" s="224">
        <v>5</v>
      </c>
      <c r="X76" s="224">
        <v>5</v>
      </c>
      <c r="Y76" s="224">
        <v>2</v>
      </c>
      <c r="Z76" s="224">
        <v>2</v>
      </c>
      <c r="AA76" s="224">
        <v>40</v>
      </c>
      <c r="AB76" s="224">
        <v>5</v>
      </c>
      <c r="AC76" s="224">
        <v>0</v>
      </c>
      <c r="AD76" s="224">
        <v>2</v>
      </c>
      <c r="AE76" s="224">
        <v>5</v>
      </c>
      <c r="AF76" s="224">
        <v>0</v>
      </c>
      <c r="AG76" s="224">
        <v>5</v>
      </c>
      <c r="AH76" s="224">
        <v>5</v>
      </c>
      <c r="AI76" s="224">
        <v>5</v>
      </c>
      <c r="AJ76" s="224">
        <v>5</v>
      </c>
      <c r="AK76" s="224">
        <v>5</v>
      </c>
      <c r="AL76" s="224">
        <v>12</v>
      </c>
      <c r="AM76" s="224">
        <v>92</v>
      </c>
      <c r="AN76" s="224">
        <v>5</v>
      </c>
      <c r="AO76" s="224">
        <v>3</v>
      </c>
      <c r="AP76" s="224">
        <v>5</v>
      </c>
      <c r="AQ76" s="224">
        <v>5</v>
      </c>
      <c r="AR76" s="224">
        <v>100</v>
      </c>
      <c r="AS76" s="224">
        <v>0</v>
      </c>
      <c r="AT76" s="224">
        <v>5</v>
      </c>
      <c r="AU76" s="224">
        <v>5</v>
      </c>
      <c r="AV76" s="224">
        <v>1</v>
      </c>
      <c r="AW76" s="224">
        <v>800</v>
      </c>
      <c r="AX76" s="304">
        <f t="shared" si="0"/>
        <v>1.1299999999999999</v>
      </c>
      <c r="AY76" s="362" t="str">
        <f t="shared" si="1"/>
        <v>LOW</v>
      </c>
    </row>
    <row r="77" spans="1:51" x14ac:dyDescent="0.3">
      <c r="A77" s="224" t="s">
        <v>15308</v>
      </c>
      <c r="B77" s="224"/>
      <c r="C77" s="224" t="s">
        <v>15309</v>
      </c>
      <c r="D77" s="361">
        <v>46212</v>
      </c>
      <c r="E77" s="224">
        <v>14</v>
      </c>
      <c r="F77" s="224">
        <v>200</v>
      </c>
      <c r="G77" s="224">
        <v>12000</v>
      </c>
      <c r="H77" s="224">
        <v>8</v>
      </c>
      <c r="I77" s="224">
        <v>5</v>
      </c>
      <c r="J77" s="224">
        <v>4</v>
      </c>
      <c r="K77" s="224">
        <v>52</v>
      </c>
      <c r="L77" s="224">
        <v>15</v>
      </c>
      <c r="M77" s="224">
        <v>35</v>
      </c>
      <c r="N77" s="224">
        <v>70</v>
      </c>
      <c r="O77" s="224">
        <v>12</v>
      </c>
      <c r="P77" s="224">
        <v>18</v>
      </c>
      <c r="Q77" s="224">
        <v>1</v>
      </c>
      <c r="R77" s="224">
        <v>1</v>
      </c>
      <c r="S77" s="224">
        <v>12</v>
      </c>
      <c r="T77" s="224">
        <v>1</v>
      </c>
      <c r="U77" s="224">
        <v>2</v>
      </c>
      <c r="V77" s="224">
        <v>1</v>
      </c>
      <c r="W77" s="224">
        <v>2</v>
      </c>
      <c r="X77" s="224">
        <v>2</v>
      </c>
      <c r="Y77" s="224">
        <v>15</v>
      </c>
      <c r="Z77" s="224">
        <v>5</v>
      </c>
      <c r="AA77" s="224">
        <v>5</v>
      </c>
      <c r="AB77" s="224">
        <v>1</v>
      </c>
      <c r="AC77" s="224">
        <v>5</v>
      </c>
      <c r="AD77" s="224">
        <v>8</v>
      </c>
      <c r="AE77" s="224">
        <v>1</v>
      </c>
      <c r="AF77" s="224">
        <v>4</v>
      </c>
      <c r="AG77" s="224">
        <v>5</v>
      </c>
      <c r="AH77" s="224">
        <v>1</v>
      </c>
      <c r="AI77" s="224">
        <v>1</v>
      </c>
      <c r="AJ77" s="224">
        <v>1</v>
      </c>
      <c r="AK77" s="224">
        <v>2</v>
      </c>
      <c r="AL77" s="224">
        <v>120</v>
      </c>
      <c r="AM77" s="224">
        <v>40</v>
      </c>
      <c r="AN77" s="224">
        <v>2</v>
      </c>
      <c r="AO77" s="224">
        <v>28</v>
      </c>
      <c r="AP77" s="224">
        <v>2</v>
      </c>
      <c r="AQ77" s="224">
        <v>1</v>
      </c>
      <c r="AR77" s="224">
        <v>25</v>
      </c>
      <c r="AS77" s="224">
        <v>4</v>
      </c>
      <c r="AT77" s="224">
        <v>1</v>
      </c>
      <c r="AU77" s="224">
        <v>3</v>
      </c>
      <c r="AV77" s="224">
        <v>5</v>
      </c>
      <c r="AW77" s="224">
        <v>100000</v>
      </c>
      <c r="AX77" s="304">
        <f t="shared" si="0"/>
        <v>4.5199999999999996</v>
      </c>
      <c r="AY77" s="362" t="str">
        <f t="shared" si="1"/>
        <v>SEVERE</v>
      </c>
    </row>
    <row r="78" spans="1:51" x14ac:dyDescent="0.3">
      <c r="A78" s="224" t="s">
        <v>15310</v>
      </c>
      <c r="B78" s="224"/>
      <c r="C78" s="224" t="s">
        <v>15311</v>
      </c>
      <c r="D78" s="361">
        <v>46240</v>
      </c>
      <c r="E78" s="224">
        <v>42</v>
      </c>
      <c r="F78" s="224">
        <v>28</v>
      </c>
      <c r="G78" s="224">
        <v>720</v>
      </c>
      <c r="H78" s="224">
        <v>1</v>
      </c>
      <c r="I78" s="224">
        <v>1</v>
      </c>
      <c r="J78" s="224">
        <v>1</v>
      </c>
      <c r="K78" s="224">
        <v>82</v>
      </c>
      <c r="L78" s="224">
        <v>4</v>
      </c>
      <c r="M78" s="224">
        <v>4</v>
      </c>
      <c r="N78" s="224">
        <v>95</v>
      </c>
      <c r="O78" s="224">
        <v>3</v>
      </c>
      <c r="P78" s="224">
        <v>2</v>
      </c>
      <c r="Q78" s="224">
        <v>4</v>
      </c>
      <c r="R78" s="224">
        <v>4</v>
      </c>
      <c r="S78" s="224">
        <v>1</v>
      </c>
      <c r="T78" s="224">
        <v>4</v>
      </c>
      <c r="U78" s="224">
        <v>4</v>
      </c>
      <c r="V78" s="224">
        <v>0</v>
      </c>
      <c r="W78" s="224">
        <v>4</v>
      </c>
      <c r="X78" s="224">
        <v>5</v>
      </c>
      <c r="Y78" s="224">
        <v>4</v>
      </c>
      <c r="Z78" s="224">
        <v>3</v>
      </c>
      <c r="AA78" s="224">
        <v>32</v>
      </c>
      <c r="AB78" s="224">
        <v>4</v>
      </c>
      <c r="AC78" s="224">
        <v>1</v>
      </c>
      <c r="AD78" s="224">
        <v>3</v>
      </c>
      <c r="AE78" s="224">
        <v>4</v>
      </c>
      <c r="AF78" s="224">
        <v>1</v>
      </c>
      <c r="AG78" s="224">
        <v>4</v>
      </c>
      <c r="AH78" s="224">
        <v>4</v>
      </c>
      <c r="AI78" s="224">
        <v>4</v>
      </c>
      <c r="AJ78" s="224">
        <v>4</v>
      </c>
      <c r="AK78" s="224">
        <v>4</v>
      </c>
      <c r="AL78" s="224">
        <v>22</v>
      </c>
      <c r="AM78" s="224">
        <v>82</v>
      </c>
      <c r="AN78" s="224">
        <v>4</v>
      </c>
      <c r="AO78" s="224">
        <v>6</v>
      </c>
      <c r="AP78" s="224">
        <v>4</v>
      </c>
      <c r="AQ78" s="224">
        <v>4</v>
      </c>
      <c r="AR78" s="224">
        <v>70</v>
      </c>
      <c r="AS78" s="224">
        <v>0</v>
      </c>
      <c r="AT78" s="224">
        <v>4</v>
      </c>
      <c r="AU78" s="224">
        <v>4</v>
      </c>
      <c r="AV78" s="224">
        <v>2</v>
      </c>
      <c r="AW78" s="224">
        <v>6000</v>
      </c>
      <c r="AX78" s="304">
        <f t="shared" si="0"/>
        <v>1.95</v>
      </c>
      <c r="AY78" s="362" t="str">
        <f t="shared" si="1"/>
        <v>MEDIUM</v>
      </c>
    </row>
    <row r="79" spans="1:51" x14ac:dyDescent="0.3">
      <c r="A79" s="224" t="s">
        <v>15312</v>
      </c>
      <c r="B79" s="224"/>
      <c r="C79" s="224" t="s">
        <v>15313</v>
      </c>
      <c r="D79" s="361">
        <v>46245</v>
      </c>
      <c r="E79" s="224">
        <v>47</v>
      </c>
      <c r="F79" s="224">
        <v>6</v>
      </c>
      <c r="G79" s="224">
        <v>120</v>
      </c>
      <c r="H79" s="224">
        <v>0</v>
      </c>
      <c r="I79" s="224">
        <v>0</v>
      </c>
      <c r="J79" s="224">
        <v>1</v>
      </c>
      <c r="K79" s="224">
        <v>95</v>
      </c>
      <c r="L79" s="224">
        <v>2</v>
      </c>
      <c r="M79" s="224">
        <v>1</v>
      </c>
      <c r="N79" s="224">
        <v>100</v>
      </c>
      <c r="O79" s="224">
        <v>1</v>
      </c>
      <c r="P79" s="224">
        <v>0</v>
      </c>
      <c r="Q79" s="224">
        <v>5</v>
      </c>
      <c r="R79" s="224">
        <v>5</v>
      </c>
      <c r="S79" s="224">
        <v>0</v>
      </c>
      <c r="T79" s="224">
        <v>5</v>
      </c>
      <c r="U79" s="224">
        <v>5</v>
      </c>
      <c r="V79" s="224">
        <v>0</v>
      </c>
      <c r="W79" s="224">
        <v>5</v>
      </c>
      <c r="X79" s="224">
        <v>5</v>
      </c>
      <c r="Y79" s="224">
        <v>2</v>
      </c>
      <c r="Z79" s="224">
        <v>1</v>
      </c>
      <c r="AA79" s="224">
        <v>50</v>
      </c>
      <c r="AB79" s="224">
        <v>5</v>
      </c>
      <c r="AC79" s="224">
        <v>0</v>
      </c>
      <c r="AD79" s="224">
        <v>1</v>
      </c>
      <c r="AE79" s="224">
        <v>5</v>
      </c>
      <c r="AF79" s="224">
        <v>0</v>
      </c>
      <c r="AG79" s="224">
        <v>5</v>
      </c>
      <c r="AH79" s="224">
        <v>5</v>
      </c>
      <c r="AI79" s="224">
        <v>5</v>
      </c>
      <c r="AJ79" s="224">
        <v>5</v>
      </c>
      <c r="AK79" s="224">
        <v>5</v>
      </c>
      <c r="AL79" s="224">
        <v>8</v>
      </c>
      <c r="AM79" s="224">
        <v>98</v>
      </c>
      <c r="AN79" s="224">
        <v>5</v>
      </c>
      <c r="AO79" s="224">
        <v>1</v>
      </c>
      <c r="AP79" s="224">
        <v>5</v>
      </c>
      <c r="AQ79" s="224">
        <v>5</v>
      </c>
      <c r="AR79" s="224">
        <v>150</v>
      </c>
      <c r="AS79" s="224">
        <v>0</v>
      </c>
      <c r="AT79" s="224">
        <v>5</v>
      </c>
      <c r="AU79" s="224">
        <v>5</v>
      </c>
      <c r="AV79" s="224">
        <v>1</v>
      </c>
      <c r="AW79" s="224">
        <v>150</v>
      </c>
      <c r="AX79" s="304">
        <f t="shared" si="0"/>
        <v>1.01</v>
      </c>
      <c r="AY79" s="362" t="str">
        <f t="shared" si="1"/>
        <v>LOW</v>
      </c>
    </row>
    <row r="83" spans="1:8" ht="25.05" customHeight="1" x14ac:dyDescent="0.35">
      <c r="A83" s="358" t="s">
        <v>15314</v>
      </c>
      <c r="B83" s="358"/>
      <c r="C83" s="219"/>
      <c r="D83" s="219"/>
      <c r="E83" s="219"/>
      <c r="F83" s="219"/>
      <c r="G83" s="219"/>
      <c r="H83" s="219"/>
    </row>
    <row r="85" spans="1:8" x14ac:dyDescent="0.3">
      <c r="A85" s="197" t="s">
        <v>15315</v>
      </c>
      <c r="B85" s="197"/>
    </row>
    <row r="86" spans="1:8" x14ac:dyDescent="0.3">
      <c r="A86" t="s">
        <v>15316</v>
      </c>
    </row>
    <row r="87" spans="1:8" x14ac:dyDescent="0.3">
      <c r="A87" t="s">
        <v>15317</v>
      </c>
    </row>
    <row r="88" spans="1:8" x14ac:dyDescent="0.3">
      <c r="A88" t="s">
        <v>15318</v>
      </c>
    </row>
    <row r="90" spans="1:8" x14ac:dyDescent="0.3">
      <c r="A90" s="363" t="s">
        <v>15254</v>
      </c>
      <c r="B90" s="363"/>
    </row>
    <row r="92" spans="1:8" x14ac:dyDescent="0.3">
      <c r="A92" t="s">
        <v>15319</v>
      </c>
    </row>
    <row r="94" spans="1:8" x14ac:dyDescent="0.3">
      <c r="A94" s="364" t="s">
        <v>14211</v>
      </c>
      <c r="B94" s="364"/>
      <c r="C94" s="364" t="s">
        <v>15320</v>
      </c>
      <c r="D94" s="364" t="s">
        <v>15321</v>
      </c>
      <c r="E94" s="364" t="s">
        <v>15322</v>
      </c>
      <c r="F94" s="364" t="s">
        <v>15323</v>
      </c>
      <c r="G94" s="364" t="s">
        <v>15054</v>
      </c>
      <c r="H94" s="364" t="s">
        <v>15324</v>
      </c>
    </row>
    <row r="95" spans="1:8" x14ac:dyDescent="0.3">
      <c r="A95" s="365">
        <v>1</v>
      </c>
      <c r="B95" s="365"/>
      <c r="C95" s="365" t="s">
        <v>15060</v>
      </c>
      <c r="D95" s="365">
        <v>12</v>
      </c>
      <c r="E95" s="365" t="s">
        <v>15325</v>
      </c>
      <c r="F95" s="366">
        <v>2</v>
      </c>
      <c r="G95" s="367">
        <v>0.04</v>
      </c>
      <c r="H95" s="368">
        <f t="shared" ref="H95:H138" si="2">F95*G95</f>
        <v>0.08</v>
      </c>
    </row>
    <row r="96" spans="1:8" x14ac:dyDescent="0.3">
      <c r="A96" s="224">
        <v>2</v>
      </c>
      <c r="B96" s="224"/>
      <c r="C96" s="224" t="s">
        <v>15067</v>
      </c>
      <c r="D96" s="224">
        <v>320</v>
      </c>
      <c r="E96" s="224" t="s">
        <v>15326</v>
      </c>
      <c r="F96" s="362">
        <v>2</v>
      </c>
      <c r="G96" s="369">
        <v>0.03</v>
      </c>
      <c r="H96" s="370">
        <f t="shared" si="2"/>
        <v>0.06</v>
      </c>
    </row>
    <row r="97" spans="1:8" x14ac:dyDescent="0.3">
      <c r="A97" s="365">
        <v>3</v>
      </c>
      <c r="B97" s="365"/>
      <c r="C97" s="365" t="s">
        <v>15073</v>
      </c>
      <c r="D97" s="365">
        <v>0</v>
      </c>
      <c r="E97" s="365" t="s">
        <v>15327</v>
      </c>
      <c r="F97" s="366">
        <v>1</v>
      </c>
      <c r="G97" s="367">
        <v>0.05</v>
      </c>
      <c r="H97" s="368">
        <f t="shared" si="2"/>
        <v>0.05</v>
      </c>
    </row>
    <row r="98" spans="1:8" x14ac:dyDescent="0.3">
      <c r="A98" s="224">
        <v>4</v>
      </c>
      <c r="B98" s="224"/>
      <c r="C98" s="224" t="s">
        <v>15078</v>
      </c>
      <c r="D98" s="224">
        <v>0</v>
      </c>
      <c r="E98" s="224" t="s">
        <v>15328</v>
      </c>
      <c r="F98" s="362">
        <v>1</v>
      </c>
      <c r="G98" s="369">
        <v>0.04</v>
      </c>
      <c r="H98" s="370">
        <f t="shared" si="2"/>
        <v>0.04</v>
      </c>
    </row>
    <row r="99" spans="1:8" x14ac:dyDescent="0.3">
      <c r="A99" s="365">
        <v>5</v>
      </c>
      <c r="B99" s="365"/>
      <c r="C99" s="365" t="s">
        <v>15084</v>
      </c>
      <c r="D99" s="365">
        <v>1</v>
      </c>
      <c r="E99" s="365" t="s">
        <v>15329</v>
      </c>
      <c r="F99" s="366">
        <v>1</v>
      </c>
      <c r="G99" s="367">
        <v>0.02</v>
      </c>
      <c r="H99" s="368">
        <f t="shared" si="2"/>
        <v>0.02</v>
      </c>
    </row>
    <row r="100" spans="1:8" x14ac:dyDescent="0.3">
      <c r="A100" s="224">
        <v>6</v>
      </c>
      <c r="B100" s="224"/>
      <c r="C100" s="224" t="s">
        <v>15089</v>
      </c>
      <c r="D100" s="224">
        <v>85</v>
      </c>
      <c r="E100" s="224" t="s">
        <v>15330</v>
      </c>
      <c r="F100" s="362">
        <v>2</v>
      </c>
      <c r="G100" s="369">
        <v>6.8000000000000005E-2</v>
      </c>
      <c r="H100" s="370">
        <f t="shared" si="2"/>
        <v>0.13600000000000001</v>
      </c>
    </row>
    <row r="101" spans="1:8" x14ac:dyDescent="0.3">
      <c r="A101" s="365">
        <v>7</v>
      </c>
      <c r="B101" s="365"/>
      <c r="C101" s="365" t="s">
        <v>15095</v>
      </c>
      <c r="D101" s="365">
        <v>3</v>
      </c>
      <c r="E101" s="365" t="s">
        <v>15331</v>
      </c>
      <c r="F101" s="366">
        <v>2</v>
      </c>
      <c r="G101" s="367">
        <v>0.03</v>
      </c>
      <c r="H101" s="368">
        <f t="shared" si="2"/>
        <v>0.06</v>
      </c>
    </row>
    <row r="102" spans="1:8" x14ac:dyDescent="0.3">
      <c r="A102" s="224">
        <v>8</v>
      </c>
      <c r="B102" s="224"/>
      <c r="C102" s="224" t="s">
        <v>15101</v>
      </c>
      <c r="D102" s="224">
        <v>2</v>
      </c>
      <c r="E102" s="224" t="s">
        <v>15332</v>
      </c>
      <c r="F102" s="362">
        <v>1</v>
      </c>
      <c r="G102" s="369">
        <v>0.04</v>
      </c>
      <c r="H102" s="370">
        <f t="shared" si="2"/>
        <v>0.04</v>
      </c>
    </row>
    <row r="103" spans="1:8" x14ac:dyDescent="0.3">
      <c r="A103" s="365">
        <v>9</v>
      </c>
      <c r="B103" s="365"/>
      <c r="C103" s="365" t="s">
        <v>15106</v>
      </c>
      <c r="D103" s="365">
        <v>100</v>
      </c>
      <c r="E103" s="365" t="s">
        <v>15333</v>
      </c>
      <c r="F103" s="366">
        <v>1</v>
      </c>
      <c r="G103" s="367">
        <v>0.02</v>
      </c>
      <c r="H103" s="368">
        <f t="shared" si="2"/>
        <v>0.02</v>
      </c>
    </row>
    <row r="104" spans="1:8" x14ac:dyDescent="0.3">
      <c r="A104" s="224">
        <v>10</v>
      </c>
      <c r="B104" s="224"/>
      <c r="C104" s="224" t="s">
        <v>15109</v>
      </c>
      <c r="D104" s="224">
        <v>2</v>
      </c>
      <c r="E104" s="224" t="s">
        <v>15331</v>
      </c>
      <c r="F104" s="362">
        <v>1</v>
      </c>
      <c r="G104" s="369">
        <v>0.03</v>
      </c>
      <c r="H104" s="370">
        <f t="shared" si="2"/>
        <v>0.03</v>
      </c>
    </row>
    <row r="105" spans="1:8" x14ac:dyDescent="0.3">
      <c r="A105" s="365">
        <v>11</v>
      </c>
      <c r="B105" s="365"/>
      <c r="C105" s="365" t="s">
        <v>15334</v>
      </c>
      <c r="D105" s="365">
        <v>0</v>
      </c>
      <c r="E105" s="365" t="s">
        <v>15335</v>
      </c>
      <c r="F105" s="366">
        <v>1</v>
      </c>
      <c r="G105" s="367">
        <v>0.02</v>
      </c>
      <c r="H105" s="368">
        <f t="shared" si="2"/>
        <v>0.02</v>
      </c>
    </row>
    <row r="106" spans="1:8" x14ac:dyDescent="0.3">
      <c r="A106" s="224">
        <v>12</v>
      </c>
      <c r="B106" s="224"/>
      <c r="C106" s="224" t="s">
        <v>15336</v>
      </c>
      <c r="D106" s="224">
        <v>4</v>
      </c>
      <c r="E106" s="224" t="s">
        <v>15337</v>
      </c>
      <c r="F106" s="362">
        <v>2</v>
      </c>
      <c r="G106" s="369">
        <v>0.03</v>
      </c>
      <c r="H106" s="370">
        <f t="shared" si="2"/>
        <v>0.06</v>
      </c>
    </row>
    <row r="107" spans="1:8" x14ac:dyDescent="0.3">
      <c r="A107" s="365">
        <v>13</v>
      </c>
      <c r="B107" s="365"/>
      <c r="C107" s="365" t="s">
        <v>15338</v>
      </c>
      <c r="D107" s="365">
        <v>4</v>
      </c>
      <c r="E107" s="365" t="s">
        <v>15339</v>
      </c>
      <c r="F107" s="366">
        <v>2</v>
      </c>
      <c r="G107" s="367">
        <v>0.02</v>
      </c>
      <c r="H107" s="368">
        <f t="shared" si="2"/>
        <v>0.04</v>
      </c>
    </row>
    <row r="108" spans="1:8" x14ac:dyDescent="0.3">
      <c r="A108" s="224">
        <v>14</v>
      </c>
      <c r="B108" s="224"/>
      <c r="C108" s="224" t="s">
        <v>15126</v>
      </c>
      <c r="D108" s="224">
        <v>0</v>
      </c>
      <c r="E108" s="224" t="s">
        <v>15340</v>
      </c>
      <c r="F108" s="362">
        <v>1</v>
      </c>
      <c r="G108" s="369">
        <v>0.03</v>
      </c>
      <c r="H108" s="370">
        <f t="shared" si="2"/>
        <v>0.03</v>
      </c>
    </row>
    <row r="109" spans="1:8" x14ac:dyDescent="0.3">
      <c r="A109" s="365">
        <v>15</v>
      </c>
      <c r="B109" s="365"/>
      <c r="C109" s="365" t="s">
        <v>15129</v>
      </c>
      <c r="D109" s="365">
        <v>4</v>
      </c>
      <c r="E109" s="365" t="s">
        <v>15341</v>
      </c>
      <c r="F109" s="366">
        <v>2</v>
      </c>
      <c r="G109" s="367">
        <v>0.03</v>
      </c>
      <c r="H109" s="368">
        <f t="shared" si="2"/>
        <v>0.06</v>
      </c>
    </row>
    <row r="110" spans="1:8" x14ac:dyDescent="0.3">
      <c r="A110" s="224">
        <v>16</v>
      </c>
      <c r="B110" s="224"/>
      <c r="C110" s="224" t="s">
        <v>15133</v>
      </c>
      <c r="D110" s="224">
        <v>5</v>
      </c>
      <c r="E110" s="224" t="s">
        <v>15342</v>
      </c>
      <c r="F110" s="362">
        <v>1</v>
      </c>
      <c r="G110" s="369">
        <v>0.02</v>
      </c>
      <c r="H110" s="370">
        <f t="shared" si="2"/>
        <v>0.02</v>
      </c>
    </row>
    <row r="111" spans="1:8" x14ac:dyDescent="0.3">
      <c r="A111" s="365">
        <v>17</v>
      </c>
      <c r="B111" s="365"/>
      <c r="C111" s="365" t="s">
        <v>15343</v>
      </c>
      <c r="D111" s="365">
        <v>0</v>
      </c>
      <c r="E111" s="365" t="s">
        <v>15344</v>
      </c>
      <c r="F111" s="366">
        <v>1</v>
      </c>
      <c r="G111" s="367">
        <v>1.4999999999999999E-2</v>
      </c>
      <c r="H111" s="368">
        <f t="shared" si="2"/>
        <v>1.4999999999999999E-2</v>
      </c>
    </row>
    <row r="112" spans="1:8" x14ac:dyDescent="0.3">
      <c r="A112" s="224">
        <v>18</v>
      </c>
      <c r="B112" s="224"/>
      <c r="C112" s="224" t="s">
        <v>15141</v>
      </c>
      <c r="D112" s="224">
        <v>5</v>
      </c>
      <c r="E112" s="224" t="s">
        <v>15345</v>
      </c>
      <c r="F112" s="362">
        <v>1</v>
      </c>
      <c r="G112" s="369">
        <v>0.01</v>
      </c>
      <c r="H112" s="370">
        <f t="shared" si="2"/>
        <v>0.01</v>
      </c>
    </row>
    <row r="113" spans="1:8" x14ac:dyDescent="0.3">
      <c r="A113" s="365">
        <v>19</v>
      </c>
      <c r="B113" s="365"/>
      <c r="C113" s="365" t="s">
        <v>15147</v>
      </c>
      <c r="D113" s="365">
        <v>5</v>
      </c>
      <c r="E113" s="365" t="s">
        <v>15345</v>
      </c>
      <c r="F113" s="366">
        <v>1</v>
      </c>
      <c r="G113" s="367">
        <v>1.4999999999999999E-2</v>
      </c>
      <c r="H113" s="368">
        <f t="shared" si="2"/>
        <v>1.4999999999999999E-2</v>
      </c>
    </row>
    <row r="114" spans="1:8" x14ac:dyDescent="0.3">
      <c r="A114" s="224">
        <v>20</v>
      </c>
      <c r="B114" s="224"/>
      <c r="C114" s="224" t="s">
        <v>15268</v>
      </c>
      <c r="D114" s="224">
        <v>2</v>
      </c>
      <c r="E114" s="224" t="s">
        <v>15332</v>
      </c>
      <c r="F114" s="362">
        <v>1</v>
      </c>
      <c r="G114" s="369">
        <v>0.02</v>
      </c>
      <c r="H114" s="370">
        <f t="shared" si="2"/>
        <v>0.02</v>
      </c>
    </row>
    <row r="115" spans="1:8" x14ac:dyDescent="0.3">
      <c r="A115" s="365">
        <v>21</v>
      </c>
      <c r="B115" s="365"/>
      <c r="C115" s="365" t="s">
        <v>15346</v>
      </c>
      <c r="D115" s="365">
        <v>2</v>
      </c>
      <c r="E115" s="365" t="s">
        <v>15347</v>
      </c>
      <c r="F115" s="366">
        <v>2</v>
      </c>
      <c r="G115" s="367">
        <v>0.03</v>
      </c>
      <c r="H115" s="368">
        <f t="shared" si="2"/>
        <v>0.06</v>
      </c>
    </row>
    <row r="116" spans="1:8" x14ac:dyDescent="0.3">
      <c r="A116" s="224">
        <v>22</v>
      </c>
      <c r="B116" s="224"/>
      <c r="C116" s="224" t="s">
        <v>15348</v>
      </c>
      <c r="D116" s="224">
        <v>30</v>
      </c>
      <c r="E116" s="224" t="s">
        <v>15349</v>
      </c>
      <c r="F116" s="362">
        <v>1</v>
      </c>
      <c r="G116" s="369">
        <v>0.03</v>
      </c>
      <c r="H116" s="370">
        <f t="shared" si="2"/>
        <v>0.03</v>
      </c>
    </row>
    <row r="117" spans="1:8" x14ac:dyDescent="0.3">
      <c r="A117" s="365">
        <v>23</v>
      </c>
      <c r="B117" s="365"/>
      <c r="C117" s="365" t="s">
        <v>15350</v>
      </c>
      <c r="D117" s="365">
        <v>5</v>
      </c>
      <c r="E117" s="365" t="s">
        <v>15351</v>
      </c>
      <c r="F117" s="366">
        <v>1</v>
      </c>
      <c r="G117" s="367">
        <v>0.03</v>
      </c>
      <c r="H117" s="368">
        <f t="shared" si="2"/>
        <v>0.03</v>
      </c>
    </row>
    <row r="118" spans="1:8" x14ac:dyDescent="0.3">
      <c r="A118" s="224">
        <v>24</v>
      </c>
      <c r="B118" s="224"/>
      <c r="C118" s="224" t="s">
        <v>15167</v>
      </c>
      <c r="D118" s="224">
        <v>1</v>
      </c>
      <c r="E118" s="224" t="s">
        <v>15328</v>
      </c>
      <c r="F118" s="362">
        <v>2</v>
      </c>
      <c r="G118" s="369">
        <v>0.03</v>
      </c>
      <c r="H118" s="370">
        <f t="shared" si="2"/>
        <v>0.06</v>
      </c>
    </row>
    <row r="119" spans="1:8" x14ac:dyDescent="0.3">
      <c r="A119" s="365">
        <v>25</v>
      </c>
      <c r="B119" s="365"/>
      <c r="C119" s="365" t="s">
        <v>15352</v>
      </c>
      <c r="D119" s="365">
        <v>2</v>
      </c>
      <c r="E119" s="365" t="s">
        <v>15347</v>
      </c>
      <c r="F119" s="366">
        <v>2</v>
      </c>
      <c r="G119" s="367">
        <v>0.03</v>
      </c>
      <c r="H119" s="368">
        <f t="shared" si="2"/>
        <v>0.06</v>
      </c>
    </row>
    <row r="120" spans="1:8" x14ac:dyDescent="0.3">
      <c r="A120" s="224">
        <v>26</v>
      </c>
      <c r="B120" s="224"/>
      <c r="C120" s="224" t="s">
        <v>15176</v>
      </c>
      <c r="D120" s="224">
        <v>5</v>
      </c>
      <c r="E120" s="224" t="s">
        <v>15353</v>
      </c>
      <c r="F120" s="362">
        <v>1</v>
      </c>
      <c r="G120" s="369">
        <v>0.02</v>
      </c>
      <c r="H120" s="370">
        <f t="shared" si="2"/>
        <v>0.02</v>
      </c>
    </row>
    <row r="121" spans="1:8" x14ac:dyDescent="0.3">
      <c r="A121" s="365">
        <v>27</v>
      </c>
      <c r="B121" s="365"/>
      <c r="C121" s="365" t="s">
        <v>15275</v>
      </c>
      <c r="D121" s="365">
        <v>0</v>
      </c>
      <c r="E121" s="365" t="s">
        <v>15354</v>
      </c>
      <c r="F121" s="366">
        <v>1</v>
      </c>
      <c r="G121" s="367">
        <v>0.02</v>
      </c>
      <c r="H121" s="368">
        <f t="shared" si="2"/>
        <v>0.02</v>
      </c>
    </row>
    <row r="122" spans="1:8" x14ac:dyDescent="0.3">
      <c r="A122" s="224">
        <v>28</v>
      </c>
      <c r="B122" s="224"/>
      <c r="C122" s="224" t="s">
        <v>15181</v>
      </c>
      <c r="D122" s="224">
        <v>5</v>
      </c>
      <c r="E122" s="224" t="s">
        <v>15355</v>
      </c>
      <c r="F122" s="362">
        <v>1</v>
      </c>
      <c r="G122" s="369">
        <v>0.02</v>
      </c>
      <c r="H122" s="370">
        <f t="shared" si="2"/>
        <v>0.02</v>
      </c>
    </row>
    <row r="123" spans="1:8" x14ac:dyDescent="0.3">
      <c r="A123" s="365">
        <v>29</v>
      </c>
      <c r="B123" s="365"/>
      <c r="C123" s="365" t="s">
        <v>15356</v>
      </c>
      <c r="D123" s="365">
        <v>4</v>
      </c>
      <c r="E123" s="365" t="s">
        <v>15345</v>
      </c>
      <c r="F123" s="366">
        <v>2</v>
      </c>
      <c r="G123" s="367">
        <v>0.02</v>
      </c>
      <c r="H123" s="368">
        <f t="shared" si="2"/>
        <v>0.04</v>
      </c>
    </row>
    <row r="124" spans="1:8" x14ac:dyDescent="0.3">
      <c r="A124" s="224">
        <v>30</v>
      </c>
      <c r="B124" s="224"/>
      <c r="C124" s="224" t="s">
        <v>14554</v>
      </c>
      <c r="D124" s="224">
        <v>4</v>
      </c>
      <c r="E124" s="224" t="s">
        <v>15357</v>
      </c>
      <c r="F124" s="362">
        <v>2</v>
      </c>
      <c r="G124" s="369">
        <v>1.4999999999999999E-2</v>
      </c>
      <c r="H124" s="370">
        <f t="shared" si="2"/>
        <v>0.03</v>
      </c>
    </row>
    <row r="125" spans="1:8" x14ac:dyDescent="0.3">
      <c r="A125" s="365">
        <v>31</v>
      </c>
      <c r="B125" s="365"/>
      <c r="C125" s="365" t="s">
        <v>15358</v>
      </c>
      <c r="D125" s="365">
        <v>4</v>
      </c>
      <c r="E125" s="365" t="s">
        <v>15359</v>
      </c>
      <c r="F125" s="366">
        <v>2</v>
      </c>
      <c r="G125" s="367">
        <v>1.4999999999999999E-2</v>
      </c>
      <c r="H125" s="368">
        <f t="shared" si="2"/>
        <v>0.03</v>
      </c>
    </row>
    <row r="126" spans="1:8" x14ac:dyDescent="0.3">
      <c r="A126" s="224">
        <v>32</v>
      </c>
      <c r="B126" s="224"/>
      <c r="C126" s="224" t="s">
        <v>15279</v>
      </c>
      <c r="D126" s="224">
        <v>4</v>
      </c>
      <c r="E126" s="224" t="s">
        <v>15360</v>
      </c>
      <c r="F126" s="362">
        <v>2</v>
      </c>
      <c r="G126" s="369">
        <v>1.4999999999999999E-2</v>
      </c>
      <c r="H126" s="370">
        <f t="shared" si="2"/>
        <v>0.03</v>
      </c>
    </row>
    <row r="127" spans="1:8" x14ac:dyDescent="0.3">
      <c r="A127" s="365">
        <v>33</v>
      </c>
      <c r="B127" s="365"/>
      <c r="C127" s="365" t="s">
        <v>15361</v>
      </c>
      <c r="D127" s="365">
        <v>15</v>
      </c>
      <c r="E127" s="365" t="s">
        <v>15362</v>
      </c>
      <c r="F127" s="366">
        <v>1</v>
      </c>
      <c r="G127" s="367">
        <v>0.02</v>
      </c>
      <c r="H127" s="368">
        <f t="shared" si="2"/>
        <v>0.02</v>
      </c>
    </row>
    <row r="128" spans="1:8" x14ac:dyDescent="0.3">
      <c r="A128" s="224">
        <v>34</v>
      </c>
      <c r="B128" s="224"/>
      <c r="C128" s="224" t="s">
        <v>15363</v>
      </c>
      <c r="D128" s="224">
        <v>90</v>
      </c>
      <c r="E128" s="224" t="s">
        <v>15364</v>
      </c>
      <c r="F128" s="362">
        <v>1</v>
      </c>
      <c r="G128" s="369">
        <v>1.4999999999999999E-2</v>
      </c>
      <c r="H128" s="370">
        <f t="shared" si="2"/>
        <v>1.4999999999999999E-2</v>
      </c>
    </row>
    <row r="129" spans="1:8" x14ac:dyDescent="0.3">
      <c r="A129" s="365">
        <v>35</v>
      </c>
      <c r="B129" s="365"/>
      <c r="C129" s="365" t="s">
        <v>15365</v>
      </c>
      <c r="D129" s="365">
        <v>5</v>
      </c>
      <c r="E129" s="365" t="s">
        <v>15341</v>
      </c>
      <c r="F129" s="366">
        <v>1</v>
      </c>
      <c r="G129" s="367">
        <v>0.02</v>
      </c>
      <c r="H129" s="368">
        <f t="shared" si="2"/>
        <v>0.02</v>
      </c>
    </row>
    <row r="130" spans="1:8" x14ac:dyDescent="0.3">
      <c r="A130" s="224">
        <v>36</v>
      </c>
      <c r="B130" s="224"/>
      <c r="C130" s="224" t="s">
        <v>15212</v>
      </c>
      <c r="D130" s="224">
        <v>5</v>
      </c>
      <c r="E130" s="224" t="s">
        <v>15366</v>
      </c>
      <c r="F130" s="362">
        <v>2</v>
      </c>
      <c r="G130" s="369">
        <v>0.02</v>
      </c>
      <c r="H130" s="370">
        <f t="shared" si="2"/>
        <v>0.04</v>
      </c>
    </row>
    <row r="131" spans="1:8" x14ac:dyDescent="0.3">
      <c r="A131" s="365">
        <v>37</v>
      </c>
      <c r="B131" s="365"/>
      <c r="C131" s="365" t="s">
        <v>15367</v>
      </c>
      <c r="D131" s="365">
        <v>5</v>
      </c>
      <c r="E131" s="365" t="s">
        <v>15368</v>
      </c>
      <c r="F131" s="366">
        <v>1</v>
      </c>
      <c r="G131" s="367">
        <v>0.01</v>
      </c>
      <c r="H131" s="368">
        <f t="shared" si="2"/>
        <v>0.01</v>
      </c>
    </row>
    <row r="132" spans="1:8" x14ac:dyDescent="0.3">
      <c r="A132" s="224">
        <v>38</v>
      </c>
      <c r="B132" s="224"/>
      <c r="C132" s="224" t="s">
        <v>15230</v>
      </c>
      <c r="D132" s="224">
        <v>0</v>
      </c>
      <c r="E132" s="224" t="s">
        <v>15369</v>
      </c>
      <c r="F132" s="362">
        <v>1</v>
      </c>
      <c r="G132" s="369">
        <v>8.0000000000000002E-3</v>
      </c>
      <c r="H132" s="370">
        <f t="shared" si="2"/>
        <v>8.0000000000000002E-3</v>
      </c>
    </row>
    <row r="133" spans="1:8" x14ac:dyDescent="0.3">
      <c r="A133" s="365">
        <v>39</v>
      </c>
      <c r="B133" s="365"/>
      <c r="C133" s="365" t="s">
        <v>15235</v>
      </c>
      <c r="D133" s="365">
        <v>90</v>
      </c>
      <c r="E133" s="365" t="s">
        <v>15370</v>
      </c>
      <c r="F133" s="366">
        <v>1</v>
      </c>
      <c r="G133" s="367">
        <v>8.0000000000000002E-3</v>
      </c>
      <c r="H133" s="368">
        <f t="shared" si="2"/>
        <v>8.0000000000000002E-3</v>
      </c>
    </row>
    <row r="134" spans="1:8" x14ac:dyDescent="0.3">
      <c r="A134" s="224">
        <v>40</v>
      </c>
      <c r="B134" s="224"/>
      <c r="C134" s="224" t="s">
        <v>15285</v>
      </c>
      <c r="D134" s="224">
        <v>0</v>
      </c>
      <c r="E134" s="224" t="s">
        <v>15328</v>
      </c>
      <c r="F134" s="362">
        <v>1</v>
      </c>
      <c r="G134" s="369">
        <v>0.01</v>
      </c>
      <c r="H134" s="370">
        <f t="shared" si="2"/>
        <v>0.01</v>
      </c>
    </row>
    <row r="135" spans="1:8" x14ac:dyDescent="0.3">
      <c r="A135" s="365">
        <v>41</v>
      </c>
      <c r="B135" s="365"/>
      <c r="C135" s="365" t="s">
        <v>15371</v>
      </c>
      <c r="D135" s="365">
        <v>5</v>
      </c>
      <c r="E135" s="365" t="s">
        <v>15345</v>
      </c>
      <c r="F135" s="366">
        <v>1</v>
      </c>
      <c r="G135" s="367">
        <v>8.0000000000000002E-3</v>
      </c>
      <c r="H135" s="368">
        <f t="shared" si="2"/>
        <v>8.0000000000000002E-3</v>
      </c>
    </row>
    <row r="136" spans="1:8" x14ac:dyDescent="0.3">
      <c r="A136" s="224">
        <v>42</v>
      </c>
      <c r="B136" s="224"/>
      <c r="C136" s="224" t="s">
        <v>15372</v>
      </c>
      <c r="D136" s="224">
        <v>4</v>
      </c>
      <c r="E136" s="224" t="s">
        <v>15345</v>
      </c>
      <c r="F136" s="362">
        <v>2</v>
      </c>
      <c r="G136" s="369">
        <v>8.0000000000000002E-3</v>
      </c>
      <c r="H136" s="370">
        <f t="shared" si="2"/>
        <v>1.6E-2</v>
      </c>
    </row>
    <row r="137" spans="1:8" x14ac:dyDescent="0.3">
      <c r="A137" s="365">
        <v>43</v>
      </c>
      <c r="B137" s="365"/>
      <c r="C137" s="365" t="s">
        <v>15244</v>
      </c>
      <c r="D137" s="365">
        <v>1</v>
      </c>
      <c r="E137" s="365" t="s">
        <v>15373</v>
      </c>
      <c r="F137" s="366">
        <v>1</v>
      </c>
      <c r="G137" s="367">
        <v>0.01</v>
      </c>
      <c r="H137" s="368">
        <f t="shared" si="2"/>
        <v>0.01</v>
      </c>
    </row>
    <row r="138" spans="1:8" x14ac:dyDescent="0.3">
      <c r="A138" s="224">
        <v>44</v>
      </c>
      <c r="B138" s="224"/>
      <c r="C138" s="224" t="s">
        <v>15247</v>
      </c>
      <c r="D138" s="224">
        <v>500</v>
      </c>
      <c r="E138" s="224" t="s">
        <v>15374</v>
      </c>
      <c r="F138" s="362">
        <v>1</v>
      </c>
      <c r="G138" s="369">
        <v>0.01</v>
      </c>
      <c r="H138" s="370">
        <f t="shared" si="2"/>
        <v>0.01</v>
      </c>
    </row>
    <row r="139" spans="1:8" x14ac:dyDescent="0.3">
      <c r="A139" s="224"/>
      <c r="B139" s="224"/>
      <c r="C139" s="224"/>
      <c r="D139" s="224"/>
      <c r="E139" s="224"/>
      <c r="F139" s="224"/>
      <c r="G139" s="224"/>
      <c r="H139" s="224"/>
    </row>
    <row r="140" spans="1:8" x14ac:dyDescent="0.3">
      <c r="A140" s="371" t="s">
        <v>4458</v>
      </c>
      <c r="B140" s="371"/>
      <c r="C140" s="372"/>
      <c r="D140" s="372"/>
      <c r="E140" s="372"/>
      <c r="F140" s="313">
        <f>ROUND(AVERAGE(F95:F138),2)</f>
        <v>1.36</v>
      </c>
      <c r="G140" s="373">
        <f>SUM(G95:G138)</f>
        <v>1.0000000000000004</v>
      </c>
      <c r="H140" s="374">
        <f>ROUND(SUM(H95:H138),2)</f>
        <v>1.43</v>
      </c>
    </row>
    <row r="143" spans="1:8" x14ac:dyDescent="0.3">
      <c r="A143" s="375" t="s">
        <v>15375</v>
      </c>
      <c r="B143" s="375"/>
      <c r="C143" s="219"/>
      <c r="D143" s="219"/>
      <c r="E143" s="219"/>
      <c r="F143" s="219"/>
      <c r="G143" s="219"/>
      <c r="H143" s="219"/>
    </row>
    <row r="145" spans="1:12" x14ac:dyDescent="0.3">
      <c r="A145" s="16" t="s">
        <v>15376</v>
      </c>
      <c r="B145" s="16"/>
      <c r="C145" s="376">
        <f>H140</f>
        <v>1.43</v>
      </c>
      <c r="E145" s="16" t="s">
        <v>15377</v>
      </c>
      <c r="F145" t="str">
        <f>IF(H140&gt;=4,"SEVERE",IF(H140&gt;=3.5,"CRITICAL",IF(H140&gt;=2.5,"HIGH",IF(H140&gt;=1.5,"MEDIUM","LOW"))))</f>
        <v>LOW</v>
      </c>
    </row>
    <row r="147" spans="1:12" x14ac:dyDescent="0.3">
      <c r="A147" s="377" t="s">
        <v>15378</v>
      </c>
      <c r="B147" s="377"/>
      <c r="C147" s="219"/>
      <c r="D147" s="219"/>
      <c r="E147" s="219"/>
      <c r="F147" s="219"/>
      <c r="G147" s="219"/>
      <c r="H147" s="219"/>
    </row>
    <row r="150" spans="1:12" ht="15.6" x14ac:dyDescent="0.3">
      <c r="A150" s="378" t="s">
        <v>15379</v>
      </c>
      <c r="B150" s="378"/>
      <c r="C150" s="378"/>
      <c r="D150" s="378"/>
      <c r="E150" s="378"/>
      <c r="F150" s="378"/>
      <c r="G150" s="378"/>
      <c r="H150" s="378"/>
      <c r="I150" s="378"/>
      <c r="J150" s="378"/>
      <c r="K150" s="378"/>
      <c r="L150" s="378"/>
    </row>
    <row r="151" spans="1:12" x14ac:dyDescent="0.3">
      <c r="A151" s="379"/>
      <c r="B151" s="379"/>
      <c r="C151" s="379"/>
      <c r="D151" s="379"/>
      <c r="E151" s="379"/>
      <c r="F151" s="379"/>
      <c r="G151" s="379"/>
      <c r="H151" s="379"/>
      <c r="I151" s="379"/>
      <c r="J151" s="379"/>
      <c r="K151" s="379"/>
      <c r="L151" s="379"/>
    </row>
    <row r="152" spans="1:12" x14ac:dyDescent="0.3">
      <c r="A152" s="379" t="s">
        <v>15380</v>
      </c>
      <c r="B152" s="379"/>
      <c r="C152" s="379"/>
      <c r="D152" s="379"/>
      <c r="E152" s="379"/>
      <c r="F152" s="379"/>
      <c r="G152" s="379"/>
      <c r="H152" s="379"/>
      <c r="I152" s="379"/>
      <c r="J152" s="379"/>
      <c r="K152" s="379"/>
      <c r="L152" s="379"/>
    </row>
    <row r="153" spans="1:12" x14ac:dyDescent="0.3">
      <c r="A153" s="379"/>
      <c r="B153" s="379"/>
      <c r="C153" s="379"/>
      <c r="D153" s="379"/>
      <c r="E153" s="379"/>
      <c r="F153" s="379"/>
      <c r="G153" s="379"/>
      <c r="H153" s="379"/>
      <c r="I153" s="379"/>
      <c r="J153" s="379"/>
      <c r="K153" s="379"/>
      <c r="L153" s="379"/>
    </row>
    <row r="154" spans="1:12" x14ac:dyDescent="0.3">
      <c r="A154" s="379" t="s">
        <v>15381</v>
      </c>
      <c r="B154" s="379"/>
      <c r="C154" s="379"/>
      <c r="D154" s="379"/>
      <c r="E154" s="379"/>
      <c r="F154" s="379"/>
      <c r="G154" s="379"/>
      <c r="H154" s="379"/>
      <c r="I154" s="379"/>
      <c r="J154" s="379"/>
      <c r="K154" s="379"/>
      <c r="L154" s="379"/>
    </row>
    <row r="155" spans="1:12" x14ac:dyDescent="0.3">
      <c r="A155" s="379"/>
      <c r="B155" s="379"/>
      <c r="C155" s="379"/>
      <c r="D155" s="379"/>
      <c r="E155" s="379"/>
      <c r="F155" s="379"/>
      <c r="G155" s="379"/>
      <c r="H155" s="379"/>
      <c r="I155" s="379"/>
      <c r="J155" s="379"/>
      <c r="K155" s="379"/>
      <c r="L155" s="379"/>
    </row>
    <row r="156" spans="1:12" x14ac:dyDescent="0.3">
      <c r="A156" s="379" t="s">
        <v>15382</v>
      </c>
      <c r="B156" s="379"/>
      <c r="C156" s="379"/>
      <c r="D156" s="379"/>
      <c r="E156" s="379"/>
      <c r="F156" s="379"/>
      <c r="G156" s="379"/>
      <c r="H156" s="379"/>
      <c r="I156" s="379"/>
      <c r="J156" s="379"/>
      <c r="K156" s="379"/>
      <c r="L156" s="379"/>
    </row>
    <row r="157" spans="1:12" x14ac:dyDescent="0.3">
      <c r="A157" s="379" t="s">
        <v>15383</v>
      </c>
      <c r="B157" s="379"/>
      <c r="C157" s="379"/>
      <c r="D157" s="379"/>
      <c r="E157" s="379"/>
      <c r="F157" s="379"/>
      <c r="G157" s="379"/>
      <c r="H157" s="379"/>
      <c r="I157" s="379"/>
      <c r="J157" s="379"/>
      <c r="K157" s="379"/>
      <c r="L157" s="379"/>
    </row>
    <row r="158" spans="1:12" x14ac:dyDescent="0.3">
      <c r="A158" s="379" t="s">
        <v>15384</v>
      </c>
      <c r="B158" s="379"/>
      <c r="C158" s="379"/>
      <c r="D158" s="379"/>
      <c r="E158" s="379"/>
      <c r="F158" s="379"/>
      <c r="G158" s="379"/>
      <c r="H158" s="379"/>
      <c r="I158" s="379"/>
      <c r="J158" s="379"/>
      <c r="K158" s="379"/>
      <c r="L158" s="379"/>
    </row>
    <row r="159" spans="1:12" x14ac:dyDescent="0.3">
      <c r="A159" s="379" t="s">
        <v>15385</v>
      </c>
      <c r="B159" s="379"/>
      <c r="C159" s="379"/>
      <c r="D159" s="379"/>
      <c r="E159" s="379"/>
      <c r="F159" s="379"/>
      <c r="G159" s="379"/>
      <c r="H159" s="379"/>
      <c r="I159" s="379"/>
      <c r="J159" s="379"/>
      <c r="K159" s="379"/>
      <c r="L159" s="379"/>
    </row>
    <row r="160" spans="1:12" x14ac:dyDescent="0.3">
      <c r="A160" s="379"/>
      <c r="B160" s="379"/>
      <c r="C160" s="379"/>
      <c r="D160" s="379"/>
      <c r="E160" s="379"/>
      <c r="F160" s="379"/>
      <c r="G160" s="379"/>
      <c r="H160" s="379"/>
      <c r="I160" s="379"/>
      <c r="J160" s="379"/>
      <c r="K160" s="379"/>
      <c r="L160" s="379"/>
    </row>
    <row r="161" spans="1:12" x14ac:dyDescent="0.3">
      <c r="A161" s="379" t="s">
        <v>15386</v>
      </c>
      <c r="B161" s="379"/>
      <c r="C161" s="379"/>
      <c r="D161" s="379"/>
      <c r="E161" s="379"/>
      <c r="F161" s="379"/>
      <c r="G161" s="379"/>
      <c r="H161" s="379"/>
      <c r="I161" s="379"/>
      <c r="J161" s="379"/>
      <c r="K161" s="379"/>
      <c r="L161" s="379"/>
    </row>
    <row r="162" spans="1:12" x14ac:dyDescent="0.3">
      <c r="A162" s="379"/>
      <c r="B162" s="379"/>
      <c r="C162" s="379"/>
      <c r="D162" s="379"/>
      <c r="E162" s="379"/>
      <c r="F162" s="379"/>
      <c r="G162" s="379"/>
      <c r="H162" s="379"/>
      <c r="I162" s="379"/>
      <c r="J162" s="379"/>
      <c r="K162" s="379"/>
      <c r="L162" s="379"/>
    </row>
    <row r="163" spans="1:12" x14ac:dyDescent="0.3">
      <c r="A163" s="379" t="s">
        <v>15387</v>
      </c>
      <c r="B163" s="379"/>
      <c r="C163" s="379"/>
      <c r="D163" s="379"/>
      <c r="E163" s="379"/>
      <c r="F163" s="379"/>
      <c r="G163" s="379"/>
      <c r="H163" s="379"/>
      <c r="I163" s="379"/>
      <c r="J163" s="379"/>
      <c r="K163" s="379"/>
      <c r="L163" s="379"/>
    </row>
    <row r="166" spans="1:12" ht="18" x14ac:dyDescent="0.35">
      <c r="A166" s="358" t="s">
        <v>15388</v>
      </c>
      <c r="B166" s="358"/>
      <c r="C166" s="358"/>
      <c r="D166" s="358"/>
      <c r="E166" s="358"/>
      <c r="F166" s="358"/>
      <c r="G166" s="358"/>
      <c r="H166" s="358"/>
      <c r="I166" s="358"/>
      <c r="J166" s="358"/>
      <c r="K166" s="358"/>
      <c r="L166" s="358"/>
    </row>
    <row r="168" spans="1:12" ht="15.6" x14ac:dyDescent="0.3">
      <c r="A168" s="380" t="s">
        <v>15389</v>
      </c>
      <c r="B168" s="380"/>
      <c r="C168" s="381"/>
      <c r="D168" s="381"/>
      <c r="E168" s="381"/>
      <c r="F168" s="381"/>
      <c r="G168" s="381"/>
      <c r="H168" s="381"/>
      <c r="I168" s="381"/>
      <c r="J168" s="381"/>
      <c r="K168" s="381"/>
      <c r="L168" s="381"/>
    </row>
    <row r="169" spans="1:12" x14ac:dyDescent="0.3">
      <c r="A169" s="381" t="s">
        <v>15390</v>
      </c>
      <c r="B169" s="381"/>
      <c r="C169" s="381"/>
      <c r="D169" s="381"/>
      <c r="E169" s="381"/>
      <c r="F169" s="381"/>
      <c r="G169" s="381"/>
      <c r="H169" s="381"/>
      <c r="I169" s="381"/>
      <c r="J169" s="381"/>
      <c r="K169" s="381"/>
      <c r="L169" s="381"/>
    </row>
    <row r="170" spans="1:12" x14ac:dyDescent="0.3">
      <c r="A170" s="381" t="s">
        <v>15391</v>
      </c>
      <c r="B170" s="381"/>
      <c r="C170" s="381"/>
      <c r="D170" s="381"/>
      <c r="E170" s="381"/>
      <c r="F170" s="381"/>
      <c r="G170" s="381"/>
      <c r="H170" s="381"/>
      <c r="I170" s="381"/>
      <c r="J170" s="381"/>
      <c r="K170" s="381"/>
      <c r="L170" s="381"/>
    </row>
    <row r="171" spans="1:12" x14ac:dyDescent="0.3">
      <c r="A171" s="381" t="s">
        <v>15392</v>
      </c>
      <c r="B171" s="381"/>
      <c r="C171" s="381"/>
      <c r="D171" s="381"/>
      <c r="E171" s="381"/>
      <c r="F171" s="381"/>
      <c r="G171" s="381"/>
      <c r="H171" s="381"/>
      <c r="I171" s="381"/>
      <c r="J171" s="381"/>
      <c r="K171" s="381"/>
      <c r="L171" s="381"/>
    </row>
    <row r="172" spans="1:12" x14ac:dyDescent="0.3">
      <c r="A172" s="381"/>
      <c r="B172" s="381"/>
      <c r="C172" s="381"/>
      <c r="D172" s="381"/>
      <c r="E172" s="381"/>
      <c r="F172" s="381"/>
      <c r="G172" s="381"/>
      <c r="H172" s="381"/>
      <c r="I172" s="381"/>
      <c r="J172" s="381"/>
      <c r="K172" s="381"/>
      <c r="L172" s="381"/>
    </row>
    <row r="173" spans="1:12" ht="15.6" x14ac:dyDescent="0.3">
      <c r="A173" s="380" t="s">
        <v>15393</v>
      </c>
      <c r="B173" s="380"/>
      <c r="C173" s="381"/>
      <c r="D173" s="381"/>
      <c r="E173" s="381"/>
      <c r="F173" s="381"/>
      <c r="G173" s="381"/>
      <c r="H173" s="381"/>
      <c r="I173" s="381"/>
      <c r="J173" s="381"/>
      <c r="K173" s="381"/>
      <c r="L173" s="381"/>
    </row>
    <row r="174" spans="1:12" x14ac:dyDescent="0.3">
      <c r="A174" s="381"/>
      <c r="B174" s="381"/>
      <c r="C174" s="381"/>
      <c r="D174" s="381"/>
      <c r="E174" s="381"/>
      <c r="F174" s="381"/>
      <c r="G174" s="381"/>
      <c r="H174" s="381"/>
      <c r="I174" s="381"/>
      <c r="J174" s="381"/>
      <c r="K174" s="381"/>
      <c r="L174" s="381"/>
    </row>
    <row r="175" spans="1:12" x14ac:dyDescent="0.3">
      <c r="A175" s="381" t="s">
        <v>15394</v>
      </c>
      <c r="B175" s="381"/>
      <c r="C175" s="381"/>
      <c r="D175" s="381"/>
      <c r="E175" s="381"/>
      <c r="F175" s="381"/>
      <c r="G175" s="381"/>
      <c r="H175" s="381"/>
      <c r="I175" s="381"/>
      <c r="J175" s="381"/>
      <c r="K175" s="381"/>
      <c r="L175" s="381"/>
    </row>
    <row r="176" spans="1:12" x14ac:dyDescent="0.3">
      <c r="A176" s="381"/>
      <c r="B176" s="381"/>
      <c r="C176" s="381"/>
      <c r="D176" s="381"/>
      <c r="E176" s="381"/>
      <c r="F176" s="381"/>
      <c r="G176" s="381"/>
      <c r="H176" s="381"/>
      <c r="I176" s="381"/>
      <c r="J176" s="381"/>
      <c r="K176" s="381"/>
      <c r="L176" s="381"/>
    </row>
    <row r="177" spans="1:12" x14ac:dyDescent="0.3">
      <c r="A177" s="381" t="s">
        <v>15395</v>
      </c>
      <c r="B177" s="381"/>
      <c r="C177" s="381"/>
      <c r="D177" s="381"/>
      <c r="E177" s="381"/>
      <c r="F177" s="381"/>
      <c r="G177" s="381"/>
      <c r="H177" s="381"/>
      <c r="I177" s="381"/>
      <c r="J177" s="381"/>
      <c r="K177" s="381"/>
      <c r="L177" s="381"/>
    </row>
    <row r="178" spans="1:12" x14ac:dyDescent="0.3">
      <c r="A178" s="381" t="s">
        <v>15396</v>
      </c>
      <c r="B178" s="381"/>
      <c r="C178" s="381"/>
      <c r="D178" s="381"/>
      <c r="E178" s="381"/>
      <c r="F178" s="381"/>
      <c r="G178" s="381"/>
      <c r="H178" s="381"/>
      <c r="I178" s="381"/>
      <c r="J178" s="381"/>
      <c r="K178" s="381"/>
      <c r="L178" s="381"/>
    </row>
    <row r="179" spans="1:12" x14ac:dyDescent="0.3">
      <c r="A179" s="381"/>
      <c r="B179" s="381"/>
      <c r="C179" s="381"/>
      <c r="D179" s="381"/>
      <c r="E179" s="381"/>
      <c r="F179" s="381"/>
      <c r="G179" s="381"/>
      <c r="H179" s="381"/>
      <c r="I179" s="381"/>
      <c r="J179" s="381"/>
      <c r="K179" s="381"/>
      <c r="L179" s="381"/>
    </row>
    <row r="180" spans="1:12" ht="15.6" x14ac:dyDescent="0.3">
      <c r="A180" s="380" t="s">
        <v>15397</v>
      </c>
      <c r="B180" s="380"/>
      <c r="C180" s="381"/>
      <c r="D180" s="381"/>
      <c r="E180" s="381"/>
      <c r="F180" s="381"/>
      <c r="G180" s="381"/>
      <c r="H180" s="381"/>
      <c r="I180" s="381"/>
      <c r="J180" s="381"/>
      <c r="K180" s="381"/>
      <c r="L180" s="381"/>
    </row>
    <row r="181" spans="1:12" x14ac:dyDescent="0.3">
      <c r="A181" s="381"/>
      <c r="B181" s="381"/>
      <c r="C181" s="381"/>
      <c r="D181" s="381"/>
      <c r="E181" s="381"/>
      <c r="F181" s="381"/>
      <c r="G181" s="381"/>
      <c r="H181" s="381"/>
      <c r="I181" s="381"/>
      <c r="J181" s="381"/>
      <c r="K181" s="381"/>
      <c r="L181" s="381"/>
    </row>
    <row r="182" spans="1:12" x14ac:dyDescent="0.3">
      <c r="A182" s="382" t="s">
        <v>15398</v>
      </c>
      <c r="B182" s="382"/>
      <c r="C182" s="381"/>
      <c r="D182" s="381"/>
      <c r="E182" s="381"/>
      <c r="F182" s="381"/>
      <c r="G182" s="381"/>
      <c r="H182" s="381"/>
      <c r="I182" s="381"/>
      <c r="J182" s="381"/>
      <c r="K182" s="381"/>
      <c r="L182" s="381"/>
    </row>
    <row r="183" spans="1:12" x14ac:dyDescent="0.3">
      <c r="A183" s="381" t="s">
        <v>15399</v>
      </c>
      <c r="B183" s="381"/>
      <c r="C183" s="381"/>
      <c r="D183" s="381"/>
      <c r="E183" s="381"/>
      <c r="F183" s="381"/>
      <c r="G183" s="381"/>
      <c r="H183" s="381"/>
      <c r="I183" s="381"/>
      <c r="J183" s="381"/>
      <c r="K183" s="381"/>
      <c r="L183" s="381"/>
    </row>
    <row r="184" spans="1:12" x14ac:dyDescent="0.3">
      <c r="A184" s="381" t="s">
        <v>15400</v>
      </c>
      <c r="B184" s="381"/>
      <c r="C184" s="381"/>
      <c r="D184" s="381"/>
      <c r="E184" s="381"/>
      <c r="F184" s="381"/>
      <c r="G184" s="381"/>
      <c r="H184" s="381"/>
      <c r="I184" s="381"/>
      <c r="J184" s="381"/>
      <c r="K184" s="381"/>
      <c r="L184" s="381"/>
    </row>
    <row r="185" spans="1:12" x14ac:dyDescent="0.3">
      <c r="A185" s="381" t="s">
        <v>15401</v>
      </c>
      <c r="B185" s="381"/>
      <c r="C185" s="381"/>
      <c r="D185" s="381"/>
      <c r="E185" s="381"/>
      <c r="F185" s="381"/>
      <c r="G185" s="381"/>
      <c r="H185" s="381"/>
      <c r="I185" s="381"/>
      <c r="J185" s="381"/>
      <c r="K185" s="381"/>
      <c r="L185" s="381"/>
    </row>
    <row r="186" spans="1:12" x14ac:dyDescent="0.3">
      <c r="A186" s="381" t="s">
        <v>15402</v>
      </c>
      <c r="B186" s="381"/>
      <c r="C186" s="381"/>
      <c r="D186" s="381"/>
      <c r="E186" s="381"/>
      <c r="F186" s="381"/>
      <c r="G186" s="381"/>
      <c r="H186" s="381"/>
      <c r="I186" s="381"/>
      <c r="J186" s="381"/>
      <c r="K186" s="381"/>
      <c r="L186" s="381"/>
    </row>
    <row r="187" spans="1:12" x14ac:dyDescent="0.3">
      <c r="A187" s="381" t="s">
        <v>15403</v>
      </c>
      <c r="B187" s="381"/>
      <c r="C187" s="381"/>
      <c r="D187" s="381"/>
      <c r="E187" s="381"/>
      <c r="F187" s="381"/>
      <c r="G187" s="381"/>
      <c r="H187" s="381"/>
      <c r="I187" s="381"/>
      <c r="J187" s="381"/>
      <c r="K187" s="381"/>
      <c r="L187" s="381"/>
    </row>
    <row r="188" spans="1:12" x14ac:dyDescent="0.3">
      <c r="A188" s="381" t="s">
        <v>15404</v>
      </c>
      <c r="B188" s="381"/>
      <c r="C188" s="381"/>
      <c r="D188" s="381"/>
      <c r="E188" s="381"/>
      <c r="F188" s="381"/>
      <c r="G188" s="381"/>
      <c r="H188" s="381"/>
      <c r="I188" s="381"/>
      <c r="J188" s="381"/>
      <c r="K188" s="381"/>
      <c r="L188" s="381"/>
    </row>
    <row r="189" spans="1:12" x14ac:dyDescent="0.3">
      <c r="A189" s="381" t="s">
        <v>15405</v>
      </c>
      <c r="B189" s="381"/>
      <c r="C189" s="381"/>
      <c r="D189" s="381"/>
      <c r="E189" s="381"/>
      <c r="F189" s="381"/>
      <c r="G189" s="381"/>
      <c r="H189" s="381"/>
      <c r="I189" s="381"/>
      <c r="J189" s="381"/>
      <c r="K189" s="381"/>
      <c r="L189" s="381"/>
    </row>
    <row r="190" spans="1:12" x14ac:dyDescent="0.3">
      <c r="A190" s="381" t="s">
        <v>15406</v>
      </c>
      <c r="B190" s="381"/>
      <c r="C190" s="381"/>
      <c r="D190" s="381"/>
      <c r="E190" s="381"/>
      <c r="F190" s="381"/>
      <c r="G190" s="381"/>
      <c r="H190" s="381"/>
      <c r="I190" s="381"/>
      <c r="J190" s="381"/>
      <c r="K190" s="381"/>
      <c r="L190" s="381"/>
    </row>
    <row r="191" spans="1:12" x14ac:dyDescent="0.3">
      <c r="A191" s="381" t="s">
        <v>15407</v>
      </c>
      <c r="B191" s="381"/>
      <c r="C191" s="381"/>
      <c r="D191" s="381"/>
      <c r="E191" s="381"/>
      <c r="F191" s="381"/>
      <c r="G191" s="381"/>
      <c r="H191" s="381"/>
      <c r="I191" s="381"/>
      <c r="J191" s="381"/>
      <c r="K191" s="381"/>
      <c r="L191" s="381"/>
    </row>
    <row r="192" spans="1:12" x14ac:dyDescent="0.3">
      <c r="A192" s="381" t="s">
        <v>15408</v>
      </c>
      <c r="B192" s="381"/>
      <c r="C192" s="381"/>
      <c r="D192" s="381"/>
      <c r="E192" s="381"/>
      <c r="F192" s="381"/>
      <c r="G192" s="381"/>
      <c r="H192" s="381"/>
      <c r="I192" s="381"/>
      <c r="J192" s="381"/>
      <c r="K192" s="381"/>
      <c r="L192" s="381"/>
    </row>
    <row r="193" spans="1:12" x14ac:dyDescent="0.3">
      <c r="A193" s="381" t="s">
        <v>15409</v>
      </c>
      <c r="B193" s="381"/>
      <c r="C193" s="381"/>
      <c r="D193" s="381"/>
      <c r="E193" s="381"/>
      <c r="F193" s="381"/>
      <c r="G193" s="381"/>
      <c r="H193" s="381"/>
      <c r="I193" s="381"/>
      <c r="J193" s="381"/>
      <c r="K193" s="381"/>
      <c r="L193" s="381"/>
    </row>
    <row r="194" spans="1:12" x14ac:dyDescent="0.3">
      <c r="A194" s="381"/>
      <c r="B194" s="381"/>
      <c r="C194" s="381"/>
      <c r="D194" s="381"/>
      <c r="E194" s="381"/>
      <c r="F194" s="381"/>
      <c r="G194" s="381"/>
      <c r="H194" s="381"/>
      <c r="I194" s="381"/>
      <c r="J194" s="381"/>
      <c r="K194" s="381"/>
      <c r="L194" s="381"/>
    </row>
    <row r="195" spans="1:12" ht="15.6" x14ac:dyDescent="0.3">
      <c r="A195" s="380" t="s">
        <v>15410</v>
      </c>
      <c r="B195" s="380"/>
      <c r="C195" s="381"/>
      <c r="D195" s="381"/>
      <c r="E195" s="381"/>
      <c r="F195" s="381"/>
      <c r="G195" s="381"/>
      <c r="H195" s="381"/>
      <c r="I195" s="381"/>
      <c r="J195" s="381"/>
      <c r="K195" s="381"/>
      <c r="L195" s="381"/>
    </row>
    <row r="196" spans="1:12" x14ac:dyDescent="0.3">
      <c r="A196" s="381"/>
      <c r="B196" s="381"/>
      <c r="C196" s="381"/>
      <c r="D196" s="381"/>
      <c r="E196" s="381"/>
      <c r="F196" s="381"/>
      <c r="G196" s="381"/>
      <c r="H196" s="381"/>
      <c r="I196" s="381"/>
      <c r="J196" s="381"/>
      <c r="K196" s="381"/>
      <c r="L196" s="381"/>
    </row>
    <row r="197" spans="1:12" x14ac:dyDescent="0.3">
      <c r="A197" s="382" t="s">
        <v>15411</v>
      </c>
      <c r="B197" s="382"/>
      <c r="C197" s="381"/>
      <c r="D197" s="381"/>
      <c r="E197" s="381"/>
      <c r="F197" s="381"/>
      <c r="G197" s="381"/>
      <c r="H197" s="381"/>
      <c r="I197" s="381"/>
      <c r="J197" s="381"/>
      <c r="K197" s="381"/>
      <c r="L197" s="381"/>
    </row>
    <row r="198" spans="1:12" x14ac:dyDescent="0.3">
      <c r="A198" s="381" t="s">
        <v>15399</v>
      </c>
      <c r="B198" s="381"/>
      <c r="C198" s="381"/>
      <c r="D198" s="381"/>
      <c r="E198" s="381"/>
      <c r="F198" s="381"/>
      <c r="G198" s="381"/>
      <c r="H198" s="381"/>
      <c r="I198" s="381"/>
      <c r="J198" s="381"/>
      <c r="K198" s="381"/>
      <c r="L198" s="381"/>
    </row>
    <row r="199" spans="1:12" x14ac:dyDescent="0.3">
      <c r="A199" s="381" t="s">
        <v>15412</v>
      </c>
      <c r="B199" s="381"/>
      <c r="C199" s="381"/>
      <c r="D199" s="381"/>
      <c r="E199" s="381"/>
      <c r="F199" s="381"/>
      <c r="G199" s="381"/>
      <c r="H199" s="381"/>
      <c r="I199" s="381"/>
      <c r="J199" s="381"/>
      <c r="K199" s="381"/>
      <c r="L199" s="381"/>
    </row>
    <row r="200" spans="1:12" x14ac:dyDescent="0.3">
      <c r="A200" s="381" t="s">
        <v>15413</v>
      </c>
      <c r="B200" s="381"/>
      <c r="C200" s="381"/>
      <c r="D200" s="381"/>
      <c r="E200" s="381"/>
      <c r="F200" s="381"/>
      <c r="G200" s="381"/>
      <c r="H200" s="381"/>
      <c r="I200" s="381"/>
      <c r="J200" s="381"/>
      <c r="K200" s="381"/>
      <c r="L200" s="381"/>
    </row>
    <row r="201" spans="1:12" x14ac:dyDescent="0.3">
      <c r="A201" s="381" t="s">
        <v>15414</v>
      </c>
      <c r="B201" s="381"/>
      <c r="C201" s="381"/>
      <c r="D201" s="381"/>
      <c r="E201" s="381"/>
      <c r="F201" s="381"/>
      <c r="G201" s="381"/>
      <c r="H201" s="381"/>
      <c r="I201" s="381"/>
      <c r="J201" s="381"/>
      <c r="K201" s="381"/>
      <c r="L201" s="381"/>
    </row>
    <row r="202" spans="1:12" x14ac:dyDescent="0.3">
      <c r="A202" s="381" t="s">
        <v>15415</v>
      </c>
      <c r="B202" s="381"/>
      <c r="C202" s="381"/>
      <c r="D202" s="381"/>
      <c r="E202" s="381"/>
      <c r="F202" s="381"/>
      <c r="G202" s="381"/>
      <c r="H202" s="381"/>
      <c r="I202" s="381"/>
      <c r="J202" s="381"/>
      <c r="K202" s="381"/>
      <c r="L202" s="381"/>
    </row>
    <row r="203" spans="1:12" x14ac:dyDescent="0.3">
      <c r="A203" s="381" t="s">
        <v>15416</v>
      </c>
      <c r="B203" s="381"/>
      <c r="C203" s="381"/>
      <c r="D203" s="381"/>
      <c r="E203" s="381"/>
      <c r="F203" s="381"/>
      <c r="G203" s="381"/>
      <c r="H203" s="381"/>
      <c r="I203" s="381"/>
      <c r="J203" s="381"/>
      <c r="K203" s="381"/>
      <c r="L203" s="381"/>
    </row>
    <row r="204" spans="1:12" x14ac:dyDescent="0.3">
      <c r="A204" s="381"/>
      <c r="B204" s="381"/>
      <c r="C204" s="381"/>
      <c r="D204" s="381"/>
      <c r="E204" s="381"/>
      <c r="F204" s="381"/>
      <c r="G204" s="381"/>
      <c r="H204" s="381"/>
      <c r="I204" s="381"/>
      <c r="J204" s="381"/>
      <c r="K204" s="381"/>
      <c r="L204" s="381"/>
    </row>
    <row r="205" spans="1:12" x14ac:dyDescent="0.3">
      <c r="A205" s="381"/>
      <c r="B205" s="381"/>
      <c r="C205" s="381"/>
      <c r="D205" s="381"/>
      <c r="E205" s="381"/>
      <c r="F205" s="381"/>
      <c r="G205" s="381"/>
      <c r="H205" s="381"/>
      <c r="I205" s="381"/>
      <c r="J205" s="381"/>
      <c r="K205" s="381"/>
      <c r="L205" s="381"/>
    </row>
    <row r="206" spans="1:12" ht="15.6" x14ac:dyDescent="0.3">
      <c r="A206" s="383" t="s">
        <v>15417</v>
      </c>
      <c r="B206" s="383"/>
      <c r="C206" s="381"/>
      <c r="D206" s="381"/>
      <c r="E206" s="381"/>
      <c r="F206" s="381"/>
      <c r="G206" s="381"/>
      <c r="H206" s="381"/>
      <c r="I206" s="381"/>
      <c r="J206" s="381"/>
      <c r="K206" s="381"/>
      <c r="L206" s="381"/>
    </row>
    <row r="207" spans="1:12" x14ac:dyDescent="0.3">
      <c r="A207" s="381"/>
      <c r="B207" s="381"/>
      <c r="C207" s="381"/>
      <c r="D207" s="381"/>
      <c r="E207" s="381"/>
      <c r="F207" s="381"/>
      <c r="G207" s="381"/>
      <c r="H207" s="381"/>
      <c r="I207" s="381"/>
      <c r="J207" s="381"/>
      <c r="K207" s="381"/>
      <c r="L207" s="381"/>
    </row>
    <row r="208" spans="1:12" x14ac:dyDescent="0.3">
      <c r="A208" s="381" t="s">
        <v>15418</v>
      </c>
      <c r="B208" s="381"/>
      <c r="C208" s="381"/>
      <c r="D208" s="381"/>
      <c r="E208" s="381"/>
      <c r="F208" s="381"/>
      <c r="G208" s="381"/>
      <c r="H208" s="381"/>
      <c r="I208" s="381"/>
      <c r="J208" s="381"/>
      <c r="K208" s="381"/>
      <c r="L208" s="381"/>
    </row>
    <row r="209" spans="1:12" x14ac:dyDescent="0.3">
      <c r="A209" s="381" t="s">
        <v>15419</v>
      </c>
      <c r="B209" s="381"/>
      <c r="C209" s="381"/>
      <c r="D209" s="381"/>
      <c r="E209" s="381"/>
      <c r="F209" s="381"/>
      <c r="G209" s="381"/>
      <c r="H209" s="381"/>
      <c r="I209" s="381"/>
      <c r="J209" s="381"/>
      <c r="K209" s="381"/>
      <c r="L209" s="381"/>
    </row>
    <row r="210" spans="1:12" x14ac:dyDescent="0.3">
      <c r="A210" s="381"/>
      <c r="B210" s="381"/>
      <c r="C210" s="381"/>
      <c r="D210" s="381"/>
      <c r="E210" s="381"/>
      <c r="F210" s="381"/>
      <c r="G210" s="381"/>
      <c r="H210" s="381"/>
      <c r="I210" s="381"/>
      <c r="J210" s="381"/>
      <c r="K210" s="381"/>
      <c r="L210" s="381"/>
    </row>
    <row r="211" spans="1:12" x14ac:dyDescent="0.3">
      <c r="A211" s="381" t="s">
        <v>15420</v>
      </c>
      <c r="B211" s="381"/>
      <c r="C211" s="381"/>
      <c r="D211" s="381"/>
      <c r="E211" s="381"/>
      <c r="F211" s="381"/>
      <c r="G211" s="381"/>
      <c r="H211" s="381"/>
      <c r="I211" s="381"/>
      <c r="J211" s="381"/>
      <c r="K211" s="381"/>
      <c r="L211" s="381"/>
    </row>
    <row r="212" spans="1:12" x14ac:dyDescent="0.3">
      <c r="A212" s="381" t="s">
        <v>15421</v>
      </c>
      <c r="B212" s="381"/>
      <c r="C212" s="381"/>
      <c r="D212" s="381"/>
      <c r="E212" s="381"/>
      <c r="F212" s="381"/>
      <c r="G212" s="381"/>
      <c r="H212" s="381"/>
      <c r="I212" s="381"/>
      <c r="J212" s="381"/>
      <c r="K212" s="381"/>
      <c r="L212" s="381"/>
    </row>
    <row r="213" spans="1:12" x14ac:dyDescent="0.3">
      <c r="A213" s="381"/>
      <c r="B213" s="381"/>
      <c r="C213" s="381"/>
      <c r="D213" s="381"/>
      <c r="E213" s="381"/>
      <c r="F213" s="381"/>
      <c r="G213" s="381"/>
      <c r="H213" s="381"/>
      <c r="I213" s="381"/>
      <c r="J213" s="381"/>
      <c r="K213" s="381"/>
      <c r="L213" s="381"/>
    </row>
    <row r="214" spans="1:12" x14ac:dyDescent="0.3">
      <c r="A214" s="381" t="s">
        <v>15422</v>
      </c>
      <c r="B214" s="381"/>
      <c r="C214" s="381"/>
      <c r="D214" s="381"/>
      <c r="E214" s="381"/>
      <c r="F214" s="381"/>
      <c r="G214" s="381"/>
      <c r="H214" s="381"/>
      <c r="I214" s="381"/>
      <c r="J214" s="381"/>
      <c r="K214" s="381"/>
      <c r="L214" s="381"/>
    </row>
    <row r="215" spans="1:12" x14ac:dyDescent="0.3">
      <c r="A215" s="381" t="s">
        <v>15423</v>
      </c>
      <c r="B215" s="381"/>
      <c r="C215" s="381"/>
      <c r="D215" s="381"/>
      <c r="E215" s="381"/>
      <c r="F215" s="381"/>
      <c r="G215" s="381"/>
      <c r="H215" s="381"/>
      <c r="I215" s="381"/>
      <c r="J215" s="381"/>
      <c r="K215" s="381"/>
      <c r="L215" s="381"/>
    </row>
    <row r="216" spans="1:12" x14ac:dyDescent="0.3">
      <c r="A216" s="381"/>
      <c r="B216" s="381"/>
      <c r="C216" s="381"/>
      <c r="D216" s="381"/>
      <c r="E216" s="381"/>
      <c r="F216" s="381"/>
      <c r="G216" s="381"/>
      <c r="H216" s="381"/>
      <c r="I216" s="381"/>
      <c r="J216" s="381"/>
      <c r="K216" s="381"/>
      <c r="L216" s="381"/>
    </row>
    <row r="217" spans="1:12" x14ac:dyDescent="0.3">
      <c r="A217" s="381"/>
      <c r="B217" s="381"/>
      <c r="C217" s="381"/>
      <c r="D217" s="381"/>
      <c r="E217" s="381"/>
      <c r="F217" s="381"/>
      <c r="G217" s="381"/>
      <c r="H217" s="381"/>
      <c r="I217" s="381"/>
      <c r="J217" s="381"/>
      <c r="K217" s="381"/>
      <c r="L217" s="381"/>
    </row>
    <row r="218" spans="1:12" ht="15.6" x14ac:dyDescent="0.3">
      <c r="A218" s="380" t="s">
        <v>15424</v>
      </c>
      <c r="B218" s="380"/>
      <c r="C218" s="381"/>
      <c r="D218" s="381"/>
      <c r="E218" s="381"/>
      <c r="F218" s="381"/>
      <c r="G218" s="381"/>
      <c r="H218" s="381"/>
      <c r="I218" s="381"/>
      <c r="J218" s="381"/>
      <c r="K218" s="381"/>
      <c r="L218" s="381"/>
    </row>
    <row r="219" spans="1:12" x14ac:dyDescent="0.3">
      <c r="A219" s="381"/>
      <c r="B219" s="381"/>
      <c r="C219" s="381"/>
      <c r="D219" s="381"/>
      <c r="E219" s="381"/>
      <c r="F219" s="381"/>
      <c r="G219" s="381"/>
      <c r="H219" s="381"/>
      <c r="I219" s="381"/>
      <c r="J219" s="381"/>
      <c r="K219" s="381"/>
      <c r="L219" s="381"/>
    </row>
    <row r="220" spans="1:12" x14ac:dyDescent="0.3">
      <c r="A220" s="381" t="s">
        <v>15425</v>
      </c>
      <c r="B220" s="381"/>
      <c r="C220" s="381"/>
      <c r="D220" s="381"/>
      <c r="E220" s="381"/>
      <c r="F220" s="381"/>
      <c r="G220" s="381"/>
      <c r="H220" s="381"/>
      <c r="I220" s="381"/>
      <c r="J220" s="381"/>
      <c r="K220" s="381"/>
      <c r="L220" s="381"/>
    </row>
    <row r="221" spans="1:12" x14ac:dyDescent="0.3">
      <c r="A221" s="381" t="s">
        <v>15426</v>
      </c>
      <c r="B221" s="381"/>
      <c r="C221" s="381"/>
      <c r="D221" s="381"/>
      <c r="E221" s="381"/>
      <c r="F221" s="381"/>
      <c r="G221" s="381"/>
      <c r="H221" s="381"/>
      <c r="I221" s="381"/>
      <c r="J221" s="381"/>
      <c r="K221" s="381"/>
      <c r="L221" s="381"/>
    </row>
    <row r="222" spans="1:12" x14ac:dyDescent="0.3">
      <c r="A222" s="381" t="s">
        <v>15427</v>
      </c>
      <c r="B222" s="381"/>
      <c r="C222" s="381"/>
      <c r="D222" s="381"/>
      <c r="E222" s="381"/>
      <c r="F222" s="381"/>
      <c r="G222" s="381"/>
      <c r="H222" s="381"/>
      <c r="I222" s="381"/>
      <c r="J222" s="381"/>
      <c r="K222" s="381"/>
      <c r="L222" s="381"/>
    </row>
    <row r="223" spans="1:12" x14ac:dyDescent="0.3">
      <c r="A223" s="381" t="s">
        <v>15428</v>
      </c>
      <c r="B223" s="381"/>
      <c r="C223" s="381"/>
      <c r="D223" s="381"/>
      <c r="E223" s="381"/>
      <c r="F223" s="381"/>
      <c r="G223" s="381"/>
      <c r="H223" s="381"/>
      <c r="I223" s="381"/>
      <c r="J223" s="381"/>
      <c r="K223" s="381"/>
      <c r="L223" s="381"/>
    </row>
    <row r="224" spans="1:12" x14ac:dyDescent="0.3">
      <c r="A224" s="381" t="s">
        <v>15429</v>
      </c>
      <c r="B224" s="381"/>
      <c r="C224" s="381"/>
      <c r="D224" s="381"/>
      <c r="E224" s="381"/>
      <c r="F224" s="381"/>
      <c r="G224" s="381"/>
      <c r="H224" s="381"/>
      <c r="I224" s="381"/>
      <c r="J224" s="381"/>
      <c r="K224" s="381"/>
      <c r="L224" s="381"/>
    </row>
    <row r="225" spans="1:12" x14ac:dyDescent="0.3">
      <c r="A225" s="381"/>
      <c r="B225" s="381"/>
      <c r="C225" s="381"/>
      <c r="D225" s="381"/>
      <c r="E225" s="381"/>
      <c r="F225" s="381"/>
      <c r="G225" s="381"/>
      <c r="H225" s="381"/>
      <c r="I225" s="381"/>
      <c r="J225" s="381"/>
      <c r="K225" s="381"/>
      <c r="L225" s="381"/>
    </row>
    <row r="226" spans="1:12" x14ac:dyDescent="0.3">
      <c r="A226" s="381" t="s">
        <v>15430</v>
      </c>
      <c r="B226" s="381"/>
      <c r="C226" s="381"/>
      <c r="D226" s="381"/>
      <c r="E226" s="381"/>
      <c r="F226" s="381"/>
      <c r="G226" s="381"/>
      <c r="H226" s="381"/>
      <c r="I226" s="381"/>
      <c r="J226" s="381"/>
      <c r="K226" s="381"/>
      <c r="L226" s="381"/>
    </row>
    <row r="227" spans="1:12" x14ac:dyDescent="0.3">
      <c r="A227" s="381" t="s">
        <v>15431</v>
      </c>
      <c r="B227" s="381"/>
      <c r="C227" s="381"/>
      <c r="D227" s="381"/>
      <c r="E227" s="381"/>
      <c r="F227" s="381"/>
      <c r="G227" s="381"/>
      <c r="H227" s="381"/>
      <c r="I227" s="381"/>
      <c r="J227" s="381"/>
      <c r="K227" s="381"/>
      <c r="L227" s="381"/>
    </row>
  </sheetData>
  <mergeCells count="12">
    <mergeCell ref="A83:H83"/>
    <mergeCell ref="A140:E140"/>
    <mergeCell ref="A143:H143"/>
    <mergeCell ref="A147:H147"/>
    <mergeCell ref="A150:L150"/>
    <mergeCell ref="A166:L166"/>
    <mergeCell ref="A33:A38"/>
    <mergeCell ref="A39:A40"/>
    <mergeCell ref="A41:A46"/>
    <mergeCell ref="A47:A48"/>
    <mergeCell ref="A50:D50"/>
    <mergeCell ref="A66:AY66"/>
  </mergeCells>
  <conditionalFormatting sqref="AX68:AX79">
    <cfRule type="cellIs" dxfId="85" priority="6" operator="greaterThanOrEqual">
      <formula>4</formula>
    </cfRule>
    <cfRule type="cellIs" dxfId="84" priority="7" operator="between">
      <formula>3.5</formula>
      <formula>4</formula>
    </cfRule>
    <cfRule type="cellIs" dxfId="83" priority="8" operator="between">
      <formula>2.5</formula>
      <formula>3.5</formula>
    </cfRule>
    <cfRule type="cellIs" dxfId="82" priority="9" operator="between">
      <formula>1.5</formula>
      <formula>2.5</formula>
    </cfRule>
    <cfRule type="cellIs" dxfId="81" priority="10" operator="lessThan">
      <formula>1.5</formula>
    </cfRule>
  </conditionalFormatting>
  <conditionalFormatting sqref="AY68:AY79">
    <cfRule type="containsText" dxfId="80" priority="1" operator="containsText" text="LOW">
      <formula>NOT(ISERROR(SEARCH("LOW",AY68)))</formula>
    </cfRule>
    <cfRule type="containsText" dxfId="79" priority="2" operator="containsText" text="MEDIUM">
      <formula>NOT(ISERROR(SEARCH("MEDIUM",AY68)))</formula>
    </cfRule>
    <cfRule type="containsText" dxfId="78" priority="3" operator="containsText" text="HIGH">
      <formula>NOT(ISERROR(SEARCH("HIGH",AY68)))</formula>
    </cfRule>
    <cfRule type="containsText" dxfId="77" priority="4" operator="containsText" text="CRITICAL">
      <formula>NOT(ISERROR(SEARCH("CRITICAL",AY68)))</formula>
    </cfRule>
    <cfRule type="containsText" dxfId="76" priority="5" operator="containsText" text="SEVERE">
      <formula>NOT(ISERROR(SEARCH("SEVERE",AY68)))</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0CB7-6E5E-4C3D-BF76-E1B50A109B90}">
  <sheetPr>
    <tabColor theme="5"/>
  </sheetPr>
  <dimension ref="A3:AO180"/>
  <sheetViews>
    <sheetView workbookViewId="0">
      <pane ySplit="6" topLeftCell="A7" activePane="bottomLeft" state="frozen"/>
      <selection activeCell="D1" sqref="D1"/>
      <selection pane="bottomLeft" activeCell="D7" sqref="D7"/>
    </sheetView>
  </sheetViews>
  <sheetFormatPr defaultRowHeight="14.4" x14ac:dyDescent="0.3"/>
  <cols>
    <col min="1" max="1" width="14.33203125" customWidth="1"/>
    <col min="2" max="2" width="26.77734375" customWidth="1"/>
    <col min="3" max="3" width="13.5546875" bestFit="1" customWidth="1"/>
    <col min="4" max="4" width="24.109375" customWidth="1"/>
    <col min="5" max="5" width="22.5546875" style="153" customWidth="1"/>
    <col min="6" max="6" width="15.77734375" customWidth="1"/>
    <col min="7" max="7" width="11.21875" customWidth="1"/>
    <col min="8" max="8" width="15.77734375" customWidth="1"/>
    <col min="9" max="9" width="17.5546875" customWidth="1"/>
    <col min="10" max="10" width="15.77734375" customWidth="1"/>
    <col min="11" max="11" width="23.109375" bestFit="1" customWidth="1"/>
    <col min="12" max="12" width="17.109375" bestFit="1" customWidth="1"/>
    <col min="13" max="13" width="16.5546875" bestFit="1" customWidth="1"/>
    <col min="14" max="14" width="9.88671875" bestFit="1" customWidth="1"/>
    <col min="15" max="15" width="21.21875" customWidth="1"/>
    <col min="16" max="16" width="18.5546875" customWidth="1"/>
    <col min="17" max="17" width="22.21875" customWidth="1"/>
    <col min="18" max="18" width="76" bestFit="1" customWidth="1"/>
    <col min="19" max="19" width="56.109375" bestFit="1" customWidth="1"/>
    <col min="20" max="20" width="17.5546875" customWidth="1"/>
    <col min="21" max="21" width="62.77734375" customWidth="1"/>
    <col min="22" max="22" width="25.88671875" customWidth="1"/>
    <col min="23" max="23" width="22.21875" customWidth="1"/>
    <col min="24" max="25" width="18.5546875" customWidth="1"/>
    <col min="26" max="27" width="22.21875" customWidth="1"/>
    <col min="28" max="28" width="16.6640625" customWidth="1"/>
    <col min="29" max="29" width="20.33203125" customWidth="1"/>
    <col min="30" max="30" width="27.77734375" customWidth="1"/>
    <col min="31" max="31" width="21.77734375" bestFit="1" customWidth="1"/>
    <col min="32" max="32" width="13.77734375" bestFit="1" customWidth="1"/>
    <col min="33" max="33" width="12.109375" bestFit="1" customWidth="1"/>
    <col min="34" max="34" width="11.6640625" bestFit="1" customWidth="1"/>
    <col min="35" max="35" width="15.6640625" bestFit="1" customWidth="1"/>
    <col min="36" max="36" width="12.77734375" customWidth="1"/>
    <col min="37" max="37" width="14.33203125" bestFit="1" customWidth="1"/>
    <col min="38" max="38" width="11.88671875" bestFit="1" customWidth="1"/>
    <col min="39" max="39" width="14" bestFit="1" customWidth="1"/>
    <col min="40" max="40" width="14.44140625" bestFit="1" customWidth="1"/>
    <col min="41" max="41" width="37" customWidth="1"/>
  </cols>
  <sheetData>
    <row r="3" spans="1:41" ht="18" x14ac:dyDescent="0.35">
      <c r="A3" s="411" t="s">
        <v>16091</v>
      </c>
      <c r="B3" s="411"/>
      <c r="C3" s="411"/>
      <c r="D3" s="411"/>
      <c r="E3" s="411"/>
      <c r="F3" s="411"/>
      <c r="G3" s="411"/>
      <c r="H3" s="411"/>
      <c r="I3" s="411"/>
      <c r="J3" s="411"/>
    </row>
    <row r="4" spans="1:41" x14ac:dyDescent="0.3">
      <c r="A4" s="16" t="s">
        <v>16094</v>
      </c>
      <c r="B4" s="412" t="s">
        <v>16095</v>
      </c>
      <c r="C4" s="413" t="s">
        <v>16096</v>
      </c>
      <c r="D4" s="414" t="s">
        <v>15449</v>
      </c>
      <c r="E4" s="415" t="s">
        <v>16092</v>
      </c>
      <c r="F4" s="414" t="s">
        <v>16093</v>
      </c>
      <c r="G4" s="413" t="s">
        <v>16564</v>
      </c>
      <c r="H4" s="414" t="s">
        <v>16095</v>
      </c>
      <c r="I4" s="413" t="s">
        <v>16097</v>
      </c>
      <c r="J4" s="416" t="s">
        <v>16095</v>
      </c>
      <c r="K4" s="16" t="s">
        <v>16565</v>
      </c>
      <c r="L4" s="417" t="s">
        <v>16566</v>
      </c>
    </row>
    <row r="5" spans="1:41" ht="15" thickBot="1" x14ac:dyDescent="0.35">
      <c r="A5" s="418" t="s">
        <v>16099</v>
      </c>
      <c r="B5" s="419" t="str">
        <f>COUNTA(A7:A86)&amp;" releases"</f>
        <v>80 releases</v>
      </c>
      <c r="C5" s="420"/>
      <c r="D5" s="420"/>
      <c r="E5" s="421"/>
      <c r="F5" s="420"/>
      <c r="G5" s="420"/>
      <c r="H5" s="420"/>
      <c r="I5" s="420"/>
      <c r="J5" s="420"/>
      <c r="L5" s="422" t="s">
        <v>16567</v>
      </c>
    </row>
    <row r="6" spans="1:41" ht="25.05" customHeight="1" thickTop="1" x14ac:dyDescent="0.3">
      <c r="A6" s="423" t="s">
        <v>1537</v>
      </c>
      <c r="B6" s="423" t="s">
        <v>1541</v>
      </c>
      <c r="C6" s="423" t="s">
        <v>15432</v>
      </c>
      <c r="D6" s="423" t="s">
        <v>1542</v>
      </c>
      <c r="E6" s="424" t="s">
        <v>16568</v>
      </c>
      <c r="F6" s="423" t="s">
        <v>16101</v>
      </c>
      <c r="G6" s="423" t="s">
        <v>16381</v>
      </c>
      <c r="H6" s="423" t="s">
        <v>1131</v>
      </c>
      <c r="I6" s="423" t="s">
        <v>1559</v>
      </c>
      <c r="J6" s="423" t="s">
        <v>1554</v>
      </c>
      <c r="K6" s="384" t="s">
        <v>1556</v>
      </c>
      <c r="L6" s="384" t="s">
        <v>16569</v>
      </c>
      <c r="M6" s="384" t="s">
        <v>16570</v>
      </c>
      <c r="N6" s="384" t="s">
        <v>1068</v>
      </c>
      <c r="O6" s="384" t="s">
        <v>567</v>
      </c>
      <c r="P6" s="384" t="s">
        <v>16109</v>
      </c>
      <c r="Q6" s="384" t="s">
        <v>16571</v>
      </c>
      <c r="R6" s="384" t="s">
        <v>16572</v>
      </c>
      <c r="S6" s="384" t="s">
        <v>14545</v>
      </c>
      <c r="T6" s="425" t="s">
        <v>16573</v>
      </c>
      <c r="U6" s="425" t="s">
        <v>75</v>
      </c>
      <c r="V6" s="425" t="s">
        <v>14397</v>
      </c>
      <c r="W6" s="425" t="s">
        <v>16574</v>
      </c>
      <c r="X6" s="425" t="s">
        <v>1474</v>
      </c>
      <c r="Y6" s="1" t="s">
        <v>1038</v>
      </c>
      <c r="Z6" s="1" t="s">
        <v>15190</v>
      </c>
      <c r="AA6" s="1" t="s">
        <v>16575</v>
      </c>
      <c r="AB6" s="1" t="s">
        <v>16576</v>
      </c>
      <c r="AC6" s="1" t="s">
        <v>16577</v>
      </c>
      <c r="AD6" s="1" t="s">
        <v>16578</v>
      </c>
      <c r="AE6" s="1" t="s">
        <v>16579</v>
      </c>
      <c r="AF6" s="252" t="s">
        <v>1567</v>
      </c>
      <c r="AG6" s="252" t="s">
        <v>16580</v>
      </c>
      <c r="AH6" s="252" t="s">
        <v>16581</v>
      </c>
      <c r="AI6" s="252" t="s">
        <v>15116</v>
      </c>
      <c r="AJ6" s="252" t="s">
        <v>16582</v>
      </c>
      <c r="AK6" s="252" t="s">
        <v>1476</v>
      </c>
      <c r="AL6" s="252" t="s">
        <v>16583</v>
      </c>
      <c r="AM6" s="252" t="s">
        <v>16584</v>
      </c>
      <c r="AN6" s="252" t="s">
        <v>16585</v>
      </c>
      <c r="AO6" s="1" t="s">
        <v>73</v>
      </c>
    </row>
    <row r="7" spans="1:41" x14ac:dyDescent="0.3">
      <c r="A7" s="224" t="s">
        <v>15290</v>
      </c>
      <c r="B7" s="224" t="s">
        <v>15291</v>
      </c>
      <c r="C7" s="224" t="s">
        <v>1158</v>
      </c>
      <c r="D7" s="224" t="s">
        <v>15467</v>
      </c>
      <c r="E7" s="20" t="s">
        <v>16586</v>
      </c>
      <c r="F7" s="224" t="s">
        <v>1122</v>
      </c>
      <c r="G7" s="224" t="s">
        <v>14689</v>
      </c>
      <c r="H7" s="224" t="s">
        <v>1138</v>
      </c>
      <c r="I7" s="361">
        <f ca="1">TODAY()+2</f>
        <v>46243</v>
      </c>
      <c r="J7" s="361">
        <f ca="1">TODAY()+4</f>
        <v>46245</v>
      </c>
      <c r="K7" s="361">
        <f ca="1">TODAY()+4</f>
        <v>46245</v>
      </c>
      <c r="L7" s="224" t="s">
        <v>16112</v>
      </c>
      <c r="M7" s="224" t="s">
        <v>16113</v>
      </c>
      <c r="N7" s="224" t="s">
        <v>1106</v>
      </c>
      <c r="O7" s="224" t="str">
        <f>IF(N7="Cancelled","⚫ N/A",IF(OR(AG7="No",AH7="No",AI7="No",AJ7="No"),"🔴 Critical",IF(OR(AND(U7&lt;&gt;"",U7&lt;&gt;"NA"),ISNUMBER(SEARCH("CONFLICT",P7))),"🔴 Critical",IF(N7="On Hold","🟠 On Hold",IF(AND(OR(AG7="Yes",AG7="NA"),OR(AH7="Yes",AH7="NA"),OR(AI7="Yes",AI7="NA"),OR(AJ7="Yes",AJ7="NA")),"🟢 Go","🟡 Caution")))))</f>
        <v>🔴 Critical</v>
      </c>
      <c r="P7" s="426" t="s">
        <v>16115</v>
      </c>
      <c r="Q7" s="224" t="str" cm="1">
        <f t="array" ref="Q7">IF(O7="","",IFERROR(_xlfn.TEXTJOIN(", ",TRUE,_xlfn._xlws.FILTER('[1]Environment Conflicts'!$A$9:$A$34,('[1]Environment Conflicts'!$E$9:$E$34=A7)+('[1]Environment Conflicts'!$F$9:$F$34=A7))),"-"))</f>
        <v>CNF-0001</v>
      </c>
      <c r="R7" s="224" t="str" cm="1">
        <f t="array" ref="R7">IF(O7="","",IFERROR(_xlfn.TEXTJOIN(", ",TRUE,_xlfn._xlws.FILTER(IF('[1]Environment Conflicts'!$E$9:$E$34=A7,'[1]Environment Conflicts'!$F$9:$F$34,'[1]Environment Conflicts'!$E$9:$E$34),('[1]Environment Conflicts'!$E$9:$E$34=A7)+('[1]Environment Conflicts'!$F$9:$F$34=A7))),"-"))</f>
        <v>REL-0003</v>
      </c>
      <c r="S7" s="224" t="str" cm="1">
        <f t="array" ref="S7">IF(O7="","",IFERROR(_xlfn.TEXTJOIN(", ",TRUE,_xlfn._xlws.FILTER('[1]Environment Conflicts'!$J$9:$J$34,('[1]Environment Conflicts'!$E$9:$E$34=A7)+('[1]Environment Conflicts'!$F$9:$F$34=A7))),"-"))</f>
        <v>Same Test/UAT env required</v>
      </c>
      <c r="T7" t="s">
        <v>16116</v>
      </c>
      <c r="U7" t="s">
        <v>16587</v>
      </c>
      <c r="V7" t="s">
        <v>1505</v>
      </c>
      <c r="W7" t="s">
        <v>988</v>
      </c>
      <c r="X7" t="s">
        <v>1332</v>
      </c>
      <c r="Y7" s="37">
        <v>0.75</v>
      </c>
      <c r="Z7" s="37">
        <v>0.79</v>
      </c>
      <c r="AA7" t="s">
        <v>15955</v>
      </c>
      <c r="AB7" t="s">
        <v>14944</v>
      </c>
      <c r="AC7" t="s">
        <v>16588</v>
      </c>
      <c r="AF7" t="s">
        <v>14600</v>
      </c>
      <c r="AG7" t="s">
        <v>962</v>
      </c>
      <c r="AH7" t="s">
        <v>14485</v>
      </c>
      <c r="AI7" t="s">
        <v>14485</v>
      </c>
      <c r="AJ7" t="s">
        <v>14485</v>
      </c>
      <c r="AK7" t="s">
        <v>14485</v>
      </c>
      <c r="AL7" t="s">
        <v>14485</v>
      </c>
      <c r="AM7" t="s">
        <v>1070</v>
      </c>
      <c r="AN7" t="s">
        <v>14485</v>
      </c>
      <c r="AO7" t="str">
        <f>IF(A7="","",_xlfn.LET(
        _xlpm.rid,A7,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1 Rejected, 1 Pending, 1 Conditional</v>
      </c>
    </row>
    <row r="8" spans="1:41" x14ac:dyDescent="0.3">
      <c r="A8" s="224" t="s">
        <v>15292</v>
      </c>
      <c r="B8" s="224" t="s">
        <v>16589</v>
      </c>
      <c r="C8" s="224" t="s">
        <v>14994</v>
      </c>
      <c r="D8" s="224" t="s">
        <v>15560</v>
      </c>
      <c r="E8" s="20" t="s">
        <v>16590</v>
      </c>
      <c r="F8" s="224" t="s">
        <v>1125</v>
      </c>
      <c r="G8" s="224" t="s">
        <v>14697</v>
      </c>
      <c r="H8" s="224" t="s">
        <v>1132</v>
      </c>
      <c r="I8" s="361">
        <f ca="1">TODAY()+5</f>
        <v>46246</v>
      </c>
      <c r="J8" s="361">
        <f ca="1">TODAY()+7</f>
        <v>46248</v>
      </c>
      <c r="K8" s="361">
        <f ca="1">TODAY()+8</f>
        <v>46249</v>
      </c>
      <c r="L8" s="224" t="s">
        <v>16119</v>
      </c>
      <c r="M8" s="224" t="s">
        <v>16120</v>
      </c>
      <c r="N8" s="224" t="s">
        <v>13935</v>
      </c>
      <c r="O8" s="224" t="str">
        <f t="shared" ref="O8:O71" si="0">IF(N8="Cancelled","⚫ N/A",IF(OR(AG8="No",AH8="No",AI8="No",AJ8="No"),"🔴 Critical",IF(OR(AND(U8&lt;&gt;"",U8&lt;&gt;"NA"),ISNUMBER(SEARCH("CONFLICT",P8))),"🔴 Critical",IF(N8="On Hold","🟠 On Hold",IF(AND(OR(AG8="Yes",AG8="NA"),OR(AH8="Yes",AH8="NA"),OR(AI8="Yes",AI8="NA"),OR(AJ8="Yes",AJ8="NA")),"🟢 Go","🟡 Caution")))))</f>
        <v>🟢 Go</v>
      </c>
      <c r="P8" s="426"/>
      <c r="Q8" s="224" t="str" cm="1">
        <f t="array" ref="Q8">IF(O8="","",IFERROR(_xlfn.TEXTJOIN(", ",TRUE,_xlfn._xlws.FILTER('[1]Environment Conflicts'!$A$9:$A$34,('[1]Environment Conflicts'!$E$9:$E$34=A8)+('[1]Environment Conflicts'!$F$9:$F$34=A8))),"-"))</f>
        <v>-</v>
      </c>
      <c r="R8" s="224" t="str" cm="1">
        <f t="array" ref="R8">IF(O8="","",IFERROR(_xlfn.TEXTJOIN(", ",TRUE,_xlfn._xlws.FILTER(IF('[1]Environment Conflicts'!$E$9:$E$34=A8,'[1]Environment Conflicts'!$F$9:$F$34,'[1]Environment Conflicts'!$E$9:$E$34),('[1]Environment Conflicts'!$E$9:$E$34=A8)+('[1]Environment Conflicts'!$F$9:$F$34=A8))),"-"))</f>
        <v>-</v>
      </c>
      <c r="S8" s="224" t="str" cm="1">
        <f t="array" ref="S8">IF(O8="","",IFERROR(_xlfn.TEXTJOIN(", ",TRUE,_xlfn._xlws.FILTER('[1]Environment Conflicts'!$J$9:$J$34,('[1]Environment Conflicts'!$E$9:$E$34=A8)+('[1]Environment Conflicts'!$F$9:$F$34=A8))),"-"))</f>
        <v>-</v>
      </c>
      <c r="T8" t="s">
        <v>16122</v>
      </c>
      <c r="X8" t="s">
        <v>1090</v>
      </c>
      <c r="Y8" s="37">
        <v>0.95</v>
      </c>
      <c r="Z8" s="37">
        <v>0.85</v>
      </c>
      <c r="AA8" t="s">
        <v>15960</v>
      </c>
      <c r="AB8" t="s">
        <v>13935</v>
      </c>
      <c r="AC8" t="s">
        <v>16591</v>
      </c>
      <c r="AF8" t="s">
        <v>16592</v>
      </c>
      <c r="AG8" t="s">
        <v>962</v>
      </c>
      <c r="AH8" t="s">
        <v>962</v>
      </c>
      <c r="AI8" t="s">
        <v>962</v>
      </c>
      <c r="AJ8" t="s">
        <v>962</v>
      </c>
      <c r="AK8" t="s">
        <v>962</v>
      </c>
      <c r="AL8" t="s">
        <v>1090</v>
      </c>
      <c r="AM8" t="s">
        <v>1090</v>
      </c>
      <c r="AN8" t="s">
        <v>1090</v>
      </c>
      <c r="AO8" t="str">
        <f>IF(A8="","",_xlfn.LET(
        _xlpm.rid,A8,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9" spans="1:41" x14ac:dyDescent="0.3">
      <c r="A9" s="224" t="s">
        <v>15294</v>
      </c>
      <c r="B9" s="224" t="s">
        <v>16593</v>
      </c>
      <c r="C9" s="224" t="s">
        <v>14993</v>
      </c>
      <c r="D9" s="224" t="s">
        <v>15608</v>
      </c>
      <c r="E9" s="20" t="s">
        <v>16594</v>
      </c>
      <c r="F9" s="224" t="s">
        <v>1122</v>
      </c>
      <c r="G9" s="224" t="s">
        <v>14689</v>
      </c>
      <c r="H9" s="224" t="s">
        <v>1136</v>
      </c>
      <c r="I9" s="361">
        <f ca="1">TODAY()+3</f>
        <v>46244</v>
      </c>
      <c r="J9" s="361">
        <f ca="1">TODAY()+5</f>
        <v>46246</v>
      </c>
      <c r="K9" s="361">
        <f ca="1">TODAY()+5</f>
        <v>46246</v>
      </c>
      <c r="L9" s="224" t="s">
        <v>16112</v>
      </c>
      <c r="M9" s="224" t="s">
        <v>16113</v>
      </c>
      <c r="N9" s="224" t="s">
        <v>13935</v>
      </c>
      <c r="O9" s="224" t="str">
        <f t="shared" si="0"/>
        <v>🔴 Critical</v>
      </c>
      <c r="P9" s="426" t="s">
        <v>16115</v>
      </c>
      <c r="Q9" s="224" t="str" cm="1">
        <f t="array" ref="Q9">IF(O9="","",IFERROR(_xlfn.TEXTJOIN(", ",TRUE,_xlfn._xlws.FILTER('[1]Environment Conflicts'!$A$9:$A$34,('[1]Environment Conflicts'!$E$9:$E$34=A9)+('[1]Environment Conflicts'!$F$9:$F$34=A9))),"-"))</f>
        <v>CNF-0001, CNF-0002</v>
      </c>
      <c r="R9" s="224" t="str" cm="1">
        <f t="array" ref="R9">IF(O9="","",IFERROR(_xlfn.TEXTJOIN(", ",TRUE,_xlfn._xlws.FILTER(IF('[1]Environment Conflicts'!$E$9:$E$34=A9,'[1]Environment Conflicts'!$F$9:$F$34,'[1]Environment Conflicts'!$E$9:$E$34),('[1]Environment Conflicts'!$E$9:$E$34=A9)+('[1]Environment Conflicts'!$F$9:$F$34=A9))),"-"))</f>
        <v>REL-0001, REL-0007</v>
      </c>
      <c r="S9" s="224" t="str" cm="1">
        <f t="array" ref="S9">IF(O9="","",IFERROR(_xlfn.TEXTJOIN(", ",TRUE,_xlfn._xlws.FILTER('[1]Environment Conflicts'!$J$9:$J$34,('[1]Environment Conflicts'!$E$9:$E$34=A9)+('[1]Environment Conflicts'!$F$9:$F$34=A9))),"-"))</f>
        <v>Same Test/UAT env required, Same Test/UAT env required</v>
      </c>
      <c r="T9" t="s">
        <v>16125</v>
      </c>
      <c r="U9" t="s">
        <v>16595</v>
      </c>
      <c r="X9" t="s">
        <v>1090</v>
      </c>
      <c r="Y9" s="37">
        <v>0.7</v>
      </c>
      <c r="Z9" s="37">
        <v>0.91</v>
      </c>
      <c r="AA9" t="s">
        <v>15963</v>
      </c>
      <c r="AB9" t="s">
        <v>13935</v>
      </c>
      <c r="AC9" t="s">
        <v>16596</v>
      </c>
      <c r="AF9" t="s">
        <v>1499</v>
      </c>
      <c r="AG9" t="s">
        <v>962</v>
      </c>
      <c r="AH9" t="s">
        <v>962</v>
      </c>
      <c r="AI9" t="s">
        <v>962</v>
      </c>
      <c r="AJ9" t="s">
        <v>962</v>
      </c>
      <c r="AK9" t="s">
        <v>962</v>
      </c>
      <c r="AL9" t="s">
        <v>1090</v>
      </c>
      <c r="AM9" t="s">
        <v>1090</v>
      </c>
      <c r="AN9" t="s">
        <v>1090</v>
      </c>
      <c r="AO9" t="str">
        <f>IF(A9="","",_xlfn.LET(
        _xlpm.rid,A9,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0" spans="1:41" x14ac:dyDescent="0.3">
      <c r="A10" s="224" t="s">
        <v>15296</v>
      </c>
      <c r="B10" s="224" t="s">
        <v>16597</v>
      </c>
      <c r="C10" s="224" t="s">
        <v>14992</v>
      </c>
      <c r="D10" s="224" t="s">
        <v>15622</v>
      </c>
      <c r="E10" s="20" t="s">
        <v>16598</v>
      </c>
      <c r="F10" s="224" t="s">
        <v>1125</v>
      </c>
      <c r="G10" s="224" t="s">
        <v>14697</v>
      </c>
      <c r="H10" s="224" t="s">
        <v>1132</v>
      </c>
      <c r="I10" s="361">
        <v>46213</v>
      </c>
      <c r="J10" s="361">
        <v>46215</v>
      </c>
      <c r="K10" s="361">
        <v>46216</v>
      </c>
      <c r="L10" s="224" t="s">
        <v>16127</v>
      </c>
      <c r="M10" s="224" t="s">
        <v>16128</v>
      </c>
      <c r="N10" s="224" t="s">
        <v>1100</v>
      </c>
      <c r="O10" s="224" t="str">
        <f t="shared" si="0"/>
        <v>🟢 Go</v>
      </c>
      <c r="P10" s="426"/>
      <c r="Q10" s="224" t="str" cm="1">
        <f t="array" ref="Q10">IF(O10="","",IFERROR(_xlfn.TEXTJOIN(", ",TRUE,_xlfn._xlws.FILTER('[1]Environment Conflicts'!$A$9:$A$34,('[1]Environment Conflicts'!$E$9:$E$34=A10)+('[1]Environment Conflicts'!$F$9:$F$34=A10))),"-"))</f>
        <v>-</v>
      </c>
      <c r="R10" s="224" t="str" cm="1">
        <f t="array" ref="R10">IF(O10="","",IFERROR(_xlfn.TEXTJOIN(", ",TRUE,_xlfn._xlws.FILTER(IF('[1]Environment Conflicts'!$E$9:$E$34=A10,'[1]Environment Conflicts'!$F$9:$F$34,'[1]Environment Conflicts'!$E$9:$E$34),('[1]Environment Conflicts'!$E$9:$E$34=A10)+('[1]Environment Conflicts'!$F$9:$F$34=A10))),"-"))</f>
        <v>-</v>
      </c>
      <c r="S10" s="224" t="str" cm="1">
        <f t="array" ref="S10">IF(O10="","",IFERROR(_xlfn.TEXTJOIN(", ",TRUE,_xlfn._xlws.FILTER('[1]Environment Conflicts'!$J$9:$J$34,('[1]Environment Conflicts'!$E$9:$E$34=A10)+('[1]Environment Conflicts'!$F$9:$F$34=A10))),"-"))</f>
        <v>-</v>
      </c>
      <c r="T10" t="s">
        <v>19427</v>
      </c>
      <c r="X10" t="s">
        <v>1714</v>
      </c>
      <c r="Y10" s="37">
        <v>1</v>
      </c>
      <c r="Z10" s="37">
        <v>1</v>
      </c>
      <c r="AA10" t="s">
        <v>15966</v>
      </c>
      <c r="AB10" t="s">
        <v>1100</v>
      </c>
      <c r="AC10" t="s">
        <v>16600</v>
      </c>
      <c r="AF10" t="s">
        <v>16592</v>
      </c>
      <c r="AG10" t="s">
        <v>962</v>
      </c>
      <c r="AH10" t="s">
        <v>962</v>
      </c>
      <c r="AI10" t="s">
        <v>962</v>
      </c>
      <c r="AJ10" t="s">
        <v>962</v>
      </c>
      <c r="AK10" t="s">
        <v>1717</v>
      </c>
      <c r="AL10" t="s">
        <v>1714</v>
      </c>
      <c r="AM10" t="s">
        <v>1714</v>
      </c>
      <c r="AN10" t="s">
        <v>1714</v>
      </c>
      <c r="AO10" t="str">
        <f>IF(A10="","",_xlfn.LET(
        _xlpm.rid,A10,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1" spans="1:41" ht="28.8" x14ac:dyDescent="0.3">
      <c r="A11" s="224" t="s">
        <v>15298</v>
      </c>
      <c r="B11" s="224" t="s">
        <v>16601</v>
      </c>
      <c r="C11" s="224" t="s">
        <v>14991</v>
      </c>
      <c r="D11" s="224" t="s">
        <v>15664</v>
      </c>
      <c r="E11" s="20" t="s">
        <v>16602</v>
      </c>
      <c r="F11" s="224" t="s">
        <v>1125</v>
      </c>
      <c r="G11" s="224" t="s">
        <v>14697</v>
      </c>
      <c r="H11" s="224" t="s">
        <v>1134</v>
      </c>
      <c r="I11" s="361">
        <v>46217</v>
      </c>
      <c r="J11" s="361">
        <v>46219</v>
      </c>
      <c r="K11" s="361">
        <v>46220</v>
      </c>
      <c r="L11" s="224" t="s">
        <v>16131</v>
      </c>
      <c r="M11" s="224" t="s">
        <v>16132</v>
      </c>
      <c r="N11" s="224" t="s">
        <v>1097</v>
      </c>
      <c r="O11" s="224" t="str">
        <f t="shared" si="0"/>
        <v>🟢 Go</v>
      </c>
      <c r="P11" s="426"/>
      <c r="Q11" s="224" t="str" cm="1">
        <f t="array" ref="Q11">IF(O11="","",IFERROR(_xlfn.TEXTJOIN(", ",TRUE,_xlfn._xlws.FILTER('[1]Environment Conflicts'!$A$9:$A$34,('[1]Environment Conflicts'!$E$9:$E$34=A11)+('[1]Environment Conflicts'!$F$9:$F$34=A11))),"-"))</f>
        <v>CNF-0003, CNF-0017</v>
      </c>
      <c r="R11" s="224" t="str" cm="1">
        <f t="array" ref="R11">IF(O11="","",IFERROR(_xlfn.TEXTJOIN(", ",TRUE,_xlfn._xlws.FILTER(IF('[1]Environment Conflicts'!$E$9:$E$34=A11,'[1]Environment Conflicts'!$F$9:$F$34,'[1]Environment Conflicts'!$E$9:$E$34),('[1]Environment Conflicts'!$E$9:$E$34=A11)+('[1]Environment Conflicts'!$F$9:$F$34=A11))),"-"))</f>
        <v>REL-0010, REL-0010</v>
      </c>
      <c r="S11" s="224" t="str" cm="1">
        <f t="array" ref="S11">IF(O11="","",IFERROR(_xlfn.TEXTJOIN(", ",TRUE,_xlfn._xlws.FILTER('[1]Environment Conflicts'!$J$9:$J$34,('[1]Environment Conflicts'!$E$9:$E$34=A11)+('[1]Environment Conflicts'!$F$9:$F$34=A11))),"-"))</f>
        <v>Same Test/UAT env required, Same Test/UAT env required</v>
      </c>
      <c r="T11" t="s">
        <v>19428</v>
      </c>
      <c r="X11" t="s">
        <v>1714</v>
      </c>
      <c r="Y11" s="37">
        <v>1</v>
      </c>
      <c r="Z11" s="37">
        <v>1</v>
      </c>
      <c r="AA11" t="s">
        <v>15969</v>
      </c>
      <c r="AB11" t="s">
        <v>1097</v>
      </c>
      <c r="AC11" t="s">
        <v>16603</v>
      </c>
      <c r="AF11" t="s">
        <v>14600</v>
      </c>
      <c r="AG11" t="s">
        <v>962</v>
      </c>
      <c r="AH11" t="s">
        <v>962</v>
      </c>
      <c r="AI11" t="s">
        <v>962</v>
      </c>
      <c r="AJ11" t="s">
        <v>962</v>
      </c>
      <c r="AK11" t="s">
        <v>1717</v>
      </c>
      <c r="AL11" t="s">
        <v>1714</v>
      </c>
      <c r="AM11" t="s">
        <v>1714</v>
      </c>
      <c r="AN11" t="s">
        <v>1714</v>
      </c>
      <c r="AO11" t="s">
        <v>19429</v>
      </c>
    </row>
    <row r="12" spans="1:41" x14ac:dyDescent="0.3">
      <c r="A12" s="224" t="s">
        <v>15300</v>
      </c>
      <c r="B12" s="224" t="s">
        <v>16604</v>
      </c>
      <c r="C12" s="224" t="s">
        <v>1159</v>
      </c>
      <c r="D12" s="224" t="s">
        <v>15676</v>
      </c>
      <c r="E12" s="20" t="s">
        <v>16605</v>
      </c>
      <c r="F12" s="224" t="s">
        <v>1122</v>
      </c>
      <c r="G12" s="224" t="s">
        <v>1125</v>
      </c>
      <c r="H12" s="224" t="s">
        <v>1134</v>
      </c>
      <c r="I12" s="361">
        <v>46221</v>
      </c>
      <c r="J12" s="361">
        <v>46223</v>
      </c>
      <c r="K12" s="361">
        <v>46223</v>
      </c>
      <c r="L12" s="224" t="s">
        <v>16136</v>
      </c>
      <c r="M12" s="224" t="s">
        <v>16137</v>
      </c>
      <c r="N12" s="224" t="s">
        <v>1100</v>
      </c>
      <c r="O12" s="224" t="str">
        <f t="shared" si="0"/>
        <v>🟢 Go</v>
      </c>
      <c r="P12" s="426"/>
      <c r="Q12" s="224" t="str" cm="1">
        <f t="array" ref="Q12">IF(O12="","",IFERROR(_xlfn.TEXTJOIN(", ",TRUE,_xlfn._xlws.FILTER('[1]Environment Conflicts'!$A$9:$A$34,('[1]Environment Conflicts'!$E$9:$E$34=A12)+('[1]Environment Conflicts'!$F$9:$F$34=A12))),"-"))</f>
        <v>-</v>
      </c>
      <c r="R12" s="224" t="str" cm="1">
        <f t="array" ref="R12">IF(O12="","",IFERROR(_xlfn.TEXTJOIN(", ",TRUE,_xlfn._xlws.FILTER(IF('[1]Environment Conflicts'!$E$9:$E$34=A12,'[1]Environment Conflicts'!$F$9:$F$34,'[1]Environment Conflicts'!$E$9:$E$34),('[1]Environment Conflicts'!$E$9:$E$34=A12)+('[1]Environment Conflicts'!$F$9:$F$34=A12))),"-"))</f>
        <v>-</v>
      </c>
      <c r="S12" s="224" t="str" cm="1">
        <f t="array" ref="S12">IF(O12="","",IFERROR(_xlfn.TEXTJOIN(", ",TRUE,_xlfn._xlws.FILTER('[1]Environment Conflicts'!$J$9:$J$34,('[1]Environment Conflicts'!$E$9:$E$34=A12)+('[1]Environment Conflicts'!$F$9:$F$34=A12))),"-"))</f>
        <v>-</v>
      </c>
      <c r="T12" t="s">
        <v>16139</v>
      </c>
      <c r="X12" t="s">
        <v>1714</v>
      </c>
      <c r="Y12" s="37">
        <v>1</v>
      </c>
      <c r="Z12" s="37">
        <v>1</v>
      </c>
      <c r="AA12" t="s">
        <v>15972</v>
      </c>
      <c r="AB12" t="s">
        <v>1100</v>
      </c>
      <c r="AC12" t="s">
        <v>16606</v>
      </c>
      <c r="AF12" t="s">
        <v>1499</v>
      </c>
      <c r="AG12" t="s">
        <v>962</v>
      </c>
      <c r="AH12" t="s">
        <v>962</v>
      </c>
      <c r="AI12" t="s">
        <v>962</v>
      </c>
      <c r="AJ12" t="s">
        <v>962</v>
      </c>
      <c r="AK12" t="s">
        <v>1717</v>
      </c>
      <c r="AL12" t="s">
        <v>1714</v>
      </c>
      <c r="AM12" t="s">
        <v>1714</v>
      </c>
      <c r="AN12" t="s">
        <v>1714</v>
      </c>
      <c r="AO12" t="s">
        <v>19429</v>
      </c>
    </row>
    <row r="13" spans="1:41" ht="28.8" x14ac:dyDescent="0.3">
      <c r="A13" s="224" t="s">
        <v>15302</v>
      </c>
      <c r="B13" s="224" t="s">
        <v>16607</v>
      </c>
      <c r="C13" s="224" t="s">
        <v>14990</v>
      </c>
      <c r="D13" s="224" t="s">
        <v>15705</v>
      </c>
      <c r="E13" s="20" t="s">
        <v>16608</v>
      </c>
      <c r="F13" s="224" t="s">
        <v>1125</v>
      </c>
      <c r="G13" s="224" t="s">
        <v>14697</v>
      </c>
      <c r="H13" s="224" t="s">
        <v>1134</v>
      </c>
      <c r="I13" s="361">
        <f ca="1">TODAY()+6</f>
        <v>46247</v>
      </c>
      <c r="J13" s="361">
        <f ca="1">TODAY()+8</f>
        <v>46249</v>
      </c>
      <c r="K13" s="361">
        <f ca="1">TODAY()+9</f>
        <v>46250</v>
      </c>
      <c r="L13" s="224" t="s">
        <v>16112</v>
      </c>
      <c r="M13" s="224" t="s">
        <v>16113</v>
      </c>
      <c r="N13" s="224" t="s">
        <v>13935</v>
      </c>
      <c r="O13" s="224" t="str">
        <f t="shared" si="0"/>
        <v>🔴 Critical</v>
      </c>
      <c r="P13" s="426" t="s">
        <v>16115</v>
      </c>
      <c r="Q13" s="224" t="str" cm="1">
        <f t="array" ref="Q13">IF(O13="","",IFERROR(_xlfn.TEXTJOIN(", ",TRUE,_xlfn._xlws.FILTER('[1]Environment Conflicts'!$A$9:$A$34,('[1]Environment Conflicts'!$E$9:$E$34=A13)+('[1]Environment Conflicts'!$F$9:$F$34=A13))),"-"))</f>
        <v>CNF-0002, CNF-0004, CNF-0020</v>
      </c>
      <c r="R13" s="224" t="str" cm="1">
        <f t="array" ref="R13">IF(O13="","",IFERROR(_xlfn.TEXTJOIN(", ",TRUE,_xlfn._xlws.FILTER(IF('[1]Environment Conflicts'!$E$9:$E$34=A13,'[1]Environment Conflicts'!$F$9:$F$34,'[1]Environment Conflicts'!$E$9:$E$34),('[1]Environment Conflicts'!$E$9:$E$34=A13)+('[1]Environment Conflicts'!$F$9:$F$34=A13))),"-"))</f>
        <v>REL-0003, REL-0012, REL-0012</v>
      </c>
      <c r="S13" s="224" t="str" cm="1">
        <f t="array" ref="S13">IF(O13="","",IFERROR(_xlfn.TEXTJOIN(", ",TRUE,_xlfn._xlws.FILTER('[1]Environment Conflicts'!$J$9:$J$34,('[1]Environment Conflicts'!$E$9:$E$34=A13)+('[1]Environment Conflicts'!$F$9:$F$34=A13))),"-"))</f>
        <v>Same Test/UAT env required, Same Test/UAT env required, Same Test/UAT env required</v>
      </c>
      <c r="T13" t="s">
        <v>16142</v>
      </c>
      <c r="U13" t="s">
        <v>16609</v>
      </c>
      <c r="X13" t="s">
        <v>1090</v>
      </c>
      <c r="Y13" s="37">
        <v>0.65</v>
      </c>
      <c r="Z13" s="37">
        <v>0.88</v>
      </c>
      <c r="AA13" t="s">
        <v>15975</v>
      </c>
      <c r="AB13" t="s">
        <v>13935</v>
      </c>
      <c r="AC13" t="s">
        <v>16610</v>
      </c>
      <c r="AF13" t="s">
        <v>16592</v>
      </c>
      <c r="AG13" t="s">
        <v>962</v>
      </c>
      <c r="AH13" t="s">
        <v>962</v>
      </c>
      <c r="AI13" t="s">
        <v>962</v>
      </c>
      <c r="AJ13" t="s">
        <v>1246</v>
      </c>
      <c r="AK13" t="s">
        <v>962</v>
      </c>
      <c r="AL13" t="s">
        <v>1090</v>
      </c>
      <c r="AM13" t="s">
        <v>1090</v>
      </c>
      <c r="AN13" t="s">
        <v>1070</v>
      </c>
      <c r="AO13" t="str">
        <f>IF(A13="","",_xlfn.LET(
        _xlpm.rid,A13,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4" spans="1:41" x14ac:dyDescent="0.3">
      <c r="A14" s="224" t="s">
        <v>15304</v>
      </c>
      <c r="B14" s="224" t="s">
        <v>16611</v>
      </c>
      <c r="C14" s="224" t="s">
        <v>152</v>
      </c>
      <c r="D14" s="224" t="s">
        <v>15732</v>
      </c>
      <c r="E14" s="20" t="s">
        <v>16612</v>
      </c>
      <c r="F14" s="224" t="s">
        <v>1122</v>
      </c>
      <c r="G14" s="224" t="s">
        <v>14689</v>
      </c>
      <c r="H14" s="224" t="s">
        <v>1136</v>
      </c>
      <c r="I14" s="361">
        <v>46232</v>
      </c>
      <c r="J14" s="361">
        <v>46234</v>
      </c>
      <c r="K14" s="361">
        <v>46234</v>
      </c>
      <c r="L14" s="224" t="s">
        <v>16144</v>
      </c>
      <c r="M14" s="224" t="s">
        <v>16145</v>
      </c>
      <c r="N14" s="224" t="s">
        <v>1097</v>
      </c>
      <c r="O14" s="224" t="str">
        <f t="shared" si="0"/>
        <v>🟢 Go</v>
      </c>
      <c r="P14" s="426"/>
      <c r="Q14" s="224" t="str" cm="1">
        <f t="array" ref="Q14">IF(O14="","",IFERROR(_xlfn.TEXTJOIN(", ",TRUE,_xlfn._xlws.FILTER('[1]Environment Conflicts'!$A$9:$A$34,('[1]Environment Conflicts'!$E$9:$E$34=A14)+('[1]Environment Conflicts'!$F$9:$F$34=A14))),"-"))</f>
        <v>-</v>
      </c>
      <c r="R14" s="224" t="str" cm="1">
        <f t="array" ref="R14">IF(O14="","",IFERROR(_xlfn.TEXTJOIN(", ",TRUE,_xlfn._xlws.FILTER(IF('[1]Environment Conflicts'!$E$9:$E$34=A14,'[1]Environment Conflicts'!$F$9:$F$34,'[1]Environment Conflicts'!$E$9:$E$34),('[1]Environment Conflicts'!$E$9:$E$34=A14)+('[1]Environment Conflicts'!$F$9:$F$34=A14))),"-"))</f>
        <v>-</v>
      </c>
      <c r="S14" s="224" t="str" cm="1">
        <f t="array" ref="S14">IF(O14="","",IFERROR(_xlfn.TEXTJOIN(", ",TRUE,_xlfn._xlws.FILTER('[1]Environment Conflicts'!$J$9:$J$34,('[1]Environment Conflicts'!$E$9:$E$34=A14)+('[1]Environment Conflicts'!$F$9:$F$34=A14))),"-"))</f>
        <v>-</v>
      </c>
      <c r="T14" t="s">
        <v>16147</v>
      </c>
      <c r="X14" t="s">
        <v>1714</v>
      </c>
      <c r="Y14" s="37">
        <v>1</v>
      </c>
      <c r="Z14" s="37">
        <v>1</v>
      </c>
      <c r="AA14" t="s">
        <v>15978</v>
      </c>
      <c r="AB14" t="s">
        <v>1097</v>
      </c>
      <c r="AC14" t="s">
        <v>16613</v>
      </c>
      <c r="AF14" t="s">
        <v>14600</v>
      </c>
      <c r="AG14" t="s">
        <v>962</v>
      </c>
      <c r="AH14" t="s">
        <v>962</v>
      </c>
      <c r="AI14" t="s">
        <v>962</v>
      </c>
      <c r="AJ14" t="s">
        <v>962</v>
      </c>
      <c r="AK14" t="s">
        <v>1717</v>
      </c>
      <c r="AL14" t="s">
        <v>1714</v>
      </c>
      <c r="AM14" t="s">
        <v>1714</v>
      </c>
      <c r="AN14" t="s">
        <v>1714</v>
      </c>
      <c r="AO14" t="s">
        <v>19429</v>
      </c>
    </row>
    <row r="15" spans="1:41" x14ac:dyDescent="0.3">
      <c r="A15" s="224" t="s">
        <v>15306</v>
      </c>
      <c r="B15" s="224" t="s">
        <v>16614</v>
      </c>
      <c r="C15" s="224" t="s">
        <v>1158</v>
      </c>
      <c r="D15" s="224" t="s">
        <v>15458</v>
      </c>
      <c r="E15" s="20" t="s">
        <v>16615</v>
      </c>
      <c r="F15" s="224" t="s">
        <v>1122</v>
      </c>
      <c r="G15" s="224" t="s">
        <v>1125</v>
      </c>
      <c r="H15" s="224" t="s">
        <v>1134</v>
      </c>
      <c r="I15" s="361">
        <v>46236</v>
      </c>
      <c r="J15" s="361">
        <v>46238</v>
      </c>
      <c r="K15" s="361">
        <v>46238</v>
      </c>
      <c r="L15" s="224" t="s">
        <v>16149</v>
      </c>
      <c r="M15" s="224" t="s">
        <v>16113</v>
      </c>
      <c r="N15" s="224" t="s">
        <v>1100</v>
      </c>
      <c r="O15" s="224" t="str">
        <f t="shared" si="0"/>
        <v>🟢 Go</v>
      </c>
      <c r="P15" s="426"/>
      <c r="Q15" s="224" t="str" cm="1">
        <f t="array" ref="Q15">IF(O15="","",IFERROR(_xlfn.TEXTJOIN(", ",TRUE,_xlfn._xlws.FILTER('[1]Environment Conflicts'!$A$9:$A$34,('[1]Environment Conflicts'!$E$9:$E$34=A15)+('[1]Environment Conflicts'!$F$9:$F$34=A15))),"-"))</f>
        <v>CNF-0005, CNF-0018</v>
      </c>
      <c r="R15" s="224" t="str" cm="1">
        <f t="array" ref="R15">IF(O15="","",IFERROR(_xlfn.TEXTJOIN(", ",TRUE,_xlfn._xlws.FILTER(IF('[1]Environment Conflicts'!$E$9:$E$34=A15,'[1]Environment Conflicts'!$F$9:$F$34,'[1]Environment Conflicts'!$E$9:$E$34),('[1]Environment Conflicts'!$E$9:$E$34=A15)+('[1]Environment Conflicts'!$F$9:$F$34=A15))),"-"))</f>
        <v>REL-0014, REL-0011</v>
      </c>
      <c r="S15" s="224" t="str" cm="1">
        <f t="array" ref="S15">IF(O15="","",IFERROR(_xlfn.TEXTJOIN(", ",TRUE,_xlfn._xlws.FILTER('[1]Environment Conflicts'!$J$9:$J$34,('[1]Environment Conflicts'!$E$9:$E$34=A15)+('[1]Environment Conflicts'!$F$9:$F$34=A15))),"-"))</f>
        <v>Same UAT env required, UAT environment overlap</v>
      </c>
      <c r="T15" t="s">
        <v>19430</v>
      </c>
      <c r="X15" t="s">
        <v>1714</v>
      </c>
      <c r="Y15" s="37">
        <v>1</v>
      </c>
      <c r="Z15" s="37">
        <v>1</v>
      </c>
      <c r="AA15" t="s">
        <v>15768</v>
      </c>
      <c r="AB15" t="s">
        <v>1100</v>
      </c>
      <c r="AC15" t="s">
        <v>16588</v>
      </c>
      <c r="AD15" t="s">
        <v>15302</v>
      </c>
      <c r="AF15" t="s">
        <v>1499</v>
      </c>
      <c r="AG15" t="s">
        <v>962</v>
      </c>
      <c r="AH15" t="s">
        <v>962</v>
      </c>
      <c r="AI15" t="s">
        <v>962</v>
      </c>
      <c r="AJ15" t="s">
        <v>962</v>
      </c>
      <c r="AK15" t="s">
        <v>1717</v>
      </c>
      <c r="AL15" t="s">
        <v>1714</v>
      </c>
      <c r="AM15" t="s">
        <v>1714</v>
      </c>
      <c r="AN15" t="s">
        <v>1714</v>
      </c>
      <c r="AO15" t="s">
        <v>19429</v>
      </c>
    </row>
    <row r="16" spans="1:41" ht="28.8" x14ac:dyDescent="0.3">
      <c r="A16" s="224" t="s">
        <v>15308</v>
      </c>
      <c r="B16" s="224" t="s">
        <v>16617</v>
      </c>
      <c r="C16" s="224" t="s">
        <v>14994</v>
      </c>
      <c r="D16" s="224" t="s">
        <v>15563</v>
      </c>
      <c r="E16" s="20" t="s">
        <v>16618</v>
      </c>
      <c r="F16" s="224" t="s">
        <v>1128</v>
      </c>
      <c r="G16" s="224" t="s">
        <v>1125</v>
      </c>
      <c r="H16" s="224" t="s">
        <v>1134</v>
      </c>
      <c r="I16" s="361">
        <v>46218</v>
      </c>
      <c r="J16" s="361">
        <v>46221</v>
      </c>
      <c r="K16" s="361">
        <v>46223</v>
      </c>
      <c r="L16" s="224" t="s">
        <v>16131</v>
      </c>
      <c r="M16" s="224" t="s">
        <v>16132</v>
      </c>
      <c r="N16" s="224" t="s">
        <v>1097</v>
      </c>
      <c r="O16" s="224" t="str">
        <f t="shared" si="0"/>
        <v>🟢 Go</v>
      </c>
      <c r="P16" s="426"/>
      <c r="Q16" s="224" t="str" cm="1">
        <f t="array" ref="Q16">IF(O16="","",IFERROR(_xlfn.TEXTJOIN(", ",TRUE,_xlfn._xlws.FILTER('[1]Environment Conflicts'!$A$9:$A$34,('[1]Environment Conflicts'!$E$9:$E$34=A16)+('[1]Environment Conflicts'!$F$9:$F$34=A16))),"-"))</f>
        <v>CNF-0003, CNF-0017</v>
      </c>
      <c r="R16" s="224" t="str" cm="1">
        <f t="array" ref="R16">IF(O16="","",IFERROR(_xlfn.TEXTJOIN(", ",TRUE,_xlfn._xlws.FILTER(IF('[1]Environment Conflicts'!$E$9:$E$34=A16,'[1]Environment Conflicts'!$F$9:$F$34,'[1]Environment Conflicts'!$E$9:$E$34),('[1]Environment Conflicts'!$E$9:$E$34=A16)+('[1]Environment Conflicts'!$F$9:$F$34=A16))),"-"))</f>
        <v>REL-0005, REL-0005</v>
      </c>
      <c r="S16" s="224" t="str" cm="1">
        <f t="array" ref="S16">IF(O16="","",IFERROR(_xlfn.TEXTJOIN(", ",TRUE,_xlfn._xlws.FILTER('[1]Environment Conflicts'!$J$9:$J$34,('[1]Environment Conflicts'!$E$9:$E$34=A16)+('[1]Environment Conflicts'!$F$9:$F$34=A16))),"-"))</f>
        <v>Same Test/UAT env required, Same Test/UAT env required</v>
      </c>
      <c r="T16" t="s">
        <v>19428</v>
      </c>
      <c r="X16" t="s">
        <v>1714</v>
      </c>
      <c r="Y16" s="37">
        <v>1</v>
      </c>
      <c r="Z16" s="37">
        <v>1</v>
      </c>
      <c r="AA16" t="s">
        <v>15772</v>
      </c>
      <c r="AB16" t="s">
        <v>1097</v>
      </c>
      <c r="AC16" t="s">
        <v>16591</v>
      </c>
      <c r="AF16" t="s">
        <v>16592</v>
      </c>
      <c r="AG16" t="s">
        <v>962</v>
      </c>
      <c r="AH16" t="s">
        <v>962</v>
      </c>
      <c r="AI16" t="s">
        <v>962</v>
      </c>
      <c r="AJ16" t="s">
        <v>962</v>
      </c>
      <c r="AK16" t="s">
        <v>1717</v>
      </c>
      <c r="AL16" t="s">
        <v>1714</v>
      </c>
      <c r="AM16" t="s">
        <v>1714</v>
      </c>
      <c r="AN16" t="s">
        <v>1714</v>
      </c>
      <c r="AO16" t="s">
        <v>19429</v>
      </c>
    </row>
    <row r="17" spans="1:41" x14ac:dyDescent="0.3">
      <c r="A17" s="224" t="s">
        <v>15310</v>
      </c>
      <c r="B17" s="224" t="s">
        <v>16619</v>
      </c>
      <c r="C17" s="224" t="s">
        <v>14993</v>
      </c>
      <c r="D17" s="224" t="s">
        <v>15596</v>
      </c>
      <c r="E17" s="20" t="s">
        <v>16620</v>
      </c>
      <c r="F17" s="224" t="s">
        <v>1122</v>
      </c>
      <c r="G17" s="224" t="s">
        <v>14689</v>
      </c>
      <c r="H17" s="224" t="s">
        <v>1136</v>
      </c>
      <c r="I17" s="361">
        <v>46244</v>
      </c>
      <c r="J17" s="361">
        <v>46246</v>
      </c>
      <c r="K17" s="361">
        <v>46246</v>
      </c>
      <c r="L17" s="224" t="s">
        <v>16154</v>
      </c>
      <c r="M17" s="224" t="s">
        <v>16155</v>
      </c>
      <c r="N17" s="224" t="s">
        <v>1074</v>
      </c>
      <c r="O17" s="224" t="str">
        <f t="shared" si="0"/>
        <v>🔴 Critical</v>
      </c>
      <c r="P17" s="426" t="s">
        <v>16115</v>
      </c>
      <c r="Q17" s="224" t="str" cm="1">
        <f t="array" ref="Q17">IF(O17="","",IFERROR(_xlfn.TEXTJOIN(", ",TRUE,_xlfn._xlws.FILTER('[1]Environment Conflicts'!$A$9:$A$34,('[1]Environment Conflicts'!$E$9:$E$34=A17)+('[1]Environment Conflicts'!$F$9:$F$34=A17))),"-"))</f>
        <v>CNF-0006, CNF-0018, CNF-0019</v>
      </c>
      <c r="R17" s="224" t="str" cm="1">
        <f t="array" ref="R17">IF(O17="","",IFERROR(_xlfn.TEXTJOIN(", ",TRUE,_xlfn._xlws.FILTER(IF('[1]Environment Conflicts'!$E$9:$E$34=A17,'[1]Environment Conflicts'!$F$9:$F$34,'[1]Environment Conflicts'!$E$9:$E$34),('[1]Environment Conflicts'!$E$9:$E$34=A17)+('[1]Environment Conflicts'!$F$9:$F$34=A17))),"-"))</f>
        <v>REL-0014, REL-0009, REL-0014</v>
      </c>
      <c r="S17" s="224" t="str" cm="1">
        <f t="array" ref="S17">IF(O17="","",IFERROR(_xlfn.TEXTJOIN(", ",TRUE,_xlfn._xlws.FILTER('[1]Environment Conflicts'!$J$9:$J$34,('[1]Environment Conflicts'!$E$9:$E$34=A17)+('[1]Environment Conflicts'!$F$9:$F$34=A17))),"-"))</f>
        <v>Same Test/UAT env required, UAT environment overlap, Same Test/UAT env required</v>
      </c>
      <c r="T17" t="s">
        <v>16150</v>
      </c>
      <c r="X17" t="s">
        <v>14485</v>
      </c>
      <c r="Y17" s="37">
        <v>0.4</v>
      </c>
      <c r="Z17" s="37">
        <v>0.28999999999999998</v>
      </c>
      <c r="AA17" t="s">
        <v>15775</v>
      </c>
      <c r="AB17" t="s">
        <v>1074</v>
      </c>
      <c r="AC17" t="s">
        <v>16596</v>
      </c>
      <c r="AF17" t="s">
        <v>1499</v>
      </c>
      <c r="AG17" t="s">
        <v>14485</v>
      </c>
      <c r="AH17" t="s">
        <v>14485</v>
      </c>
      <c r="AI17" t="s">
        <v>14485</v>
      </c>
      <c r="AJ17" t="s">
        <v>14485</v>
      </c>
      <c r="AK17" t="s">
        <v>14485</v>
      </c>
      <c r="AL17" t="s">
        <v>14485</v>
      </c>
      <c r="AM17" t="s">
        <v>14485</v>
      </c>
      <c r="AN17" t="s">
        <v>14485</v>
      </c>
      <c r="AO17" t="str">
        <f>IF(A17="","",_xlfn.LET(
        _xlpm.rid,A17,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8" spans="1:41" x14ac:dyDescent="0.3">
      <c r="A18" s="224" t="s">
        <v>15312</v>
      </c>
      <c r="B18" s="224" t="s">
        <v>16621</v>
      </c>
      <c r="C18" s="224" t="s">
        <v>14992</v>
      </c>
      <c r="D18" s="224" t="s">
        <v>15631</v>
      </c>
      <c r="E18" s="20" t="s">
        <v>16622</v>
      </c>
      <c r="F18" s="224" t="s">
        <v>1122</v>
      </c>
      <c r="G18" s="224" t="s">
        <v>1125</v>
      </c>
      <c r="H18" s="224" t="s">
        <v>1136</v>
      </c>
      <c r="I18" s="361">
        <f ca="1">TODAY()+4</f>
        <v>46245</v>
      </c>
      <c r="J18" s="361">
        <f ca="1">TODAY()+6</f>
        <v>46247</v>
      </c>
      <c r="K18" s="361">
        <f ca="1">TODAY()+6</f>
        <v>46247</v>
      </c>
      <c r="L18" s="224" t="s">
        <v>16112</v>
      </c>
      <c r="M18" s="224" t="s">
        <v>16113</v>
      </c>
      <c r="N18" s="224" t="s">
        <v>13935</v>
      </c>
      <c r="O18" s="224" t="str">
        <f t="shared" si="0"/>
        <v>🔴 Critical</v>
      </c>
      <c r="P18" s="426" t="s">
        <v>16115</v>
      </c>
      <c r="Q18" s="224" t="str" cm="1">
        <f t="array" ref="Q18">IF(O18="","",IFERROR(_xlfn.TEXTJOIN(", ",TRUE,_xlfn._xlws.FILTER('[1]Environment Conflicts'!$A$9:$A$34,('[1]Environment Conflicts'!$E$9:$E$34=A18)+('[1]Environment Conflicts'!$F$9:$F$34=A18))),"-"))</f>
        <v>CNF-0004, CNF-0020</v>
      </c>
      <c r="R18" s="224" t="str" cm="1">
        <f t="array" ref="R18">IF(O18="","",IFERROR(_xlfn.TEXTJOIN(", ",TRUE,_xlfn._xlws.FILTER(IF('[1]Environment Conflicts'!$E$9:$E$34=A18,'[1]Environment Conflicts'!$F$9:$F$34,'[1]Environment Conflicts'!$E$9:$E$34),('[1]Environment Conflicts'!$E$9:$E$34=A18)+('[1]Environment Conflicts'!$F$9:$F$34=A18))),"-"))</f>
        <v>REL-0007, REL-0007</v>
      </c>
      <c r="S18" s="224" t="str" cm="1">
        <f t="array" ref="S18">IF(O18="","",IFERROR(_xlfn.TEXTJOIN(", ",TRUE,_xlfn._xlws.FILTER('[1]Environment Conflicts'!$J$9:$J$34,('[1]Environment Conflicts'!$E$9:$E$34=A18)+('[1]Environment Conflicts'!$F$9:$F$34=A18))),"-"))</f>
        <v>Same Test/UAT env required, Same Test/UAT env required</v>
      </c>
      <c r="T18" t="s">
        <v>16125</v>
      </c>
      <c r="X18" t="s">
        <v>1090</v>
      </c>
      <c r="Y18" s="37">
        <v>0.72</v>
      </c>
      <c r="Z18" s="37">
        <v>0.89</v>
      </c>
      <c r="AA18" t="s">
        <v>15778</v>
      </c>
      <c r="AB18" t="s">
        <v>13935</v>
      </c>
      <c r="AC18" t="s">
        <v>16600</v>
      </c>
      <c r="AF18" t="s">
        <v>14600</v>
      </c>
      <c r="AG18" t="s">
        <v>962</v>
      </c>
      <c r="AH18" t="s">
        <v>962</v>
      </c>
      <c r="AI18" t="s">
        <v>962</v>
      </c>
      <c r="AJ18" t="s">
        <v>962</v>
      </c>
      <c r="AK18" t="s">
        <v>1246</v>
      </c>
      <c r="AL18" t="s">
        <v>1070</v>
      </c>
      <c r="AM18" t="s">
        <v>1090</v>
      </c>
      <c r="AN18" t="s">
        <v>1090</v>
      </c>
      <c r="AO18" t="str">
        <f>IF(A18="","",_xlfn.LET(
        _xlpm.rid,A18,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9" spans="1:41" x14ac:dyDescent="0.3">
      <c r="A19" s="224" t="s">
        <v>16160</v>
      </c>
      <c r="B19" s="224" t="s">
        <v>16623</v>
      </c>
      <c r="C19" s="224" t="s">
        <v>14991</v>
      </c>
      <c r="D19" s="224" t="s">
        <v>15655</v>
      </c>
      <c r="E19" s="20" t="s">
        <v>16624</v>
      </c>
      <c r="F19" s="224" t="s">
        <v>1122</v>
      </c>
      <c r="G19" s="224" t="s">
        <v>14689</v>
      </c>
      <c r="H19" s="224" t="s">
        <v>1136</v>
      </c>
      <c r="I19" s="361">
        <v>46252</v>
      </c>
      <c r="J19" s="361">
        <v>46254</v>
      </c>
      <c r="K19" s="361">
        <v>46254</v>
      </c>
      <c r="L19" s="224" t="s">
        <v>16161</v>
      </c>
      <c r="M19" s="224" t="s">
        <v>16132</v>
      </c>
      <c r="N19" s="224" t="s">
        <v>1074</v>
      </c>
      <c r="O19" s="224" t="str">
        <f t="shared" si="0"/>
        <v>🔴 Critical</v>
      </c>
      <c r="P19" s="426" t="s">
        <v>16115</v>
      </c>
      <c r="Q19" s="224" t="str" cm="1">
        <f t="array" ref="Q19">IF(O19="","",IFERROR(_xlfn.TEXTJOIN(", ",TRUE,_xlfn._xlws.FILTER('[1]Environment Conflicts'!$A$9:$A$34,('[1]Environment Conflicts'!$E$9:$E$34=A19)+('[1]Environment Conflicts'!$F$9:$F$34=A19))),"-"))</f>
        <v>CNF-0007</v>
      </c>
      <c r="R19" s="224" t="str" cm="1">
        <f t="array" ref="R19">IF(O19="","",IFERROR(_xlfn.TEXTJOIN(", ",TRUE,_xlfn._xlws.FILTER(IF('[1]Environment Conflicts'!$E$9:$E$34=A19,'[1]Environment Conflicts'!$F$9:$F$34,'[1]Environment Conflicts'!$E$9:$E$34),('[1]Environment Conflicts'!$E$9:$E$34=A19)+('[1]Environment Conflicts'!$F$9:$F$34=A19))),"-"))</f>
        <v>REL-0015</v>
      </c>
      <c r="S19" s="224" t="str" cm="1">
        <f t="array" ref="S19">IF(O19="","",IFERROR(_xlfn.TEXTJOIN(", ",TRUE,_xlfn._xlws.FILTER('[1]Environment Conflicts'!$J$9:$J$34,('[1]Environment Conflicts'!$E$9:$E$34=A19)+('[1]Environment Conflicts'!$F$9:$F$34=A19))),"-"))</f>
        <v>Same Test/UAT env required</v>
      </c>
      <c r="T19" t="s">
        <v>16162</v>
      </c>
      <c r="X19" t="s">
        <v>14485</v>
      </c>
      <c r="Y19" s="37">
        <v>0.35</v>
      </c>
      <c r="Z19" s="37">
        <v>0.49</v>
      </c>
      <c r="AA19" t="s">
        <v>15781</v>
      </c>
      <c r="AB19" t="s">
        <v>1074</v>
      </c>
      <c r="AC19" t="s">
        <v>16603</v>
      </c>
      <c r="AD19" t="s">
        <v>15312</v>
      </c>
      <c r="AF19" t="s">
        <v>1499</v>
      </c>
      <c r="AG19" t="s">
        <v>14485</v>
      </c>
      <c r="AH19" t="s">
        <v>14485</v>
      </c>
      <c r="AI19" t="s">
        <v>14485</v>
      </c>
      <c r="AJ19" t="s">
        <v>14485</v>
      </c>
      <c r="AK19" t="s">
        <v>14485</v>
      </c>
      <c r="AL19" t="s">
        <v>14485</v>
      </c>
      <c r="AM19" t="s">
        <v>14485</v>
      </c>
      <c r="AN19" t="s">
        <v>14485</v>
      </c>
      <c r="AO19" t="str">
        <f>IF(A19="","",_xlfn.LET(
        _xlpm.rid,A19,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0" spans="1:41" x14ac:dyDescent="0.3">
      <c r="A20" s="224" t="s">
        <v>16165</v>
      </c>
      <c r="B20" s="224" t="s">
        <v>16625</v>
      </c>
      <c r="C20" s="224" t="s">
        <v>1159</v>
      </c>
      <c r="D20" s="224" t="s">
        <v>15678</v>
      </c>
      <c r="E20" s="20" t="s">
        <v>16626</v>
      </c>
      <c r="F20" s="224" t="s">
        <v>1128</v>
      </c>
      <c r="G20" s="224" t="s">
        <v>14697</v>
      </c>
      <c r="H20" s="224" t="s">
        <v>1134</v>
      </c>
      <c r="I20" s="361">
        <v>46245</v>
      </c>
      <c r="J20" s="361">
        <v>46248</v>
      </c>
      <c r="K20" s="361">
        <v>46250</v>
      </c>
      <c r="L20" s="224" t="s">
        <v>16154</v>
      </c>
      <c r="M20" s="224" t="s">
        <v>16155</v>
      </c>
      <c r="N20" s="224" t="s">
        <v>1074</v>
      </c>
      <c r="O20" s="224" t="str">
        <f t="shared" si="0"/>
        <v>🔴 Critical</v>
      </c>
      <c r="P20" s="426" t="s">
        <v>16115</v>
      </c>
      <c r="Q20" s="224" t="str" cm="1">
        <f t="array" ref="Q20">IF(O20="","",IFERROR(_xlfn.TEXTJOIN(", ",TRUE,_xlfn._xlws.FILTER('[1]Environment Conflicts'!$A$9:$A$34,('[1]Environment Conflicts'!$E$9:$E$34=A20)+('[1]Environment Conflicts'!$F$9:$F$34=A20))),"-"))</f>
        <v>CNF-0005, CNF-0006, CNF-0019</v>
      </c>
      <c r="R20" s="224" t="str" cm="1">
        <f t="array" ref="R20">IF(O20="","",IFERROR(_xlfn.TEXTJOIN(", ",TRUE,_xlfn._xlws.FILTER(IF('[1]Environment Conflicts'!$E$9:$E$34=A20,'[1]Environment Conflicts'!$F$9:$F$34,'[1]Environment Conflicts'!$E$9:$E$34),('[1]Environment Conflicts'!$E$9:$E$34=A20)+('[1]Environment Conflicts'!$F$9:$F$34=A20))),"-"))</f>
        <v>REL-0009, REL-0011, REL-0011</v>
      </c>
      <c r="S20" s="224" t="str" cm="1">
        <f t="array" ref="S20">IF(O20="","",IFERROR(_xlfn.TEXTJOIN(", ",TRUE,_xlfn._xlws.FILTER('[1]Environment Conflicts'!$J$9:$J$34,('[1]Environment Conflicts'!$E$9:$E$34=A20)+('[1]Environment Conflicts'!$F$9:$F$34=A20))),"-"))</f>
        <v>Same UAT env required, Same Test/UAT env required, Same Test/UAT env required</v>
      </c>
      <c r="T20" t="s">
        <v>16166</v>
      </c>
      <c r="X20" t="s">
        <v>14485</v>
      </c>
      <c r="Y20" s="37">
        <v>0.45</v>
      </c>
      <c r="Z20" s="37">
        <v>0.21</v>
      </c>
      <c r="AA20" t="s">
        <v>15784</v>
      </c>
      <c r="AB20" t="s">
        <v>1074</v>
      </c>
      <c r="AC20" t="s">
        <v>16606</v>
      </c>
      <c r="AF20" t="s">
        <v>16592</v>
      </c>
      <c r="AG20" t="s">
        <v>14485</v>
      </c>
      <c r="AH20" t="s">
        <v>14485</v>
      </c>
      <c r="AI20" t="s">
        <v>14485</v>
      </c>
      <c r="AJ20" t="s">
        <v>14485</v>
      </c>
      <c r="AK20" t="s">
        <v>14485</v>
      </c>
      <c r="AL20" t="s">
        <v>14485</v>
      </c>
      <c r="AM20" t="s">
        <v>14485</v>
      </c>
      <c r="AN20" t="s">
        <v>14485</v>
      </c>
      <c r="AO20" t="str">
        <f>IF(A20="","",_xlfn.LET(
        _xlpm.rid,A20,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1" spans="1:41" ht="28.8" x14ac:dyDescent="0.3">
      <c r="A21" s="224" t="s">
        <v>16168</v>
      </c>
      <c r="B21" s="224" t="s">
        <v>16627</v>
      </c>
      <c r="C21" s="224" t="s">
        <v>14990</v>
      </c>
      <c r="D21" s="224" t="s">
        <v>15717</v>
      </c>
      <c r="E21" s="20" t="s">
        <v>16628</v>
      </c>
      <c r="F21" s="224" t="s">
        <v>1128</v>
      </c>
      <c r="G21" s="224" t="s">
        <v>14697</v>
      </c>
      <c r="H21" s="224" t="s">
        <v>1134</v>
      </c>
      <c r="I21" s="361">
        <v>46253</v>
      </c>
      <c r="J21" s="361">
        <v>46256</v>
      </c>
      <c r="K21" s="361">
        <v>46258</v>
      </c>
      <c r="L21" s="224" t="s">
        <v>16161</v>
      </c>
      <c r="M21" s="224" t="s">
        <v>16132</v>
      </c>
      <c r="N21" s="224" t="s">
        <v>1074</v>
      </c>
      <c r="O21" s="224" t="str">
        <f t="shared" si="0"/>
        <v>🔴 Critical</v>
      </c>
      <c r="P21" s="426" t="s">
        <v>16115</v>
      </c>
      <c r="Q21" s="224" t="str" cm="1">
        <f t="array" ref="Q21">IF(O21="","",IFERROR(_xlfn.TEXTJOIN(", ",TRUE,_xlfn._xlws.FILTER('[1]Environment Conflicts'!$A$9:$A$34,('[1]Environment Conflicts'!$E$9:$E$34=A21)+('[1]Environment Conflicts'!$F$9:$F$34=A21))),"-"))</f>
        <v>CNF-0007, CNF-0008</v>
      </c>
      <c r="R21" s="224" t="str" cm="1">
        <f t="array" ref="R21">IF(O21="","",IFERROR(_xlfn.TEXTJOIN(", ",TRUE,_xlfn._xlws.FILTER(IF('[1]Environment Conflicts'!$E$9:$E$34=A21,'[1]Environment Conflicts'!$F$9:$F$34,'[1]Environment Conflicts'!$E$9:$E$34),('[1]Environment Conflicts'!$E$9:$E$34=A21)+('[1]Environment Conflicts'!$F$9:$F$34=A21))),"-"))</f>
        <v>REL-0013, REL-0017</v>
      </c>
      <c r="S21" s="224" t="str" cm="1">
        <f t="array" ref="S21">IF(O21="","",IFERROR(_xlfn.TEXTJOIN(", ",TRUE,_xlfn._xlws.FILTER('[1]Environment Conflicts'!$J$9:$J$34,('[1]Environment Conflicts'!$E$9:$E$34=A21)+('[1]Environment Conflicts'!$F$9:$F$34=A21))),"-"))</f>
        <v>Same Test/UAT env required, Same Test/UAT env required</v>
      </c>
      <c r="T21" t="s">
        <v>16169</v>
      </c>
      <c r="U21" t="s">
        <v>16629</v>
      </c>
      <c r="X21" t="s">
        <v>14485</v>
      </c>
      <c r="Y21" s="37">
        <v>0.38</v>
      </c>
      <c r="Z21" s="37">
        <v>0.24</v>
      </c>
      <c r="AA21" t="s">
        <v>15955</v>
      </c>
      <c r="AB21" t="s">
        <v>1074</v>
      </c>
      <c r="AC21" t="s">
        <v>16610</v>
      </c>
      <c r="AF21" t="s">
        <v>16592</v>
      </c>
      <c r="AG21" t="s">
        <v>14485</v>
      </c>
      <c r="AH21" t="s">
        <v>14485</v>
      </c>
      <c r="AI21" t="s">
        <v>14485</v>
      </c>
      <c r="AJ21" t="s">
        <v>14485</v>
      </c>
      <c r="AK21" t="s">
        <v>14485</v>
      </c>
      <c r="AL21" t="s">
        <v>14485</v>
      </c>
      <c r="AM21" t="s">
        <v>14485</v>
      </c>
      <c r="AN21" t="s">
        <v>14485</v>
      </c>
      <c r="AO21" t="str">
        <f>IF(A21="","",_xlfn.LET(
        _xlpm.rid,A21,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2" spans="1:41" x14ac:dyDescent="0.3">
      <c r="A22" s="224" t="s">
        <v>16171</v>
      </c>
      <c r="B22" s="224" t="s">
        <v>16630</v>
      </c>
      <c r="C22" s="224" t="s">
        <v>152</v>
      </c>
      <c r="D22" s="224" t="s">
        <v>15747</v>
      </c>
      <c r="E22" s="20" t="s">
        <v>16605</v>
      </c>
      <c r="F22" s="224" t="s">
        <v>1128</v>
      </c>
      <c r="G22" s="224" t="s">
        <v>14697</v>
      </c>
      <c r="H22" s="224" t="s">
        <v>1134</v>
      </c>
      <c r="I22" s="361">
        <v>46266</v>
      </c>
      <c r="J22" s="361">
        <v>46269</v>
      </c>
      <c r="K22" s="361">
        <v>46271</v>
      </c>
      <c r="L22" s="224" t="s">
        <v>16144</v>
      </c>
      <c r="M22" s="224" t="s">
        <v>16145</v>
      </c>
      <c r="N22" s="224" t="s">
        <v>1070</v>
      </c>
      <c r="O22" s="224" t="str">
        <f t="shared" si="0"/>
        <v>🔴 Critical</v>
      </c>
      <c r="P22" s="426"/>
      <c r="Q22" s="224" t="str" cm="1">
        <f t="array" ref="Q22">IF(O22="","",IFERROR(_xlfn.TEXTJOIN(", ",TRUE,_xlfn._xlws.FILTER('[1]Environment Conflicts'!$A$9:$A$34,('[1]Environment Conflicts'!$E$9:$E$34=A22)+('[1]Environment Conflicts'!$F$9:$F$34=A22))),"-"))</f>
        <v>-</v>
      </c>
      <c r="R22" s="224" t="str" cm="1">
        <f t="array" ref="R22">IF(O22="","",IFERROR(_xlfn.TEXTJOIN(", ",TRUE,_xlfn._xlws.FILTER(IF('[1]Environment Conflicts'!$E$9:$E$34=A22,'[1]Environment Conflicts'!$F$9:$F$34,'[1]Environment Conflicts'!$E$9:$E$34),('[1]Environment Conflicts'!$E$9:$E$34=A22)+('[1]Environment Conflicts'!$F$9:$F$34=A22))),"-"))</f>
        <v>-</v>
      </c>
      <c r="S22" s="224" t="str" cm="1">
        <f t="array" ref="S22">IF(O22="","",IFERROR(_xlfn.TEXTJOIN(", ",TRUE,_xlfn._xlws.FILTER('[1]Environment Conflicts'!$J$9:$J$34,('[1]Environment Conflicts'!$E$9:$E$34=A22)+('[1]Environment Conflicts'!$F$9:$F$34=A22))),"-"))</f>
        <v>-</v>
      </c>
      <c r="T22" t="s">
        <v>16172</v>
      </c>
      <c r="U22" t="s">
        <v>16631</v>
      </c>
      <c r="X22" t="s">
        <v>14485</v>
      </c>
      <c r="Y22" s="37"/>
      <c r="Z22" s="37">
        <v>7.0000000000000007E-2</v>
      </c>
      <c r="AA22" t="s">
        <v>15960</v>
      </c>
      <c r="AB22" t="s">
        <v>1070</v>
      </c>
      <c r="AC22" t="s">
        <v>16613</v>
      </c>
      <c r="AE22" t="s">
        <v>16632</v>
      </c>
      <c r="AF22" t="s">
        <v>16592</v>
      </c>
      <c r="AG22" t="s">
        <v>14485</v>
      </c>
      <c r="AH22" t="s">
        <v>988</v>
      </c>
      <c r="AI22" t="s">
        <v>14485</v>
      </c>
      <c r="AJ22" t="s">
        <v>14485</v>
      </c>
      <c r="AK22" t="s">
        <v>14485</v>
      </c>
      <c r="AL22" t="s">
        <v>14485</v>
      </c>
      <c r="AM22" t="s">
        <v>14485</v>
      </c>
      <c r="AN22" t="s">
        <v>14485</v>
      </c>
      <c r="AO22" t="str">
        <f>IF(A22="","",_xlfn.LET(
        _xlpm.rid,A22,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3" spans="1:41" ht="28.8" x14ac:dyDescent="0.3">
      <c r="A23" s="224" t="s">
        <v>16174</v>
      </c>
      <c r="B23" s="224" t="s">
        <v>16633</v>
      </c>
      <c r="C23" s="224" t="s">
        <v>1158</v>
      </c>
      <c r="D23" s="224" t="s">
        <v>15548</v>
      </c>
      <c r="E23" s="20" t="s">
        <v>16634</v>
      </c>
      <c r="F23" s="224" t="s">
        <v>1122</v>
      </c>
      <c r="G23" s="224" t="s">
        <v>14689</v>
      </c>
      <c r="H23" s="224" t="s">
        <v>1136</v>
      </c>
      <c r="I23" s="361">
        <v>46256</v>
      </c>
      <c r="J23" s="361">
        <v>46258</v>
      </c>
      <c r="K23" s="361">
        <v>46258</v>
      </c>
      <c r="L23" s="224" t="s">
        <v>16161</v>
      </c>
      <c r="M23" s="224" t="s">
        <v>16132</v>
      </c>
      <c r="N23" s="224" t="s">
        <v>1074</v>
      </c>
      <c r="O23" s="224" t="str">
        <f t="shared" si="0"/>
        <v>🔴 Critical</v>
      </c>
      <c r="P23" s="426" t="s">
        <v>16115</v>
      </c>
      <c r="Q23" s="224" t="str" cm="1">
        <f t="array" ref="Q23">IF(O23="","",IFERROR(_xlfn.TEXTJOIN(", ",TRUE,_xlfn._xlws.FILTER('[1]Environment Conflicts'!$A$9:$A$34,('[1]Environment Conflicts'!$E$9:$E$34=A23)+('[1]Environment Conflicts'!$F$9:$F$34=A23))),"-"))</f>
        <v>CNF-0008, CNF-0010</v>
      </c>
      <c r="R23" s="224" t="str" cm="1">
        <f t="array" ref="R23">IF(O23="","",IFERROR(_xlfn.TEXTJOIN(", ",TRUE,_xlfn._xlws.FILTER(IF('[1]Environment Conflicts'!$E$9:$E$34=A23,'[1]Environment Conflicts'!$F$9:$F$34,'[1]Environment Conflicts'!$E$9:$E$34),('[1]Environment Conflicts'!$E$9:$E$34=A23)+('[1]Environment Conflicts'!$F$9:$F$34=A23))),"-"))</f>
        <v>REL-0015, REL-0022</v>
      </c>
      <c r="S23" s="224" t="str" cm="1">
        <f t="array" ref="S23">IF(O23="","",IFERROR(_xlfn.TEXTJOIN(", ",TRUE,_xlfn._xlws.FILTER('[1]Environment Conflicts'!$J$9:$J$34,('[1]Environment Conflicts'!$E$9:$E$34=A23)+('[1]Environment Conflicts'!$F$9:$F$34=A23))),"-"))</f>
        <v>Same Test/UAT env required, Same Test/UAT env required</v>
      </c>
      <c r="T23" t="s">
        <v>16175</v>
      </c>
      <c r="U23" t="s">
        <v>16635</v>
      </c>
      <c r="X23" t="s">
        <v>14485</v>
      </c>
      <c r="Y23" s="37">
        <v>0.3</v>
      </c>
      <c r="Z23" s="37">
        <v>0.35</v>
      </c>
      <c r="AA23" t="s">
        <v>15963</v>
      </c>
      <c r="AB23" t="s">
        <v>1074</v>
      </c>
      <c r="AC23" t="s">
        <v>16588</v>
      </c>
      <c r="AD23" t="s">
        <v>16636</v>
      </c>
      <c r="AF23" t="s">
        <v>14600</v>
      </c>
      <c r="AG23" t="s">
        <v>14485</v>
      </c>
      <c r="AH23" t="s">
        <v>14485</v>
      </c>
      <c r="AI23" t="s">
        <v>14485</v>
      </c>
      <c r="AJ23" t="s">
        <v>14485</v>
      </c>
      <c r="AK23" t="s">
        <v>14485</v>
      </c>
      <c r="AL23" t="s">
        <v>14485</v>
      </c>
      <c r="AM23" t="s">
        <v>14485</v>
      </c>
      <c r="AN23" t="s">
        <v>14485</v>
      </c>
      <c r="AO23" t="str">
        <f>IF(A23="","",_xlfn.LET(
        _xlpm.rid,A23,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4" spans="1:41" x14ac:dyDescent="0.3">
      <c r="A24" s="224" t="s">
        <v>16177</v>
      </c>
      <c r="B24" s="224" t="s">
        <v>16637</v>
      </c>
      <c r="C24" s="224" t="s">
        <v>14994</v>
      </c>
      <c r="D24" s="224" t="s">
        <v>15557</v>
      </c>
      <c r="E24" s="20" t="s">
        <v>16638</v>
      </c>
      <c r="F24" s="224" t="s">
        <v>1122</v>
      </c>
      <c r="G24" s="224" t="s">
        <v>14689</v>
      </c>
      <c r="H24" s="224" t="s">
        <v>1136</v>
      </c>
      <c r="I24" s="361">
        <v>46275</v>
      </c>
      <c r="J24" s="361">
        <v>46277</v>
      </c>
      <c r="K24" s="361">
        <v>46277</v>
      </c>
      <c r="L24" s="224" t="s">
        <v>16178</v>
      </c>
      <c r="M24" s="224" t="s">
        <v>16179</v>
      </c>
      <c r="N24" s="224" t="s">
        <v>1090</v>
      </c>
      <c r="O24" s="224" t="str">
        <f t="shared" si="0"/>
        <v>🟢 Go</v>
      </c>
      <c r="P24" s="426"/>
      <c r="Q24" s="224" t="str" cm="1">
        <f t="array" ref="Q24">IF(O24="","",IFERROR(_xlfn.TEXTJOIN(", ",TRUE,_xlfn._xlws.FILTER('[1]Environment Conflicts'!$A$9:$A$34,('[1]Environment Conflicts'!$E$9:$E$34=A24)+('[1]Environment Conflicts'!$F$9:$F$34=A24))),"-"))</f>
        <v>-</v>
      </c>
      <c r="R24" s="224" t="str" cm="1">
        <f t="array" ref="R24">IF(O24="","",IFERROR(_xlfn.TEXTJOIN(", ",TRUE,_xlfn._xlws.FILTER(IF('[1]Environment Conflicts'!$E$9:$E$34=A24,'[1]Environment Conflicts'!$F$9:$F$34,'[1]Environment Conflicts'!$E$9:$E$34),('[1]Environment Conflicts'!$E$9:$E$34=A24)+('[1]Environment Conflicts'!$F$9:$F$34=A24))),"-"))</f>
        <v>-</v>
      </c>
      <c r="S24" s="224" t="str" cm="1">
        <f t="array" ref="S24">IF(O24="","",IFERROR(_xlfn.TEXTJOIN(", ",TRUE,_xlfn._xlws.FILTER('[1]Environment Conflicts'!$J$9:$J$34,('[1]Environment Conflicts'!$E$9:$E$34=A24)+('[1]Environment Conflicts'!$F$9:$F$34=A24))),"-"))</f>
        <v>-</v>
      </c>
      <c r="T24" t="s">
        <v>16180</v>
      </c>
      <c r="X24" t="s">
        <v>1090</v>
      </c>
      <c r="Y24" s="37">
        <v>0.98</v>
      </c>
      <c r="Z24" s="37">
        <v>1</v>
      </c>
      <c r="AA24" t="s">
        <v>15966</v>
      </c>
      <c r="AB24" t="s">
        <v>1090</v>
      </c>
      <c r="AC24" t="s">
        <v>16591</v>
      </c>
      <c r="AF24" t="s">
        <v>14600</v>
      </c>
      <c r="AG24" t="s">
        <v>962</v>
      </c>
      <c r="AH24" t="s">
        <v>962</v>
      </c>
      <c r="AI24" t="s">
        <v>962</v>
      </c>
      <c r="AJ24" t="s">
        <v>962</v>
      </c>
      <c r="AK24" t="s">
        <v>1717</v>
      </c>
      <c r="AL24" t="s">
        <v>1090</v>
      </c>
      <c r="AM24" t="s">
        <v>1090</v>
      </c>
      <c r="AN24" t="s">
        <v>1714</v>
      </c>
      <c r="AO24" t="s">
        <v>19429</v>
      </c>
    </row>
    <row r="25" spans="1:41" x14ac:dyDescent="0.3">
      <c r="A25" s="224" t="s">
        <v>16182</v>
      </c>
      <c r="B25" s="224" t="s">
        <v>16639</v>
      </c>
      <c r="C25" s="224" t="s">
        <v>14993</v>
      </c>
      <c r="D25" s="224" t="s">
        <v>15587</v>
      </c>
      <c r="E25" s="20" t="s">
        <v>16640</v>
      </c>
      <c r="F25" s="224" t="s">
        <v>1122</v>
      </c>
      <c r="G25" s="224" t="s">
        <v>14689</v>
      </c>
      <c r="H25" s="224" t="s">
        <v>1136</v>
      </c>
      <c r="I25" s="361">
        <v>46279</v>
      </c>
      <c r="J25" s="361">
        <v>46281</v>
      </c>
      <c r="K25" s="361">
        <v>46281</v>
      </c>
      <c r="L25" s="224" t="s">
        <v>16183</v>
      </c>
      <c r="M25" s="224" t="s">
        <v>16184</v>
      </c>
      <c r="N25" s="224" t="s">
        <v>1070</v>
      </c>
      <c r="O25" s="224" t="str">
        <f t="shared" si="0"/>
        <v>🔴 Critical</v>
      </c>
      <c r="P25" s="426" t="s">
        <v>16115</v>
      </c>
      <c r="Q25" s="224" t="str" cm="1">
        <f t="array" ref="Q25">IF(O25="","",IFERROR(_xlfn.TEXTJOIN(", ",TRUE,_xlfn._xlws.FILTER('[1]Environment Conflicts'!$A$9:$A$34,('[1]Environment Conflicts'!$E$9:$E$34=A25)+('[1]Environment Conflicts'!$F$9:$F$34=A25))),"-"))</f>
        <v>CNF-0009, CNF-0021</v>
      </c>
      <c r="R25" s="224" t="str" cm="1">
        <f t="array" ref="R25">IF(O25="","",IFERROR(_xlfn.TEXTJOIN(", ",TRUE,_xlfn._xlws.FILTER(IF('[1]Environment Conflicts'!$E$9:$E$34=A25,'[1]Environment Conflicts'!$F$9:$F$34,'[1]Environment Conflicts'!$E$9:$E$34),('[1]Environment Conflicts'!$E$9:$E$34=A25)+('[1]Environment Conflicts'!$F$9:$F$34=A25))),"-"))</f>
        <v>REL-0021, REL-0026</v>
      </c>
      <c r="S25" s="224" t="str" cm="1">
        <f t="array" ref="S25">IF(O25="","",IFERROR(_xlfn.TEXTJOIN(", ",TRUE,_xlfn._xlws.FILTER('[1]Environment Conflicts'!$J$9:$J$34,('[1]Environment Conflicts'!$E$9:$E$34=A25)+('[1]Environment Conflicts'!$F$9:$F$34=A25))),"-"))</f>
        <v>Same Test/UAT env required, Same Test/UAT env required</v>
      </c>
      <c r="T25" t="s">
        <v>16185</v>
      </c>
      <c r="X25" t="s">
        <v>14485</v>
      </c>
      <c r="Y25" s="37"/>
      <c r="Z25" s="37">
        <v>0.05</v>
      </c>
      <c r="AA25" t="s">
        <v>15969</v>
      </c>
      <c r="AB25" t="s">
        <v>1070</v>
      </c>
      <c r="AC25" t="s">
        <v>16596</v>
      </c>
      <c r="AF25" t="s">
        <v>1499</v>
      </c>
      <c r="AG25" t="s">
        <v>14485</v>
      </c>
      <c r="AH25" t="s">
        <v>14485</v>
      </c>
      <c r="AI25" t="s">
        <v>14485</v>
      </c>
      <c r="AJ25" t="s">
        <v>14485</v>
      </c>
      <c r="AK25" t="s">
        <v>14485</v>
      </c>
      <c r="AL25" t="s">
        <v>14485</v>
      </c>
      <c r="AM25" t="s">
        <v>14485</v>
      </c>
      <c r="AN25" t="s">
        <v>14485</v>
      </c>
      <c r="AO25" t="str">
        <f>IF(A25="","",_xlfn.LET(
        _xlpm.rid,A25,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6" spans="1:41" ht="28.8" x14ac:dyDescent="0.3">
      <c r="A26" s="224" t="s">
        <v>16188</v>
      </c>
      <c r="B26" s="224" t="s">
        <v>16641</v>
      </c>
      <c r="C26" s="224" t="s">
        <v>14992</v>
      </c>
      <c r="D26" s="224" t="s">
        <v>15619</v>
      </c>
      <c r="E26" s="20" t="s">
        <v>16642</v>
      </c>
      <c r="F26" s="224" t="s">
        <v>1122</v>
      </c>
      <c r="G26" s="224" t="s">
        <v>14689</v>
      </c>
      <c r="H26" s="224" t="s">
        <v>1136</v>
      </c>
      <c r="I26" s="361">
        <v>46232</v>
      </c>
      <c r="J26" s="361">
        <v>46238</v>
      </c>
      <c r="K26" s="361">
        <v>46242</v>
      </c>
      <c r="L26" s="224" t="s">
        <v>16127</v>
      </c>
      <c r="M26" s="224" t="s">
        <v>16128</v>
      </c>
      <c r="N26" s="224" t="s">
        <v>1093</v>
      </c>
      <c r="O26" s="224" t="str">
        <f t="shared" si="0"/>
        <v>🟢 Go</v>
      </c>
      <c r="P26" s="426"/>
      <c r="Q26" s="224" t="str" cm="1">
        <f t="array" ref="Q26">IF(O26="","",IFERROR(_xlfn.TEXTJOIN(", ",TRUE,_xlfn._xlws.FILTER('[1]Environment Conflicts'!$A$9:$A$34,('[1]Environment Conflicts'!$E$9:$E$34=A26)+('[1]Environment Conflicts'!$F$9:$F$34=A26))),"-"))</f>
        <v>-</v>
      </c>
      <c r="R26" s="224" t="str" cm="1">
        <f t="array" ref="R26">IF(O26="","",IFERROR(_xlfn.TEXTJOIN(", ",TRUE,_xlfn._xlws.FILTER(IF('[1]Environment Conflicts'!$E$9:$E$34=A26,'[1]Environment Conflicts'!$F$9:$F$34,'[1]Environment Conflicts'!$E$9:$E$34),('[1]Environment Conflicts'!$E$9:$E$34=A26)+('[1]Environment Conflicts'!$F$9:$F$34=A26))),"-"))</f>
        <v>-</v>
      </c>
      <c r="S26" s="224" t="str" cm="1">
        <f t="array" ref="S26">IF(O26="","",IFERROR(_xlfn.TEXTJOIN(", ",TRUE,_xlfn._xlws.FILTER('[1]Environment Conflicts'!$J$9:$J$34,('[1]Environment Conflicts'!$E$9:$E$34=A26)+('[1]Environment Conflicts'!$F$9:$F$34=A26))),"-"))</f>
        <v>-</v>
      </c>
      <c r="T26" t="s">
        <v>19431</v>
      </c>
      <c r="X26" t="s">
        <v>1714</v>
      </c>
      <c r="Y26" s="37">
        <v>1</v>
      </c>
      <c r="Z26" s="37">
        <v>1</v>
      </c>
      <c r="AA26" t="s">
        <v>15972</v>
      </c>
      <c r="AB26" t="s">
        <v>1093</v>
      </c>
      <c r="AC26" t="s">
        <v>16600</v>
      </c>
      <c r="AF26" t="s">
        <v>1499</v>
      </c>
      <c r="AG26" t="s">
        <v>962</v>
      </c>
      <c r="AH26" t="s">
        <v>962</v>
      </c>
      <c r="AI26" t="s">
        <v>962</v>
      </c>
      <c r="AJ26" t="s">
        <v>962</v>
      </c>
      <c r="AK26" t="s">
        <v>1717</v>
      </c>
      <c r="AL26" t="s">
        <v>1090</v>
      </c>
      <c r="AM26" t="s">
        <v>1090</v>
      </c>
      <c r="AN26" t="s">
        <v>1714</v>
      </c>
      <c r="AO26" t="s">
        <v>19429</v>
      </c>
    </row>
    <row r="27" spans="1:41" x14ac:dyDescent="0.3">
      <c r="A27" s="224" t="s">
        <v>16191</v>
      </c>
      <c r="B27" s="224" t="s">
        <v>16643</v>
      </c>
      <c r="C27" s="224" t="s">
        <v>14991</v>
      </c>
      <c r="D27" s="224" t="s">
        <v>15652</v>
      </c>
      <c r="E27" s="20" t="s">
        <v>16644</v>
      </c>
      <c r="F27" s="224" t="s">
        <v>1122</v>
      </c>
      <c r="G27" s="224" t="s">
        <v>14689</v>
      </c>
      <c r="H27" s="224" t="s">
        <v>1136</v>
      </c>
      <c r="I27" s="361">
        <v>46281</v>
      </c>
      <c r="J27" s="361">
        <v>46283</v>
      </c>
      <c r="K27" s="361">
        <v>46283</v>
      </c>
      <c r="L27" s="224" t="s">
        <v>16183</v>
      </c>
      <c r="M27" s="224" t="s">
        <v>16184</v>
      </c>
      <c r="N27" s="224" t="s">
        <v>1070</v>
      </c>
      <c r="O27" s="224" t="str">
        <f t="shared" si="0"/>
        <v>🔴 Critical</v>
      </c>
      <c r="P27" s="426" t="s">
        <v>16115</v>
      </c>
      <c r="Q27" s="224" t="str" cm="1">
        <f t="array" ref="Q27">IF(O27="","",IFERROR(_xlfn.TEXTJOIN(", ",TRUE,_xlfn._xlws.FILTER('[1]Environment Conflicts'!$A$9:$A$34,('[1]Environment Conflicts'!$E$9:$E$34=A27)+('[1]Environment Conflicts'!$F$9:$F$34=A27))),"-"))</f>
        <v>CNF-0009, CNF-0011</v>
      </c>
      <c r="R27" s="224" t="str" cm="1">
        <f t="array" ref="R27">IF(O27="","",IFERROR(_xlfn.TEXTJOIN(", ",TRUE,_xlfn._xlws.FILTER(IF('[1]Environment Conflicts'!$E$9:$E$34=A27,'[1]Environment Conflicts'!$F$9:$F$34,'[1]Environment Conflicts'!$E$9:$E$34),('[1]Environment Conflicts'!$E$9:$E$34=A27)+('[1]Environment Conflicts'!$F$9:$F$34=A27))),"-"))</f>
        <v>REL-0019, REL-0026</v>
      </c>
      <c r="S27" s="224" t="str" cm="1">
        <f t="array" ref="S27">IF(O27="","",IFERROR(_xlfn.TEXTJOIN(", ",TRUE,_xlfn._xlws.FILTER('[1]Environment Conflicts'!$J$9:$J$34,('[1]Environment Conflicts'!$E$9:$E$34=A27)+('[1]Environment Conflicts'!$F$9:$F$34=A27))),"-"))</f>
        <v>Same Test/UAT env required, Same Test/UAT env required</v>
      </c>
      <c r="T27" t="s">
        <v>16192</v>
      </c>
      <c r="X27" t="s">
        <v>14485</v>
      </c>
      <c r="Y27" s="37"/>
      <c r="Z27" s="37">
        <v>0.04</v>
      </c>
      <c r="AA27" t="s">
        <v>15975</v>
      </c>
      <c r="AB27" t="s">
        <v>1070</v>
      </c>
      <c r="AC27" t="s">
        <v>16603</v>
      </c>
      <c r="AD27" t="s">
        <v>16182</v>
      </c>
      <c r="AF27" t="s">
        <v>1499</v>
      </c>
      <c r="AG27" t="s">
        <v>14485</v>
      </c>
      <c r="AH27" t="s">
        <v>14485</v>
      </c>
      <c r="AI27" t="s">
        <v>14485</v>
      </c>
      <c r="AJ27" t="s">
        <v>14485</v>
      </c>
      <c r="AK27" t="s">
        <v>14485</v>
      </c>
      <c r="AL27" t="s">
        <v>14485</v>
      </c>
      <c r="AM27" t="s">
        <v>14485</v>
      </c>
      <c r="AN27" t="s">
        <v>14485</v>
      </c>
      <c r="AO27" t="str">
        <f>IF(A27="","",_xlfn.LET(
        _xlpm.rid,A27,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8" spans="1:41" x14ac:dyDescent="0.3">
      <c r="A28" s="224" t="s">
        <v>16194</v>
      </c>
      <c r="B28" s="224" t="s">
        <v>16645</v>
      </c>
      <c r="C28" s="224" t="s">
        <v>1159</v>
      </c>
      <c r="D28" s="224" t="s">
        <v>15678</v>
      </c>
      <c r="E28" s="20" t="s">
        <v>16646</v>
      </c>
      <c r="F28" s="224" t="s">
        <v>1125</v>
      </c>
      <c r="G28" s="224" t="s">
        <v>14689</v>
      </c>
      <c r="H28" s="224" t="s">
        <v>1136</v>
      </c>
      <c r="I28" s="361">
        <v>46258</v>
      </c>
      <c r="J28" s="361">
        <v>46260</v>
      </c>
      <c r="K28" s="361">
        <v>46261</v>
      </c>
      <c r="L28" s="224" t="s">
        <v>16161</v>
      </c>
      <c r="M28" s="224" t="s">
        <v>16132</v>
      </c>
      <c r="N28" s="224" t="s">
        <v>1074</v>
      </c>
      <c r="O28" s="224" t="str">
        <f t="shared" si="0"/>
        <v>🔴 Critical</v>
      </c>
      <c r="P28" s="426" t="s">
        <v>16115</v>
      </c>
      <c r="Q28" s="224" t="str" cm="1">
        <f t="array" ref="Q28">IF(O28="","",IFERROR(_xlfn.TEXTJOIN(", ",TRUE,_xlfn._xlws.FILTER('[1]Environment Conflicts'!$A$9:$A$34,('[1]Environment Conflicts'!$E$9:$E$34=A28)+('[1]Environment Conflicts'!$F$9:$F$34=A28))),"-"))</f>
        <v>CNF-0010</v>
      </c>
      <c r="R28" s="224" t="str" cm="1">
        <f t="array" ref="R28">IF(O28="","",IFERROR(_xlfn.TEXTJOIN(", ",TRUE,_xlfn._xlws.FILTER(IF('[1]Environment Conflicts'!$E$9:$E$34=A28,'[1]Environment Conflicts'!$F$9:$F$34,'[1]Environment Conflicts'!$E$9:$E$34),('[1]Environment Conflicts'!$E$9:$E$34=A28)+('[1]Environment Conflicts'!$F$9:$F$34=A28))),"-"))</f>
        <v>REL-0017</v>
      </c>
      <c r="S28" s="224" t="str" cm="1">
        <f t="array" ref="S28">IF(O28="","",IFERROR(_xlfn.TEXTJOIN(", ",TRUE,_xlfn._xlws.FILTER('[1]Environment Conflicts'!$J$9:$J$34,('[1]Environment Conflicts'!$E$9:$E$34=A28)+('[1]Environment Conflicts'!$F$9:$F$34=A28))),"-"))</f>
        <v>Same Test/UAT env required</v>
      </c>
      <c r="T28" t="s">
        <v>16169</v>
      </c>
      <c r="U28" t="s">
        <v>16647</v>
      </c>
      <c r="X28" t="s">
        <v>14485</v>
      </c>
      <c r="Y28" s="37">
        <v>0.28000000000000003</v>
      </c>
      <c r="Z28" s="37">
        <v>0.32</v>
      </c>
      <c r="AA28" t="s">
        <v>15978</v>
      </c>
      <c r="AB28" t="s">
        <v>1074</v>
      </c>
      <c r="AC28" t="s">
        <v>16606</v>
      </c>
      <c r="AF28" t="s">
        <v>16592</v>
      </c>
      <c r="AG28" t="s">
        <v>14485</v>
      </c>
      <c r="AH28" t="s">
        <v>14485</v>
      </c>
      <c r="AI28" t="s">
        <v>14485</v>
      </c>
      <c r="AJ28" t="s">
        <v>14485</v>
      </c>
      <c r="AK28" t="s">
        <v>14485</v>
      </c>
      <c r="AL28" t="s">
        <v>14485</v>
      </c>
      <c r="AM28" t="s">
        <v>14485</v>
      </c>
      <c r="AN28" t="s">
        <v>14485</v>
      </c>
      <c r="AO28" t="str">
        <f>IF(A28="","",_xlfn.LET(
        _xlpm.rid,A28,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9" spans="1:41" x14ac:dyDescent="0.3">
      <c r="A29" s="224" t="s">
        <v>16197</v>
      </c>
      <c r="B29" s="224" t="s">
        <v>16648</v>
      </c>
      <c r="C29" s="224" t="s">
        <v>14990</v>
      </c>
      <c r="D29" s="224" t="s">
        <v>15717</v>
      </c>
      <c r="E29" s="20" t="s">
        <v>16649</v>
      </c>
      <c r="F29" s="224" t="s">
        <v>1125</v>
      </c>
      <c r="G29" s="224" t="s">
        <v>14697</v>
      </c>
      <c r="H29" s="224" t="s">
        <v>1132</v>
      </c>
      <c r="I29" s="361">
        <v>46297</v>
      </c>
      <c r="J29" s="361">
        <v>46299</v>
      </c>
      <c r="K29" s="361">
        <v>46300</v>
      </c>
      <c r="L29" s="224" t="s">
        <v>16198</v>
      </c>
      <c r="M29" s="224" t="s">
        <v>16199</v>
      </c>
      <c r="N29" s="224" t="s">
        <v>1070</v>
      </c>
      <c r="O29" s="224" t="str">
        <f t="shared" si="0"/>
        <v>🔴 Critical</v>
      </c>
      <c r="P29" s="426" t="s">
        <v>16115</v>
      </c>
      <c r="Q29" s="224" t="str" cm="1">
        <f t="array" ref="Q29">IF(O29="","",IFERROR(_xlfn.TEXTJOIN(", ",TRUE,_xlfn._xlws.FILTER('[1]Environment Conflicts'!$A$9:$A$34,('[1]Environment Conflicts'!$E$9:$E$34=A29)+('[1]Environment Conflicts'!$F$9:$F$34=A29))),"-"))</f>
        <v>CNF-0012, CNF-0022</v>
      </c>
      <c r="R29" s="224" t="str" cm="1">
        <f t="array" ref="R29">IF(O29="","",IFERROR(_xlfn.TEXTJOIN(", ",TRUE,_xlfn._xlws.FILTER(IF('[1]Environment Conflicts'!$E$9:$E$34=A29,'[1]Environment Conflicts'!$F$9:$F$34,'[1]Environment Conflicts'!$E$9:$E$34),('[1]Environment Conflicts'!$E$9:$E$34=A29)+('[1]Environment Conflicts'!$F$9:$F$34=A29))),"-"))</f>
        <v>REL-0027, REL-0027</v>
      </c>
      <c r="S29" s="224" t="str" cm="1">
        <f t="array" ref="S29">IF(O29="","",IFERROR(_xlfn.TEXTJOIN(", ",TRUE,_xlfn._xlws.FILTER('[1]Environment Conflicts'!$J$9:$J$34,('[1]Environment Conflicts'!$E$9:$E$34=A29)+('[1]Environment Conflicts'!$F$9:$F$34=A29))),"-"))</f>
        <v>Same Test/UAT env required, Same Test/UAT env required</v>
      </c>
      <c r="T29" t="s">
        <v>16200</v>
      </c>
      <c r="U29" t="s">
        <v>16650</v>
      </c>
      <c r="X29" t="s">
        <v>14485</v>
      </c>
      <c r="Y29" s="37"/>
      <c r="Z29" s="37">
        <v>0.05</v>
      </c>
      <c r="AA29" t="s">
        <v>15768</v>
      </c>
      <c r="AB29" t="s">
        <v>1070</v>
      </c>
      <c r="AC29" t="s">
        <v>16610</v>
      </c>
      <c r="AF29" t="s">
        <v>16592</v>
      </c>
      <c r="AG29" t="s">
        <v>14485</v>
      </c>
      <c r="AH29" t="s">
        <v>14485</v>
      </c>
      <c r="AI29" t="s">
        <v>14485</v>
      </c>
      <c r="AJ29" t="s">
        <v>14485</v>
      </c>
      <c r="AK29" t="s">
        <v>14485</v>
      </c>
      <c r="AL29" t="s">
        <v>14485</v>
      </c>
      <c r="AM29" t="s">
        <v>14485</v>
      </c>
      <c r="AN29" t="s">
        <v>14485</v>
      </c>
      <c r="AO29" t="str">
        <f>IF(A29="","",_xlfn.LET(
        _xlpm.rid,A29,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0" spans="1:41" x14ac:dyDescent="0.3">
      <c r="A30" s="224" t="s">
        <v>16203</v>
      </c>
      <c r="B30" s="224" t="s">
        <v>16651</v>
      </c>
      <c r="C30" s="224" t="s">
        <v>152</v>
      </c>
      <c r="D30" s="224" t="s">
        <v>15744</v>
      </c>
      <c r="E30" s="20" t="s">
        <v>16652</v>
      </c>
      <c r="F30" s="224" t="s">
        <v>1122</v>
      </c>
      <c r="G30" s="224" t="s">
        <v>14689</v>
      </c>
      <c r="H30" s="224" t="s">
        <v>1136</v>
      </c>
      <c r="I30" s="361">
        <v>46215</v>
      </c>
      <c r="J30" s="361">
        <v>46217</v>
      </c>
      <c r="K30" s="361">
        <v>46218</v>
      </c>
      <c r="L30" s="224" t="s">
        <v>16144</v>
      </c>
      <c r="M30" s="224" t="s">
        <v>16145</v>
      </c>
      <c r="N30" s="224" t="s">
        <v>1110</v>
      </c>
      <c r="O30" s="224" t="str">
        <f t="shared" si="0"/>
        <v>🔴 Critical</v>
      </c>
      <c r="P30" s="426"/>
      <c r="Q30" s="224" t="str" cm="1">
        <f t="array" ref="Q30">IF(O30="","",IFERROR(_xlfn.TEXTJOIN(", ",TRUE,_xlfn._xlws.FILTER('[1]Environment Conflicts'!$A$9:$A$34,('[1]Environment Conflicts'!$E$9:$E$34=A30)+('[1]Environment Conflicts'!$F$9:$F$34=A30))),"-"))</f>
        <v>-</v>
      </c>
      <c r="R30" s="224" t="str" cm="1">
        <f t="array" ref="R30">IF(O30="","",IFERROR(_xlfn.TEXTJOIN(", ",TRUE,_xlfn._xlws.FILTER(IF('[1]Environment Conflicts'!$E$9:$E$34=A30,'[1]Environment Conflicts'!$F$9:$F$34,'[1]Environment Conflicts'!$E$9:$E$34),('[1]Environment Conflicts'!$E$9:$E$34=A30)+('[1]Environment Conflicts'!$F$9:$F$34=A30))),"-"))</f>
        <v>-</v>
      </c>
      <c r="S30" s="224" t="str" cm="1">
        <f t="array" ref="S30">IF(O30="","",IFERROR(_xlfn.TEXTJOIN(", ",TRUE,_xlfn._xlws.FILTER('[1]Environment Conflicts'!$J$9:$J$34,('[1]Environment Conflicts'!$E$9:$E$34=A30)+('[1]Environment Conflicts'!$F$9:$F$34=A30))),"-"))</f>
        <v>-</v>
      </c>
      <c r="T30" t="s">
        <v>19432</v>
      </c>
      <c r="U30" t="s">
        <v>19433</v>
      </c>
      <c r="X30" t="s">
        <v>19434</v>
      </c>
      <c r="Y30" s="37">
        <v>0.6</v>
      </c>
      <c r="Z30" s="37">
        <v>0.7</v>
      </c>
      <c r="AA30" t="s">
        <v>15772</v>
      </c>
      <c r="AB30" t="s">
        <v>1110</v>
      </c>
      <c r="AC30" t="s">
        <v>16613</v>
      </c>
      <c r="AF30" t="s">
        <v>1499</v>
      </c>
      <c r="AG30" t="s">
        <v>962</v>
      </c>
      <c r="AH30" t="s">
        <v>962</v>
      </c>
      <c r="AI30" t="s">
        <v>962</v>
      </c>
      <c r="AJ30" t="s">
        <v>962</v>
      </c>
      <c r="AK30" t="s">
        <v>1717</v>
      </c>
      <c r="AL30" t="s">
        <v>14485</v>
      </c>
      <c r="AM30" t="s">
        <v>1090</v>
      </c>
      <c r="AN30" t="s">
        <v>1714</v>
      </c>
      <c r="AO30" t="s">
        <v>19429</v>
      </c>
    </row>
    <row r="31" spans="1:41" ht="28.8" x14ac:dyDescent="0.3">
      <c r="A31" s="224" t="s">
        <v>16206</v>
      </c>
      <c r="B31" s="224" t="s">
        <v>16653</v>
      </c>
      <c r="C31" s="224" t="s">
        <v>1158</v>
      </c>
      <c r="D31" s="224" t="s">
        <v>15476</v>
      </c>
      <c r="E31" s="20" t="s">
        <v>16654</v>
      </c>
      <c r="F31" s="224" t="s">
        <v>1125</v>
      </c>
      <c r="G31" s="224" t="s">
        <v>1125</v>
      </c>
      <c r="H31" s="224" t="s">
        <v>1136</v>
      </c>
      <c r="I31" s="361">
        <v>46305</v>
      </c>
      <c r="J31" s="361">
        <v>46307</v>
      </c>
      <c r="K31" s="361">
        <v>46308</v>
      </c>
      <c r="L31" s="224" t="s">
        <v>16149</v>
      </c>
      <c r="M31" s="224" t="s">
        <v>16207</v>
      </c>
      <c r="N31" s="224" t="s">
        <v>1070</v>
      </c>
      <c r="O31" s="224" t="str">
        <f t="shared" si="0"/>
        <v>🔴 Critical</v>
      </c>
      <c r="P31" s="426"/>
      <c r="Q31" s="224" t="str" cm="1">
        <f t="array" ref="Q31">IF(O31="","",IFERROR(_xlfn.TEXTJOIN(", ",TRUE,_xlfn._xlws.FILTER('[1]Environment Conflicts'!$A$9:$A$34,('[1]Environment Conflicts'!$E$9:$E$34=A31)+('[1]Environment Conflicts'!$F$9:$F$34=A31))),"-"))</f>
        <v>-</v>
      </c>
      <c r="R31" s="224" t="str" cm="1">
        <f t="array" ref="R31">IF(O31="","",IFERROR(_xlfn.TEXTJOIN(", ",TRUE,_xlfn._xlws.FILTER(IF('[1]Environment Conflicts'!$E$9:$E$34=A31,'[1]Environment Conflicts'!$F$9:$F$34,'[1]Environment Conflicts'!$E$9:$E$34),('[1]Environment Conflicts'!$E$9:$E$34=A31)+('[1]Environment Conflicts'!$F$9:$F$34=A31))),"-"))</f>
        <v>-</v>
      </c>
      <c r="S31" s="224" t="str" cm="1">
        <f t="array" ref="S31">IF(O31="","",IFERROR(_xlfn.TEXTJOIN(", ",TRUE,_xlfn._xlws.FILTER('[1]Environment Conflicts'!$J$9:$J$34,('[1]Environment Conflicts'!$E$9:$E$34=A31)+('[1]Environment Conflicts'!$F$9:$F$34=A31))),"-"))</f>
        <v>-</v>
      </c>
      <c r="T31" t="s">
        <v>16208</v>
      </c>
      <c r="U31" t="s">
        <v>16655</v>
      </c>
      <c r="X31" t="s">
        <v>14485</v>
      </c>
      <c r="Y31" s="37"/>
      <c r="Z31" s="37">
        <v>0.09</v>
      </c>
      <c r="AA31" t="s">
        <v>15775</v>
      </c>
      <c r="AB31" t="s">
        <v>1070</v>
      </c>
      <c r="AC31" t="s">
        <v>16588</v>
      </c>
      <c r="AD31" t="s">
        <v>16656</v>
      </c>
      <c r="AE31" t="s">
        <v>16657</v>
      </c>
      <c r="AF31" t="s">
        <v>16592</v>
      </c>
      <c r="AG31" t="s">
        <v>14485</v>
      </c>
      <c r="AH31" t="s">
        <v>14485</v>
      </c>
      <c r="AI31" t="s">
        <v>14485</v>
      </c>
      <c r="AJ31" t="s">
        <v>14485</v>
      </c>
      <c r="AK31" t="s">
        <v>14485</v>
      </c>
      <c r="AL31" t="s">
        <v>14485</v>
      </c>
      <c r="AM31" t="s">
        <v>14485</v>
      </c>
      <c r="AN31" t="s">
        <v>14485</v>
      </c>
      <c r="AO31" t="str">
        <f>IF(A31="","",_xlfn.LET(
        _xlpm.rid,A31,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2" spans="1:41" x14ac:dyDescent="0.3">
      <c r="A32" s="224" t="s">
        <v>16210</v>
      </c>
      <c r="B32" s="224" t="s">
        <v>16658</v>
      </c>
      <c r="C32" s="224" t="s">
        <v>14994</v>
      </c>
      <c r="D32" s="224" t="s">
        <v>15569</v>
      </c>
      <c r="E32" s="20" t="s">
        <v>16659</v>
      </c>
      <c r="F32" s="224" t="s">
        <v>1125</v>
      </c>
      <c r="G32" s="224" t="s">
        <v>14689</v>
      </c>
      <c r="H32" s="224" t="s">
        <v>1136</v>
      </c>
      <c r="I32" s="361">
        <v>46283</v>
      </c>
      <c r="J32" s="361">
        <v>46285</v>
      </c>
      <c r="K32" s="361">
        <v>46286</v>
      </c>
      <c r="L32" s="224" t="s">
        <v>16183</v>
      </c>
      <c r="M32" s="224" t="s">
        <v>16184</v>
      </c>
      <c r="N32" s="224" t="s">
        <v>1070</v>
      </c>
      <c r="O32" s="224" t="str">
        <f t="shared" si="0"/>
        <v>🔴 Critical</v>
      </c>
      <c r="P32" s="426" t="s">
        <v>16115</v>
      </c>
      <c r="Q32" s="224" t="str" cm="1">
        <f t="array" ref="Q32">IF(O32="","",IFERROR(_xlfn.TEXTJOIN(", ",TRUE,_xlfn._xlws.FILTER('[1]Environment Conflicts'!$A$9:$A$34,('[1]Environment Conflicts'!$E$9:$E$34=A32)+('[1]Environment Conflicts'!$F$9:$F$34=A32))),"-"))</f>
        <v>CNF-0011, CNF-0021</v>
      </c>
      <c r="R32" s="224" t="str" cm="1">
        <f t="array" ref="R32">IF(O32="","",IFERROR(_xlfn.TEXTJOIN(", ",TRUE,_xlfn._xlws.FILTER(IF('[1]Environment Conflicts'!$E$9:$E$34=A32,'[1]Environment Conflicts'!$F$9:$F$34,'[1]Environment Conflicts'!$E$9:$E$34),('[1]Environment Conflicts'!$E$9:$E$34=A32)+('[1]Environment Conflicts'!$F$9:$F$34=A32))),"-"))</f>
        <v>REL-0021, REL-0019</v>
      </c>
      <c r="S32" s="224" t="str" cm="1">
        <f t="array" ref="S32">IF(O32="","",IFERROR(_xlfn.TEXTJOIN(", ",TRUE,_xlfn._xlws.FILTER('[1]Environment Conflicts'!$J$9:$J$34,('[1]Environment Conflicts'!$E$9:$E$34=A32)+('[1]Environment Conflicts'!$F$9:$F$34=A32))),"-"))</f>
        <v>Same Test/UAT env required, Same Test/UAT env required</v>
      </c>
      <c r="T32" t="s">
        <v>16185</v>
      </c>
      <c r="X32" t="s">
        <v>14485</v>
      </c>
      <c r="Y32" s="37"/>
      <c r="Z32" s="37">
        <v>0.05</v>
      </c>
      <c r="AA32" t="s">
        <v>15778</v>
      </c>
      <c r="AB32" t="s">
        <v>1070</v>
      </c>
      <c r="AC32" t="s">
        <v>16591</v>
      </c>
      <c r="AF32" t="s">
        <v>14600</v>
      </c>
      <c r="AG32" t="s">
        <v>14485</v>
      </c>
      <c r="AH32" t="s">
        <v>14485</v>
      </c>
      <c r="AI32" t="s">
        <v>14485</v>
      </c>
      <c r="AJ32" t="s">
        <v>14485</v>
      </c>
      <c r="AK32" t="s">
        <v>14485</v>
      </c>
      <c r="AL32" t="s">
        <v>14485</v>
      </c>
      <c r="AM32" t="s">
        <v>14485</v>
      </c>
      <c r="AN32" t="s">
        <v>14485</v>
      </c>
      <c r="AO32" t="str">
        <f>IF(A32="","",_xlfn.LET(
        _xlpm.rid,A32,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3" spans="1:41" x14ac:dyDescent="0.3">
      <c r="A33" s="224" t="s">
        <v>16213</v>
      </c>
      <c r="B33" s="224" t="s">
        <v>16660</v>
      </c>
      <c r="C33" s="224" t="s">
        <v>14993</v>
      </c>
      <c r="D33" s="224" t="s">
        <v>15584</v>
      </c>
      <c r="E33" s="20" t="s">
        <v>16661</v>
      </c>
      <c r="F33" s="224" t="s">
        <v>1122</v>
      </c>
      <c r="G33" s="224" t="s">
        <v>14689</v>
      </c>
      <c r="H33" s="224" t="s">
        <v>1138</v>
      </c>
      <c r="I33" s="361">
        <v>46299</v>
      </c>
      <c r="J33" s="361">
        <v>46301</v>
      </c>
      <c r="K33" s="361">
        <v>46301</v>
      </c>
      <c r="L33" s="224" t="s">
        <v>16198</v>
      </c>
      <c r="M33" s="224" t="s">
        <v>16199</v>
      </c>
      <c r="N33" s="224" t="s">
        <v>1070</v>
      </c>
      <c r="O33" s="224" t="str">
        <f t="shared" si="0"/>
        <v>🔴 Critical</v>
      </c>
      <c r="P33" s="426" t="s">
        <v>16115</v>
      </c>
      <c r="Q33" s="224" t="str" cm="1">
        <f t="array" ref="Q33">IF(O33="","",IFERROR(_xlfn.TEXTJOIN(", ",TRUE,_xlfn._xlws.FILTER('[1]Environment Conflicts'!$A$9:$A$34,('[1]Environment Conflicts'!$E$9:$E$34=A33)+('[1]Environment Conflicts'!$F$9:$F$34=A33))),"-"))</f>
        <v>CNF-0012, CNF-0022</v>
      </c>
      <c r="R33" s="224" t="str" cm="1">
        <f t="array" ref="R33">IF(O33="","",IFERROR(_xlfn.TEXTJOIN(", ",TRUE,_xlfn._xlws.FILTER(IF('[1]Environment Conflicts'!$E$9:$E$34=A33,'[1]Environment Conflicts'!$F$9:$F$34,'[1]Environment Conflicts'!$E$9:$E$34),('[1]Environment Conflicts'!$E$9:$E$34=A33)+('[1]Environment Conflicts'!$F$9:$F$34=A33))),"-"))</f>
        <v>REL-0023, REL-0023</v>
      </c>
      <c r="S33" s="224" t="str" cm="1">
        <f t="array" ref="S33">IF(O33="","",IFERROR(_xlfn.TEXTJOIN(", ",TRUE,_xlfn._xlws.FILTER('[1]Environment Conflicts'!$J$9:$J$34,('[1]Environment Conflicts'!$E$9:$E$34=A33)+('[1]Environment Conflicts'!$F$9:$F$34=A33))),"-"))</f>
        <v>Same Test/UAT env required, Same Test/UAT env required</v>
      </c>
      <c r="T33" t="s">
        <v>16214</v>
      </c>
      <c r="X33" t="s">
        <v>14485</v>
      </c>
      <c r="Y33" s="37"/>
      <c r="Z33" s="37">
        <v>0.19</v>
      </c>
      <c r="AA33" t="s">
        <v>15781</v>
      </c>
      <c r="AB33" t="s">
        <v>1070</v>
      </c>
      <c r="AC33" t="s">
        <v>16596</v>
      </c>
      <c r="AF33" t="s">
        <v>1499</v>
      </c>
      <c r="AG33" t="s">
        <v>14485</v>
      </c>
      <c r="AH33" t="s">
        <v>14485</v>
      </c>
      <c r="AI33" t="s">
        <v>14485</v>
      </c>
      <c r="AJ33" t="s">
        <v>14485</v>
      </c>
      <c r="AK33" t="s">
        <v>14485</v>
      </c>
      <c r="AL33" t="s">
        <v>14485</v>
      </c>
      <c r="AM33" t="s">
        <v>14485</v>
      </c>
      <c r="AN33" t="s">
        <v>14485</v>
      </c>
      <c r="AO33" t="str">
        <f>IF(A33="","",_xlfn.LET(
        _xlpm.rid,A33,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4" spans="1:41" x14ac:dyDescent="0.3">
      <c r="A34" s="224" t="s">
        <v>16216</v>
      </c>
      <c r="B34" s="224" t="s">
        <v>16662</v>
      </c>
      <c r="C34" s="224" t="s">
        <v>14992</v>
      </c>
      <c r="D34" s="224" t="s">
        <v>15614</v>
      </c>
      <c r="E34" s="20" t="s">
        <v>16663</v>
      </c>
      <c r="F34" s="224" t="s">
        <v>1128</v>
      </c>
      <c r="G34" s="224" t="s">
        <v>14697</v>
      </c>
      <c r="H34" s="224" t="s">
        <v>1134</v>
      </c>
      <c r="I34" s="361">
        <v>46235</v>
      </c>
      <c r="J34" s="361">
        <v>46319</v>
      </c>
      <c r="K34" s="361">
        <v>46321</v>
      </c>
      <c r="L34" s="224" t="s">
        <v>16127</v>
      </c>
      <c r="M34" s="224" t="s">
        <v>16128</v>
      </c>
      <c r="N34" s="224" t="s">
        <v>1113</v>
      </c>
      <c r="O34" s="224" t="str">
        <f t="shared" si="0"/>
        <v>🔴 Critical</v>
      </c>
      <c r="P34" s="426"/>
      <c r="Q34" s="224" t="str" cm="1">
        <f t="array" ref="Q34">IF(O34="","",IFERROR(_xlfn.TEXTJOIN(", ",TRUE,_xlfn._xlws.FILTER('[1]Environment Conflicts'!$A$9:$A$34,('[1]Environment Conflicts'!$E$9:$E$34=A34)+('[1]Environment Conflicts'!$F$9:$F$34=A34))),"-"))</f>
        <v>-</v>
      </c>
      <c r="R34" s="224" t="str" cm="1">
        <f t="array" ref="R34">IF(O34="","",IFERROR(_xlfn.TEXTJOIN(", ",TRUE,_xlfn._xlws.FILTER(IF('[1]Environment Conflicts'!$E$9:$E$34=A34,'[1]Environment Conflicts'!$F$9:$F$34,'[1]Environment Conflicts'!$E$9:$E$34),('[1]Environment Conflicts'!$E$9:$E$34=A34)+('[1]Environment Conflicts'!$F$9:$F$34=A34))),"-"))</f>
        <v>-</v>
      </c>
      <c r="S34" s="224" t="str" cm="1">
        <f t="array" ref="S34">IF(O34="","",IFERROR(_xlfn.TEXTJOIN(", ",TRUE,_xlfn._xlws.FILTER('[1]Environment Conflicts'!$J$9:$J$34,('[1]Environment Conflicts'!$E$9:$E$34=A34)+('[1]Environment Conflicts'!$F$9:$F$34=A34))),"-"))</f>
        <v>-</v>
      </c>
      <c r="T34" t="s">
        <v>16217</v>
      </c>
      <c r="U34" t="s">
        <v>19435</v>
      </c>
      <c r="X34" t="s">
        <v>1070</v>
      </c>
      <c r="Y34" s="37">
        <v>0.5</v>
      </c>
      <c r="Z34" s="37">
        <v>0.4</v>
      </c>
      <c r="AA34" t="s">
        <v>15784</v>
      </c>
      <c r="AB34" t="s">
        <v>1113</v>
      </c>
      <c r="AC34" t="s">
        <v>16600</v>
      </c>
      <c r="AF34" t="s">
        <v>16592</v>
      </c>
      <c r="AG34" t="s">
        <v>962</v>
      </c>
      <c r="AH34" t="s">
        <v>962</v>
      </c>
      <c r="AI34" t="s">
        <v>962</v>
      </c>
      <c r="AJ34" t="s">
        <v>1246</v>
      </c>
      <c r="AK34" t="s">
        <v>14485</v>
      </c>
      <c r="AL34" t="s">
        <v>1070</v>
      </c>
      <c r="AM34" t="s">
        <v>1070</v>
      </c>
      <c r="AN34" t="s">
        <v>14485</v>
      </c>
      <c r="AO34" t="s">
        <v>19429</v>
      </c>
    </row>
    <row r="35" spans="1:41" x14ac:dyDescent="0.3">
      <c r="A35" s="224" t="s">
        <v>16219</v>
      </c>
      <c r="B35" s="224" t="s">
        <v>16664</v>
      </c>
      <c r="C35" s="224" t="s">
        <v>14991</v>
      </c>
      <c r="D35" s="224" t="s">
        <v>15664</v>
      </c>
      <c r="E35" s="20" t="s">
        <v>16665</v>
      </c>
      <c r="F35" s="224" t="s">
        <v>1125</v>
      </c>
      <c r="G35" s="224" t="s">
        <v>1125</v>
      </c>
      <c r="H35" s="224" t="s">
        <v>1134</v>
      </c>
      <c r="I35" s="361">
        <v>46324</v>
      </c>
      <c r="J35" s="361">
        <v>46326</v>
      </c>
      <c r="K35" s="361">
        <v>46327</v>
      </c>
      <c r="L35" s="224" t="s">
        <v>16161</v>
      </c>
      <c r="M35" s="224" t="s">
        <v>16132</v>
      </c>
      <c r="N35" s="224" t="s">
        <v>1070</v>
      </c>
      <c r="O35" s="224" t="str">
        <f t="shared" si="0"/>
        <v>🔴 Critical</v>
      </c>
      <c r="P35" s="426"/>
      <c r="Q35" s="224" t="str" cm="1">
        <f t="array" ref="Q35">IF(O35="","",IFERROR(_xlfn.TEXTJOIN(", ",TRUE,_xlfn._xlws.FILTER('[1]Environment Conflicts'!$A$9:$A$34,('[1]Environment Conflicts'!$E$9:$E$34=A35)+('[1]Environment Conflicts'!$F$9:$F$34=A35))),"-"))</f>
        <v>-</v>
      </c>
      <c r="R35" s="224" t="str" cm="1">
        <f t="array" ref="R35">IF(O35="","",IFERROR(_xlfn.TEXTJOIN(", ",TRUE,_xlfn._xlws.FILTER(IF('[1]Environment Conflicts'!$E$9:$E$34=A35,'[1]Environment Conflicts'!$F$9:$F$34,'[1]Environment Conflicts'!$E$9:$E$34),('[1]Environment Conflicts'!$E$9:$E$34=A35)+('[1]Environment Conflicts'!$F$9:$F$34=A35))),"-"))</f>
        <v>-</v>
      </c>
      <c r="S35" s="224" t="str" cm="1">
        <f t="array" ref="S35">IF(O35="","",IFERROR(_xlfn.TEXTJOIN(", ",TRUE,_xlfn._xlws.FILTER('[1]Environment Conflicts'!$J$9:$J$34,('[1]Environment Conflicts'!$E$9:$E$34=A35)+('[1]Environment Conflicts'!$F$9:$F$34=A35))),"-"))</f>
        <v>-</v>
      </c>
      <c r="T35" t="s">
        <v>16220</v>
      </c>
      <c r="X35" t="s">
        <v>14485</v>
      </c>
      <c r="Y35" s="37"/>
      <c r="Z35" s="37">
        <v>0.01</v>
      </c>
      <c r="AA35" t="s">
        <v>15955</v>
      </c>
      <c r="AB35" t="s">
        <v>1070</v>
      </c>
      <c r="AC35" t="s">
        <v>16603</v>
      </c>
      <c r="AD35" t="s">
        <v>16213</v>
      </c>
      <c r="AF35" t="s">
        <v>16592</v>
      </c>
      <c r="AG35" t="s">
        <v>14485</v>
      </c>
      <c r="AH35" t="s">
        <v>14485</v>
      </c>
      <c r="AI35" t="s">
        <v>14485</v>
      </c>
      <c r="AJ35" t="s">
        <v>988</v>
      </c>
      <c r="AK35" t="s">
        <v>14485</v>
      </c>
      <c r="AL35" t="s">
        <v>14485</v>
      </c>
      <c r="AM35" t="s">
        <v>14485</v>
      </c>
      <c r="AN35" t="s">
        <v>14485</v>
      </c>
      <c r="AO35" t="str">
        <f>IF(A35="","",_xlfn.LET(
        _xlpm.rid,A35,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6" spans="1:41" ht="28.8" x14ac:dyDescent="0.3">
      <c r="A36" s="224" t="s">
        <v>16222</v>
      </c>
      <c r="B36" s="224" t="s">
        <v>16666</v>
      </c>
      <c r="C36" s="224" t="s">
        <v>1159</v>
      </c>
      <c r="D36" s="224" t="s">
        <v>15693</v>
      </c>
      <c r="E36" s="20" t="s">
        <v>16667</v>
      </c>
      <c r="F36" s="224" t="s">
        <v>1125</v>
      </c>
      <c r="G36" s="224" t="s">
        <v>14697</v>
      </c>
      <c r="H36" s="224" t="s">
        <v>1134</v>
      </c>
      <c r="I36" s="361">
        <v>46237</v>
      </c>
      <c r="J36" s="361">
        <v>46330</v>
      </c>
      <c r="K36" s="361">
        <v>46331</v>
      </c>
      <c r="L36" s="224" t="s">
        <v>16223</v>
      </c>
      <c r="M36" s="224" t="s">
        <v>16137</v>
      </c>
      <c r="N36" s="224" t="s">
        <v>1116</v>
      </c>
      <c r="O36" s="224" t="str">
        <f t="shared" si="0"/>
        <v>🔴 Critical</v>
      </c>
      <c r="P36" s="426"/>
      <c r="Q36" s="224" t="str" cm="1">
        <f t="array" ref="Q36">IF(O36="","",IFERROR(_xlfn.TEXTJOIN(", ",TRUE,_xlfn._xlws.FILTER('[1]Environment Conflicts'!$A$9:$A$34,('[1]Environment Conflicts'!$E$9:$E$34=A36)+('[1]Environment Conflicts'!$F$9:$F$34=A36))),"-"))</f>
        <v>-</v>
      </c>
      <c r="R36" s="224" t="str" cm="1">
        <f t="array" ref="R36">IF(O36="","",IFERROR(_xlfn.TEXTJOIN(", ",TRUE,_xlfn._xlws.FILTER(IF('[1]Environment Conflicts'!$E$9:$E$34=A36,'[1]Environment Conflicts'!$F$9:$F$34,'[1]Environment Conflicts'!$E$9:$E$34),('[1]Environment Conflicts'!$E$9:$E$34=A36)+('[1]Environment Conflicts'!$F$9:$F$34=A36))),"-"))</f>
        <v>-</v>
      </c>
      <c r="S36" s="224" t="str" cm="1">
        <f t="array" ref="S36">IF(O36="","",IFERROR(_xlfn.TEXTJOIN(", ",TRUE,_xlfn._xlws.FILTER('[1]Environment Conflicts'!$J$9:$J$34,('[1]Environment Conflicts'!$E$9:$E$34=A36)+('[1]Environment Conflicts'!$F$9:$F$34=A36))),"-"))</f>
        <v>-</v>
      </c>
      <c r="T36" t="s">
        <v>16224</v>
      </c>
      <c r="U36" t="s">
        <v>19436</v>
      </c>
      <c r="X36" t="s">
        <v>1070</v>
      </c>
      <c r="Y36" s="37">
        <v>0.45</v>
      </c>
      <c r="Z36" s="37">
        <v>0.3</v>
      </c>
      <c r="AA36" t="s">
        <v>15960</v>
      </c>
      <c r="AB36" t="s">
        <v>1116</v>
      </c>
      <c r="AC36" t="s">
        <v>16606</v>
      </c>
      <c r="AF36" t="s">
        <v>16592</v>
      </c>
      <c r="AG36" t="s">
        <v>962</v>
      </c>
      <c r="AH36" t="s">
        <v>962</v>
      </c>
      <c r="AI36" t="s">
        <v>962</v>
      </c>
      <c r="AJ36" t="s">
        <v>1246</v>
      </c>
      <c r="AK36" t="s">
        <v>14485</v>
      </c>
      <c r="AL36" t="s">
        <v>1070</v>
      </c>
      <c r="AM36" t="s">
        <v>1070</v>
      </c>
      <c r="AN36" t="s">
        <v>14485</v>
      </c>
      <c r="AO36" t="s">
        <v>19429</v>
      </c>
    </row>
    <row r="37" spans="1:41" ht="28.8" x14ac:dyDescent="0.3">
      <c r="A37" s="224" t="s">
        <v>16226</v>
      </c>
      <c r="B37" s="224" t="s">
        <v>16668</v>
      </c>
      <c r="C37" s="224" t="s">
        <v>14990</v>
      </c>
      <c r="D37" s="224" t="s">
        <v>15705</v>
      </c>
      <c r="E37" s="20" t="s">
        <v>16608</v>
      </c>
      <c r="F37" s="224" t="s">
        <v>1122</v>
      </c>
      <c r="G37" s="224" t="s">
        <v>14689</v>
      </c>
      <c r="H37" s="224" t="s">
        <v>1136</v>
      </c>
      <c r="I37" s="361">
        <v>46332</v>
      </c>
      <c r="J37" s="361">
        <v>46334</v>
      </c>
      <c r="K37" s="361">
        <v>46334</v>
      </c>
      <c r="L37" s="224" t="s">
        <v>16198</v>
      </c>
      <c r="M37" s="224" t="s">
        <v>16199</v>
      </c>
      <c r="N37" s="224" t="s">
        <v>1104</v>
      </c>
      <c r="O37" s="224" t="str">
        <f t="shared" si="0"/>
        <v>⚫ N/A</v>
      </c>
      <c r="P37" s="426"/>
      <c r="Q37" s="224" t="str" cm="1">
        <f t="array" ref="Q37">IF(O37="","",IFERROR(_xlfn.TEXTJOIN(", ",TRUE,_xlfn._xlws.FILTER('[1]Environment Conflicts'!$A$9:$A$34,('[1]Environment Conflicts'!$E$9:$E$34=A37)+('[1]Environment Conflicts'!$F$9:$F$34=A37))),"-"))</f>
        <v>-</v>
      </c>
      <c r="R37" s="224" t="str" cm="1">
        <f t="array" ref="R37">IF(O37="","",IFERROR(_xlfn.TEXTJOIN(", ",TRUE,_xlfn._xlws.FILTER(IF('[1]Environment Conflicts'!$E$9:$E$34=A37,'[1]Environment Conflicts'!$F$9:$F$34,'[1]Environment Conflicts'!$E$9:$E$34),('[1]Environment Conflicts'!$E$9:$E$34=A37)+('[1]Environment Conflicts'!$F$9:$F$34=A37))),"-"))</f>
        <v>-</v>
      </c>
      <c r="S37" s="224" t="str" cm="1">
        <f t="array" ref="S37">IF(O37="","",IFERROR(_xlfn.TEXTJOIN(", ",TRUE,_xlfn._xlws.FILTER('[1]Environment Conflicts'!$J$9:$J$34,('[1]Environment Conflicts'!$E$9:$E$34=A37)+('[1]Environment Conflicts'!$F$9:$F$34=A37))),"-"))</f>
        <v>-</v>
      </c>
      <c r="T37" t="s">
        <v>16227</v>
      </c>
      <c r="U37" t="s">
        <v>19437</v>
      </c>
      <c r="X37" t="s">
        <v>989</v>
      </c>
      <c r="Y37" s="37">
        <v>0</v>
      </c>
      <c r="Z37" s="37">
        <v>0</v>
      </c>
      <c r="AA37" t="s">
        <v>15963</v>
      </c>
      <c r="AB37" t="s">
        <v>1104</v>
      </c>
      <c r="AC37" t="s">
        <v>16610</v>
      </c>
      <c r="AE37" t="s">
        <v>16669</v>
      </c>
      <c r="AF37" t="s">
        <v>14600</v>
      </c>
      <c r="AG37" t="s">
        <v>14485</v>
      </c>
      <c r="AH37" t="s">
        <v>14485</v>
      </c>
      <c r="AI37" t="s">
        <v>14485</v>
      </c>
      <c r="AJ37" t="s">
        <v>14485</v>
      </c>
      <c r="AK37" t="s">
        <v>14485</v>
      </c>
      <c r="AL37" t="s">
        <v>14485</v>
      </c>
      <c r="AM37" t="s">
        <v>14485</v>
      </c>
      <c r="AN37" t="s">
        <v>14485</v>
      </c>
      <c r="AO37" t="str">
        <f>IF(A37="","",_xlfn.LET(
        _xlpm.rid,A37,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8" spans="1:41" x14ac:dyDescent="0.3">
      <c r="A38" s="224" t="s">
        <v>16229</v>
      </c>
      <c r="B38" s="224" t="s">
        <v>16670</v>
      </c>
      <c r="C38" s="224" t="s">
        <v>152</v>
      </c>
      <c r="D38" s="224" t="s">
        <v>15732</v>
      </c>
      <c r="E38" s="20" t="s">
        <v>16612</v>
      </c>
      <c r="F38" s="224" t="s">
        <v>1122</v>
      </c>
      <c r="G38" s="224" t="s">
        <v>14689</v>
      </c>
      <c r="H38" s="224" t="s">
        <v>1138</v>
      </c>
      <c r="I38" s="361">
        <v>46336</v>
      </c>
      <c r="J38" s="361">
        <v>46338</v>
      </c>
      <c r="K38" s="361">
        <v>46338</v>
      </c>
      <c r="L38" s="224" t="s">
        <v>16144</v>
      </c>
      <c r="M38" s="224" t="s">
        <v>16145</v>
      </c>
      <c r="N38" s="224" t="s">
        <v>1081</v>
      </c>
      <c r="O38" s="224" t="str">
        <f t="shared" si="0"/>
        <v>🟡 Caution</v>
      </c>
      <c r="P38" s="426"/>
      <c r="Q38" s="224" t="str" cm="1">
        <f t="array" ref="Q38">IF(O38="","",IFERROR(_xlfn.TEXTJOIN(", ",TRUE,_xlfn._xlws.FILTER('[1]Environment Conflicts'!$A$9:$A$34,('[1]Environment Conflicts'!$E$9:$E$34=A38)+('[1]Environment Conflicts'!$F$9:$F$34=A38))),"-"))</f>
        <v>-</v>
      </c>
      <c r="R38" s="224" t="str" cm="1">
        <f t="array" ref="R38">IF(O38="","",IFERROR(_xlfn.TEXTJOIN(", ",TRUE,_xlfn._xlws.FILTER(IF('[1]Environment Conflicts'!$E$9:$E$34=A38,'[1]Environment Conflicts'!$F$9:$F$34,'[1]Environment Conflicts'!$E$9:$E$34),('[1]Environment Conflicts'!$E$9:$E$34=A38)+('[1]Environment Conflicts'!$F$9:$F$34=A38))),"-"))</f>
        <v>-</v>
      </c>
      <c r="S38" s="224" t="str" cm="1">
        <f t="array" ref="S38">IF(O38="","",IFERROR(_xlfn.TEXTJOIN(", ",TRUE,_xlfn._xlws.FILTER('[1]Environment Conflicts'!$J$9:$J$34,('[1]Environment Conflicts'!$E$9:$E$34=A38)+('[1]Environment Conflicts'!$F$9:$F$34=A38))),"-"))</f>
        <v>-</v>
      </c>
      <c r="T38" t="s">
        <v>16139</v>
      </c>
      <c r="X38" t="s">
        <v>1224</v>
      </c>
      <c r="Y38" s="37">
        <v>0.55000000000000004</v>
      </c>
      <c r="Z38" s="37">
        <v>0.6</v>
      </c>
      <c r="AA38" t="s">
        <v>15966</v>
      </c>
      <c r="AB38" t="s">
        <v>1081</v>
      </c>
      <c r="AC38" t="s">
        <v>16613</v>
      </c>
      <c r="AF38" t="s">
        <v>1499</v>
      </c>
      <c r="AG38" t="s">
        <v>962</v>
      </c>
      <c r="AH38" t="s">
        <v>962</v>
      </c>
      <c r="AI38" t="s">
        <v>1246</v>
      </c>
      <c r="AJ38" t="s">
        <v>14485</v>
      </c>
      <c r="AK38" t="s">
        <v>14485</v>
      </c>
      <c r="AL38" t="s">
        <v>14485</v>
      </c>
      <c r="AM38" t="s">
        <v>14485</v>
      </c>
      <c r="AN38" t="s">
        <v>1224</v>
      </c>
      <c r="AO38" t="s">
        <v>19438</v>
      </c>
    </row>
    <row r="39" spans="1:41" x14ac:dyDescent="0.3">
      <c r="A39" s="224" t="s">
        <v>16231</v>
      </c>
      <c r="B39" s="224" t="s">
        <v>16671</v>
      </c>
      <c r="C39" s="224" t="s">
        <v>1158</v>
      </c>
      <c r="D39" s="224" t="s">
        <v>15458</v>
      </c>
      <c r="E39" s="20" t="s">
        <v>16615</v>
      </c>
      <c r="F39" s="224" t="s">
        <v>1128</v>
      </c>
      <c r="G39" s="224" t="s">
        <v>1125</v>
      </c>
      <c r="H39" s="224" t="s">
        <v>1134</v>
      </c>
      <c r="I39" s="361">
        <v>46339</v>
      </c>
      <c r="J39" s="361">
        <v>46342</v>
      </c>
      <c r="K39" s="361">
        <v>46344</v>
      </c>
      <c r="L39" s="224" t="s">
        <v>16112</v>
      </c>
      <c r="M39" s="224" t="s">
        <v>16113</v>
      </c>
      <c r="N39" s="224" t="s">
        <v>1070</v>
      </c>
      <c r="O39" s="224" t="str">
        <f t="shared" si="0"/>
        <v>🔴 Critical</v>
      </c>
      <c r="P39" s="426"/>
      <c r="Q39" s="224" t="str" cm="1">
        <f t="array" ref="Q39">IF(O39="","",IFERROR(_xlfn.TEXTJOIN(", ",TRUE,_xlfn._xlws.FILTER('[1]Environment Conflicts'!$A$9:$A$34,('[1]Environment Conflicts'!$E$9:$E$34=A39)+('[1]Environment Conflicts'!$F$9:$F$34=A39))),"-"))</f>
        <v>-</v>
      </c>
      <c r="R39" s="224" t="str" cm="1">
        <f t="array" ref="R39">IF(O39="","",IFERROR(_xlfn.TEXTJOIN(", ",TRUE,_xlfn._xlws.FILTER(IF('[1]Environment Conflicts'!$E$9:$E$34=A39,'[1]Environment Conflicts'!$F$9:$F$34,'[1]Environment Conflicts'!$E$9:$E$34),('[1]Environment Conflicts'!$E$9:$E$34=A39)+('[1]Environment Conflicts'!$F$9:$F$34=A39))),"-"))</f>
        <v>-</v>
      </c>
      <c r="S39" s="224" t="str" cm="1">
        <f t="array" ref="S39">IF(O39="","",IFERROR(_xlfn.TEXTJOIN(", ",TRUE,_xlfn._xlws.FILTER('[1]Environment Conflicts'!$J$9:$J$34,('[1]Environment Conflicts'!$E$9:$E$34=A39)+('[1]Environment Conflicts'!$F$9:$F$34=A39))),"-"))</f>
        <v>-</v>
      </c>
      <c r="T39" t="s">
        <v>16220</v>
      </c>
      <c r="U39" t="s">
        <v>16672</v>
      </c>
      <c r="X39" t="s">
        <v>14485</v>
      </c>
      <c r="Y39" s="37"/>
      <c r="Z39" s="37">
        <v>0.06</v>
      </c>
      <c r="AA39" t="s">
        <v>15969</v>
      </c>
      <c r="AB39" t="s">
        <v>1070</v>
      </c>
      <c r="AC39" t="s">
        <v>16588</v>
      </c>
      <c r="AD39" t="s">
        <v>16673</v>
      </c>
      <c r="AF39" t="s">
        <v>16592</v>
      </c>
      <c r="AG39" t="s">
        <v>14485</v>
      </c>
      <c r="AH39" t="s">
        <v>14485</v>
      </c>
      <c r="AI39" t="s">
        <v>14485</v>
      </c>
      <c r="AJ39" t="s">
        <v>14485</v>
      </c>
      <c r="AK39" t="s">
        <v>14485</v>
      </c>
      <c r="AL39" t="s">
        <v>14485</v>
      </c>
      <c r="AM39" t="s">
        <v>14485</v>
      </c>
      <c r="AN39" t="s">
        <v>14485</v>
      </c>
      <c r="AO39" t="str">
        <f>IF(A39="","",_xlfn.LET(
        _xlpm.rid,A39,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0" spans="1:41" x14ac:dyDescent="0.3">
      <c r="A40" s="224" t="s">
        <v>16233</v>
      </c>
      <c r="B40" s="224" t="s">
        <v>16674</v>
      </c>
      <c r="C40" s="224" t="s">
        <v>14994</v>
      </c>
      <c r="D40" s="224" t="s">
        <v>15563</v>
      </c>
      <c r="E40" s="20" t="s">
        <v>16675</v>
      </c>
      <c r="F40" s="224" t="s">
        <v>1125</v>
      </c>
      <c r="G40" s="224" t="s">
        <v>14689</v>
      </c>
      <c r="H40" s="224" t="s">
        <v>1136</v>
      </c>
      <c r="I40" s="361">
        <v>46344</v>
      </c>
      <c r="J40" s="361">
        <v>46346</v>
      </c>
      <c r="K40" s="361">
        <v>46347</v>
      </c>
      <c r="L40" s="224" t="s">
        <v>16119</v>
      </c>
      <c r="M40" s="224" t="s">
        <v>16120</v>
      </c>
      <c r="N40" s="224" t="s">
        <v>1070</v>
      </c>
      <c r="O40" s="224" t="str">
        <f t="shared" si="0"/>
        <v>🔴 Critical</v>
      </c>
      <c r="P40" s="426"/>
      <c r="Q40" s="224" t="str" cm="1">
        <f t="array" ref="Q40">IF(O40="","",IFERROR(_xlfn.TEXTJOIN(", ",TRUE,_xlfn._xlws.FILTER('[1]Environment Conflicts'!$A$9:$A$34,('[1]Environment Conflicts'!$E$9:$E$34=A40)+('[1]Environment Conflicts'!$F$9:$F$34=A40))),"-"))</f>
        <v>-</v>
      </c>
      <c r="R40" s="224" t="str" cm="1">
        <f t="array" ref="R40">IF(O40="","",IFERROR(_xlfn.TEXTJOIN(", ",TRUE,_xlfn._xlws.FILTER(IF('[1]Environment Conflicts'!$E$9:$E$34=A40,'[1]Environment Conflicts'!$F$9:$F$34,'[1]Environment Conflicts'!$E$9:$E$34),('[1]Environment Conflicts'!$E$9:$E$34=A40)+('[1]Environment Conflicts'!$F$9:$F$34=A40))),"-"))</f>
        <v>-</v>
      </c>
      <c r="S40" s="224" t="str" cm="1">
        <f t="array" ref="S40">IF(O40="","",IFERROR(_xlfn.TEXTJOIN(", ",TRUE,_xlfn._xlws.FILTER('[1]Environment Conflicts'!$J$9:$J$34,('[1]Environment Conflicts'!$E$9:$E$34=A40)+('[1]Environment Conflicts'!$F$9:$F$34=A40))),"-"))</f>
        <v>-</v>
      </c>
      <c r="T40" t="s">
        <v>16122</v>
      </c>
      <c r="U40" t="s">
        <v>16676</v>
      </c>
      <c r="X40" t="s">
        <v>14485</v>
      </c>
      <c r="Y40" s="37"/>
      <c r="Z40" s="37">
        <v>0.11</v>
      </c>
      <c r="AA40" t="s">
        <v>15972</v>
      </c>
      <c r="AB40" t="s">
        <v>1070</v>
      </c>
      <c r="AC40" t="s">
        <v>16591</v>
      </c>
      <c r="AF40" t="s">
        <v>14600</v>
      </c>
      <c r="AG40" t="s">
        <v>14485</v>
      </c>
      <c r="AH40" t="s">
        <v>14485</v>
      </c>
      <c r="AI40" t="s">
        <v>14485</v>
      </c>
      <c r="AJ40" t="s">
        <v>14485</v>
      </c>
      <c r="AK40" t="s">
        <v>14485</v>
      </c>
      <c r="AL40" t="s">
        <v>14485</v>
      </c>
      <c r="AM40" t="s">
        <v>14485</v>
      </c>
      <c r="AN40" t="s">
        <v>14485</v>
      </c>
      <c r="AO40" t="str">
        <f>IF(A40="","",_xlfn.LET(
        _xlpm.rid,A40,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1" spans="1:41" ht="28.8" x14ac:dyDescent="0.3">
      <c r="A41" s="224" t="s">
        <v>16235</v>
      </c>
      <c r="B41" s="224" t="s">
        <v>16677</v>
      </c>
      <c r="C41" s="224" t="s">
        <v>14993</v>
      </c>
      <c r="D41" s="224" t="s">
        <v>15587</v>
      </c>
      <c r="E41" s="20" t="s">
        <v>16678</v>
      </c>
      <c r="F41" s="224" t="s">
        <v>1122</v>
      </c>
      <c r="G41" s="224" t="s">
        <v>1125</v>
      </c>
      <c r="H41" s="224" t="s">
        <v>1134</v>
      </c>
      <c r="I41" s="361">
        <v>46348</v>
      </c>
      <c r="J41" s="361">
        <v>46350</v>
      </c>
      <c r="K41" s="361">
        <v>46350</v>
      </c>
      <c r="L41" s="224" t="s">
        <v>16183</v>
      </c>
      <c r="M41" s="224" t="s">
        <v>16184</v>
      </c>
      <c r="N41" s="224" t="s">
        <v>1078</v>
      </c>
      <c r="O41" s="224" t="str">
        <f t="shared" si="0"/>
        <v>🔴 Critical</v>
      </c>
      <c r="P41" s="426"/>
      <c r="Q41" s="224" t="str" cm="1">
        <f t="array" ref="Q41">IF(O41="","",IFERROR(_xlfn.TEXTJOIN(", ",TRUE,_xlfn._xlws.FILTER('[1]Environment Conflicts'!$A$9:$A$34,('[1]Environment Conflicts'!$E$9:$E$34=A41)+('[1]Environment Conflicts'!$F$9:$F$34=A41))),"-"))</f>
        <v>-</v>
      </c>
      <c r="R41" s="224" t="str" cm="1">
        <f t="array" ref="R41">IF(O41="","",IFERROR(_xlfn.TEXTJOIN(", ",TRUE,_xlfn._xlws.FILTER(IF('[1]Environment Conflicts'!$E$9:$E$34=A41,'[1]Environment Conflicts'!$F$9:$F$34,'[1]Environment Conflicts'!$E$9:$E$34),('[1]Environment Conflicts'!$E$9:$E$34=A41)+('[1]Environment Conflicts'!$F$9:$F$34=A41))),"-"))</f>
        <v>-</v>
      </c>
      <c r="S41" s="224" t="str" cm="1">
        <f t="array" ref="S41">IF(O41="","",IFERROR(_xlfn.TEXTJOIN(", ",TRUE,_xlfn._xlws.FILTER('[1]Environment Conflicts'!$J$9:$J$34,('[1]Environment Conflicts'!$E$9:$E$34=A41)+('[1]Environment Conflicts'!$F$9:$F$34=A41))),"-"))</f>
        <v>-</v>
      </c>
      <c r="T41" t="s">
        <v>16172</v>
      </c>
      <c r="U41" t="s">
        <v>19507</v>
      </c>
      <c r="X41" t="s">
        <v>1224</v>
      </c>
      <c r="Y41" s="37">
        <v>0.4</v>
      </c>
      <c r="Z41" s="37">
        <v>0.45</v>
      </c>
      <c r="AA41" t="s">
        <v>15975</v>
      </c>
      <c r="AB41" t="s">
        <v>1078</v>
      </c>
      <c r="AC41" t="s">
        <v>16596</v>
      </c>
      <c r="AF41" t="s">
        <v>1499</v>
      </c>
      <c r="AG41" t="s">
        <v>962</v>
      </c>
      <c r="AH41" t="s">
        <v>1246</v>
      </c>
      <c r="AI41" t="s">
        <v>14485</v>
      </c>
      <c r="AJ41" t="s">
        <v>14485</v>
      </c>
      <c r="AK41" t="s">
        <v>14485</v>
      </c>
      <c r="AL41" t="s">
        <v>14485</v>
      </c>
      <c r="AM41" t="s">
        <v>14485</v>
      </c>
      <c r="AN41" t="s">
        <v>14485</v>
      </c>
      <c r="AO41" t="str">
        <f>IF(A41="","",_xlfn.LET(
        _xlpm.rid,A41,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2" spans="1:41" x14ac:dyDescent="0.3">
      <c r="A42" s="224" t="s">
        <v>16237</v>
      </c>
      <c r="B42" s="224" t="s">
        <v>16679</v>
      </c>
      <c r="C42" s="224" t="s">
        <v>14992</v>
      </c>
      <c r="D42" s="224" t="s">
        <v>15631</v>
      </c>
      <c r="E42" s="20" t="s">
        <v>16622</v>
      </c>
      <c r="F42" s="224" t="s">
        <v>1122</v>
      </c>
      <c r="G42" s="224" t="s">
        <v>14689</v>
      </c>
      <c r="H42" s="224" t="s">
        <v>1136</v>
      </c>
      <c r="I42" s="361">
        <v>46354</v>
      </c>
      <c r="J42" s="361">
        <v>46356</v>
      </c>
      <c r="K42" s="361">
        <v>46356</v>
      </c>
      <c r="L42" s="224" t="s">
        <v>16127</v>
      </c>
      <c r="M42" s="224" t="s">
        <v>16128</v>
      </c>
      <c r="N42" s="224" t="s">
        <v>1070</v>
      </c>
      <c r="O42" s="224" t="str">
        <f t="shared" si="0"/>
        <v>🟡 Caution</v>
      </c>
      <c r="P42" s="426"/>
      <c r="Q42" s="224" t="str" cm="1">
        <f t="array" ref="Q42">IF(O42="","",IFERROR(_xlfn.TEXTJOIN(", ",TRUE,_xlfn._xlws.FILTER('[1]Environment Conflicts'!$A$9:$A$34,('[1]Environment Conflicts'!$E$9:$E$34=A42)+('[1]Environment Conflicts'!$F$9:$F$34=A42))),"-"))</f>
        <v>-</v>
      </c>
      <c r="R42" s="224" t="str" cm="1">
        <f t="array" ref="R42">IF(O42="","",IFERROR(_xlfn.TEXTJOIN(", ",TRUE,_xlfn._xlws.FILTER(IF('[1]Environment Conflicts'!$E$9:$E$34=A42,'[1]Environment Conflicts'!$F$9:$F$34,'[1]Environment Conflicts'!$E$9:$E$34),('[1]Environment Conflicts'!$E$9:$E$34=A42)+('[1]Environment Conflicts'!$F$9:$F$34=A42))),"-"))</f>
        <v>-</v>
      </c>
      <c r="S42" s="224" t="str" cm="1">
        <f t="array" ref="S42">IF(O42="","",IFERROR(_xlfn.TEXTJOIN(", ",TRUE,_xlfn._xlws.FILTER('[1]Environment Conflicts'!$J$9:$J$34,('[1]Environment Conflicts'!$E$9:$E$34=A42)+('[1]Environment Conflicts'!$F$9:$F$34=A42))),"-"))</f>
        <v>-</v>
      </c>
      <c r="T42" t="s">
        <v>16147</v>
      </c>
      <c r="X42" t="s">
        <v>14485</v>
      </c>
      <c r="Y42" s="37"/>
      <c r="Z42" s="37">
        <v>0.02</v>
      </c>
      <c r="AA42" t="s">
        <v>15978</v>
      </c>
      <c r="AB42" t="s">
        <v>1070</v>
      </c>
      <c r="AC42" t="s">
        <v>16600</v>
      </c>
      <c r="AF42" t="s">
        <v>14600</v>
      </c>
      <c r="AG42" t="s">
        <v>14485</v>
      </c>
      <c r="AH42" t="s">
        <v>14485</v>
      </c>
      <c r="AI42" t="s">
        <v>14485</v>
      </c>
      <c r="AJ42" t="s">
        <v>14485</v>
      </c>
      <c r="AK42" t="s">
        <v>14485</v>
      </c>
      <c r="AL42" t="s">
        <v>14485</v>
      </c>
      <c r="AM42" t="s">
        <v>14485</v>
      </c>
      <c r="AN42" t="s">
        <v>14485</v>
      </c>
      <c r="AO42" t="str">
        <f>IF(A42="","",_xlfn.LET(
        _xlpm.rid,A42,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3" spans="1:41" x14ac:dyDescent="0.3">
      <c r="A43" s="224" t="s">
        <v>16239</v>
      </c>
      <c r="B43" s="224" t="s">
        <v>16680</v>
      </c>
      <c r="C43" s="224" t="s">
        <v>14991</v>
      </c>
      <c r="D43" s="224" t="s">
        <v>15655</v>
      </c>
      <c r="E43" s="20" t="s">
        <v>16624</v>
      </c>
      <c r="F43" s="224" t="s">
        <v>1128</v>
      </c>
      <c r="G43" s="224" t="s">
        <v>14697</v>
      </c>
      <c r="H43" s="224" t="s">
        <v>1132</v>
      </c>
      <c r="I43" s="361">
        <v>46357</v>
      </c>
      <c r="J43" s="361">
        <v>46360</v>
      </c>
      <c r="K43" s="361">
        <v>46362</v>
      </c>
      <c r="L43" s="224" t="s">
        <v>16161</v>
      </c>
      <c r="M43" s="224" t="s">
        <v>16240</v>
      </c>
      <c r="N43" s="224" t="s">
        <v>1070</v>
      </c>
      <c r="O43" s="224" t="str">
        <f t="shared" si="0"/>
        <v>🔴 Critical</v>
      </c>
      <c r="P43" s="426"/>
      <c r="Q43" s="224" t="str" cm="1">
        <f t="array" ref="Q43">IF(O43="","",IFERROR(_xlfn.TEXTJOIN(", ",TRUE,_xlfn._xlws.FILTER('[1]Environment Conflicts'!$A$9:$A$34,('[1]Environment Conflicts'!$E$9:$E$34=A43)+('[1]Environment Conflicts'!$F$9:$F$34=A43))),"-"))</f>
        <v>-</v>
      </c>
      <c r="R43" s="224" t="str" cm="1">
        <f t="array" ref="R43">IF(O43="","",IFERROR(_xlfn.TEXTJOIN(", ",TRUE,_xlfn._xlws.FILTER(IF('[1]Environment Conflicts'!$E$9:$E$34=A43,'[1]Environment Conflicts'!$F$9:$F$34,'[1]Environment Conflicts'!$E$9:$E$34),('[1]Environment Conflicts'!$E$9:$E$34=A43)+('[1]Environment Conflicts'!$F$9:$F$34=A43))),"-"))</f>
        <v>-</v>
      </c>
      <c r="S43" s="224" t="str" cm="1">
        <f t="array" ref="S43">IF(O43="","",IFERROR(_xlfn.TEXTJOIN(", ",TRUE,_xlfn._xlws.FILTER('[1]Environment Conflicts'!$J$9:$J$34,('[1]Environment Conflicts'!$E$9:$E$34=A43)+('[1]Environment Conflicts'!$F$9:$F$34=A43))),"-"))</f>
        <v>-</v>
      </c>
      <c r="T43" t="s">
        <v>16241</v>
      </c>
      <c r="U43" t="s">
        <v>16681</v>
      </c>
      <c r="X43" t="s">
        <v>14485</v>
      </c>
      <c r="Y43" s="37"/>
      <c r="Z43" s="37">
        <v>0.1</v>
      </c>
      <c r="AA43" t="s">
        <v>15768</v>
      </c>
      <c r="AB43" t="s">
        <v>1070</v>
      </c>
      <c r="AC43" t="s">
        <v>16603</v>
      </c>
      <c r="AD43" t="s">
        <v>16235</v>
      </c>
      <c r="AF43" t="s">
        <v>16592</v>
      </c>
      <c r="AG43" t="s">
        <v>14485</v>
      </c>
      <c r="AH43" t="s">
        <v>14485</v>
      </c>
      <c r="AI43" t="s">
        <v>14485</v>
      </c>
      <c r="AJ43" t="s">
        <v>14485</v>
      </c>
      <c r="AK43" t="s">
        <v>14485</v>
      </c>
      <c r="AL43" t="s">
        <v>14485</v>
      </c>
      <c r="AM43" t="s">
        <v>14485</v>
      </c>
      <c r="AN43" t="s">
        <v>14485</v>
      </c>
      <c r="AO43" t="str">
        <f>IF(A43="","",_xlfn.LET(
        _xlpm.rid,A43,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4" spans="1:41" x14ac:dyDescent="0.3">
      <c r="A44" s="224" t="s">
        <v>16243</v>
      </c>
      <c r="B44" s="224" t="s">
        <v>16682</v>
      </c>
      <c r="C44" s="224" t="s">
        <v>1159</v>
      </c>
      <c r="D44" s="224" t="s">
        <v>15676</v>
      </c>
      <c r="E44" s="20" t="s">
        <v>16683</v>
      </c>
      <c r="F44" s="224" t="s">
        <v>1122</v>
      </c>
      <c r="G44" s="224" t="s">
        <v>14689</v>
      </c>
      <c r="H44" s="224" t="s">
        <v>1136</v>
      </c>
      <c r="I44" s="361">
        <v>46362</v>
      </c>
      <c r="J44" s="361">
        <v>46364</v>
      </c>
      <c r="K44" s="361">
        <v>46364</v>
      </c>
      <c r="L44" s="224" t="s">
        <v>16223</v>
      </c>
      <c r="M44" s="224" t="s">
        <v>16244</v>
      </c>
      <c r="N44" s="224" t="s">
        <v>1084</v>
      </c>
      <c r="O44" s="224" t="str">
        <f t="shared" si="0"/>
        <v>🔴 Critical</v>
      </c>
      <c r="P44" s="426"/>
      <c r="Q44" s="224" t="str" cm="1">
        <f t="array" ref="Q44">IF(O44="","",IFERROR(_xlfn.TEXTJOIN(", ",TRUE,_xlfn._xlws.FILTER('[1]Environment Conflicts'!$A$9:$A$34,('[1]Environment Conflicts'!$E$9:$E$34=A44)+('[1]Environment Conflicts'!$F$9:$F$34=A44))),"-"))</f>
        <v>-</v>
      </c>
      <c r="R44" s="224" t="str" cm="1">
        <f t="array" ref="R44">IF(O44="","",IFERROR(_xlfn.TEXTJOIN(", ",TRUE,_xlfn._xlws.FILTER(IF('[1]Environment Conflicts'!$E$9:$E$34=A44,'[1]Environment Conflicts'!$F$9:$F$34,'[1]Environment Conflicts'!$E$9:$E$34),('[1]Environment Conflicts'!$E$9:$E$34=A44)+('[1]Environment Conflicts'!$F$9:$F$34=A44))),"-"))</f>
        <v>-</v>
      </c>
      <c r="S44" s="224" t="str" cm="1">
        <f t="array" ref="S44">IF(O44="","",IFERROR(_xlfn.TEXTJOIN(", ",TRUE,_xlfn._xlws.FILTER('[1]Environment Conflicts'!$J$9:$J$34,('[1]Environment Conflicts'!$E$9:$E$34=A44)+('[1]Environment Conflicts'!$F$9:$F$34=A44))),"-"))</f>
        <v>-</v>
      </c>
      <c r="T44" t="s">
        <v>16224</v>
      </c>
      <c r="U44" t="s">
        <v>19508</v>
      </c>
      <c r="X44" t="s">
        <v>1090</v>
      </c>
      <c r="Y44" s="37">
        <v>0.85</v>
      </c>
      <c r="Z44" s="37">
        <v>0.8</v>
      </c>
      <c r="AA44" t="s">
        <v>15772</v>
      </c>
      <c r="AB44" t="s">
        <v>16599</v>
      </c>
      <c r="AC44" t="s">
        <v>16606</v>
      </c>
      <c r="AF44" t="s">
        <v>14600</v>
      </c>
      <c r="AG44" t="s">
        <v>962</v>
      </c>
      <c r="AH44" t="s">
        <v>962</v>
      </c>
      <c r="AI44" t="s">
        <v>962</v>
      </c>
      <c r="AJ44" t="s">
        <v>14485</v>
      </c>
      <c r="AK44" t="s">
        <v>14485</v>
      </c>
      <c r="AL44" t="s">
        <v>14485</v>
      </c>
      <c r="AM44" t="s">
        <v>14485</v>
      </c>
      <c r="AN44" t="s">
        <v>14485</v>
      </c>
      <c r="AO44" t="str">
        <f>IF(A44="","",_xlfn.LET(
        _xlpm.rid,A44,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5" spans="1:41" x14ac:dyDescent="0.3">
      <c r="A45" s="224" t="s">
        <v>16246</v>
      </c>
      <c r="B45" s="224" t="s">
        <v>16684</v>
      </c>
      <c r="C45" s="224" t="s">
        <v>14990</v>
      </c>
      <c r="D45" s="224" t="s">
        <v>15723</v>
      </c>
      <c r="E45" s="20" t="s">
        <v>16685</v>
      </c>
      <c r="F45" s="224" t="s">
        <v>1128</v>
      </c>
      <c r="G45" s="224" t="s">
        <v>14697</v>
      </c>
      <c r="H45" s="224" t="s">
        <v>1132</v>
      </c>
      <c r="I45" s="361">
        <v>46365</v>
      </c>
      <c r="J45" s="361">
        <v>46368</v>
      </c>
      <c r="K45" s="361">
        <v>46370</v>
      </c>
      <c r="L45" s="224" t="s">
        <v>16247</v>
      </c>
      <c r="M45" s="224" t="s">
        <v>16248</v>
      </c>
      <c r="N45" s="224" t="s">
        <v>1070</v>
      </c>
      <c r="O45" s="224" t="str">
        <f t="shared" si="0"/>
        <v>🔴 Critical</v>
      </c>
      <c r="P45" s="426"/>
      <c r="Q45" s="224" t="str" cm="1">
        <f t="array" ref="Q45">IF(O45="","",IFERROR(_xlfn.TEXTJOIN(", ",TRUE,_xlfn._xlws.FILTER('[1]Environment Conflicts'!$A$9:$A$34,('[1]Environment Conflicts'!$E$9:$E$34=A45)+('[1]Environment Conflicts'!$F$9:$F$34=A45))),"-"))</f>
        <v>-</v>
      </c>
      <c r="R45" s="224" t="str" cm="1">
        <f t="array" ref="R45">IF(O45="","",IFERROR(_xlfn.TEXTJOIN(", ",TRUE,_xlfn._xlws.FILTER(IF('[1]Environment Conflicts'!$E$9:$E$34=A45,'[1]Environment Conflicts'!$F$9:$F$34,'[1]Environment Conflicts'!$E$9:$E$34),('[1]Environment Conflicts'!$E$9:$E$34=A45)+('[1]Environment Conflicts'!$F$9:$F$34=A45))),"-"))</f>
        <v>-</v>
      </c>
      <c r="S45" s="224" t="str" cm="1">
        <f t="array" ref="S45">IF(O45="","",IFERROR(_xlfn.TEXTJOIN(", ",TRUE,_xlfn._xlws.FILTER('[1]Environment Conflicts'!$J$9:$J$34,('[1]Environment Conflicts'!$E$9:$E$34=A45)+('[1]Environment Conflicts'!$F$9:$F$34=A45))),"-"))</f>
        <v>-</v>
      </c>
      <c r="T45" t="s">
        <v>16189</v>
      </c>
      <c r="U45" t="s">
        <v>16686</v>
      </c>
      <c r="X45" t="s">
        <v>14485</v>
      </c>
      <c r="Y45" s="37"/>
      <c r="Z45" s="37">
        <v>0.03</v>
      </c>
      <c r="AA45" t="s">
        <v>15775</v>
      </c>
      <c r="AB45" t="s">
        <v>1070</v>
      </c>
      <c r="AC45" t="s">
        <v>16610</v>
      </c>
      <c r="AF45" t="s">
        <v>16592</v>
      </c>
      <c r="AG45" t="s">
        <v>14485</v>
      </c>
      <c r="AH45" t="s">
        <v>14485</v>
      </c>
      <c r="AI45" t="s">
        <v>14485</v>
      </c>
      <c r="AJ45" t="s">
        <v>14485</v>
      </c>
      <c r="AK45" t="s">
        <v>14485</v>
      </c>
      <c r="AL45" t="s">
        <v>14485</v>
      </c>
      <c r="AM45" t="s">
        <v>14485</v>
      </c>
      <c r="AN45" t="s">
        <v>14485</v>
      </c>
      <c r="AO45" t="str">
        <f>IF(A45="","",_xlfn.LET(
        _xlpm.rid,A45,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6" spans="1:41" ht="28.8" x14ac:dyDescent="0.3">
      <c r="A46" s="224" t="s">
        <v>16250</v>
      </c>
      <c r="B46" s="224" t="s">
        <v>16687</v>
      </c>
      <c r="C46" s="224" t="s">
        <v>152</v>
      </c>
      <c r="D46" s="224" t="s">
        <v>15735</v>
      </c>
      <c r="E46" s="20" t="s">
        <v>16688</v>
      </c>
      <c r="F46" s="224" t="s">
        <v>1122</v>
      </c>
      <c r="G46" s="224" t="s">
        <v>14689</v>
      </c>
      <c r="H46" s="224" t="s">
        <v>1138</v>
      </c>
      <c r="I46" s="361">
        <v>46370</v>
      </c>
      <c r="J46" s="361">
        <v>46372</v>
      </c>
      <c r="K46" s="361">
        <v>46372</v>
      </c>
      <c r="L46" s="224" t="s">
        <v>16251</v>
      </c>
      <c r="M46" s="224" t="s">
        <v>16145</v>
      </c>
      <c r="N46" s="224" t="s">
        <v>1070</v>
      </c>
      <c r="O46" s="224" t="str">
        <f t="shared" si="0"/>
        <v>🟡 Caution</v>
      </c>
      <c r="P46" s="426"/>
      <c r="Q46" s="224" t="str" cm="1">
        <f t="array" ref="Q46">IF(O46="","",IFERROR(_xlfn.TEXTJOIN(", ",TRUE,_xlfn._xlws.FILTER('[1]Environment Conflicts'!$A$9:$A$34,('[1]Environment Conflicts'!$E$9:$E$34=A46)+('[1]Environment Conflicts'!$F$9:$F$34=A46))),"-"))</f>
        <v>-</v>
      </c>
      <c r="R46" s="224" t="str" cm="1">
        <f t="array" ref="R46">IF(O46="","",IFERROR(_xlfn.TEXTJOIN(", ",TRUE,_xlfn._xlws.FILTER(IF('[1]Environment Conflicts'!$E$9:$E$34=A46,'[1]Environment Conflicts'!$F$9:$F$34,'[1]Environment Conflicts'!$E$9:$E$34),('[1]Environment Conflicts'!$E$9:$E$34=A46)+('[1]Environment Conflicts'!$F$9:$F$34=A46))),"-"))</f>
        <v>-</v>
      </c>
      <c r="S46" s="224" t="str" cm="1">
        <f t="array" ref="S46">IF(O46="","",IFERROR(_xlfn.TEXTJOIN(", ",TRUE,_xlfn._xlws.FILTER('[1]Environment Conflicts'!$J$9:$J$34,('[1]Environment Conflicts'!$E$9:$E$34=A46)+('[1]Environment Conflicts'!$F$9:$F$34=A46))),"-"))</f>
        <v>-</v>
      </c>
      <c r="T46" t="s">
        <v>16217</v>
      </c>
      <c r="V46" t="s">
        <v>1503</v>
      </c>
      <c r="X46" t="s">
        <v>14485</v>
      </c>
      <c r="Y46" s="37"/>
      <c r="Z46" s="37">
        <v>0.17</v>
      </c>
      <c r="AA46" t="s">
        <v>15778</v>
      </c>
      <c r="AB46" t="s">
        <v>1070</v>
      </c>
      <c r="AC46" t="s">
        <v>16613</v>
      </c>
      <c r="AE46" t="s">
        <v>16632</v>
      </c>
      <c r="AF46" t="s">
        <v>14600</v>
      </c>
      <c r="AG46" t="s">
        <v>14485</v>
      </c>
      <c r="AH46" t="s">
        <v>14485</v>
      </c>
      <c r="AI46" t="s">
        <v>14485</v>
      </c>
      <c r="AJ46" t="s">
        <v>14485</v>
      </c>
      <c r="AK46" t="s">
        <v>14485</v>
      </c>
      <c r="AL46" t="s">
        <v>14485</v>
      </c>
      <c r="AM46" t="s">
        <v>14485</v>
      </c>
      <c r="AN46" t="s">
        <v>14485</v>
      </c>
      <c r="AO46" t="str">
        <f>IF(A46="","",_xlfn.LET(
        _xlpm.rid,A46,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7" spans="1:41" x14ac:dyDescent="0.3">
      <c r="A47" s="224" t="s">
        <v>16253</v>
      </c>
      <c r="B47" s="224" t="s">
        <v>16689</v>
      </c>
      <c r="C47" s="224" t="s">
        <v>1158</v>
      </c>
      <c r="D47" s="224" t="s">
        <v>15449</v>
      </c>
      <c r="E47" s="20" t="s">
        <v>16690</v>
      </c>
      <c r="F47" s="224" t="s">
        <v>1122</v>
      </c>
      <c r="G47" s="224" t="s">
        <v>14689</v>
      </c>
      <c r="H47" s="224" t="s">
        <v>1138</v>
      </c>
      <c r="I47" s="361">
        <v>46374</v>
      </c>
      <c r="J47" s="361">
        <v>46376</v>
      </c>
      <c r="K47" s="361">
        <v>46376</v>
      </c>
      <c r="L47" s="224" t="s">
        <v>16112</v>
      </c>
      <c r="M47" s="224" t="s">
        <v>16113</v>
      </c>
      <c r="N47" s="224" t="s">
        <v>1070</v>
      </c>
      <c r="O47" s="224" t="str">
        <f t="shared" si="0"/>
        <v>🔴 Critical</v>
      </c>
      <c r="P47" s="426" t="s">
        <v>16115</v>
      </c>
      <c r="Q47" s="224" t="str" cm="1">
        <f t="array" ref="Q47">IF(O47="","",IFERROR(_xlfn.TEXTJOIN(", ",TRUE,_xlfn._xlws.FILTER('[1]Environment Conflicts'!$A$9:$A$34,('[1]Environment Conflicts'!$E$9:$E$34=A47)+('[1]Environment Conflicts'!$F$9:$F$34=A47))),"-"))</f>
        <v>CNF-0013, CNF-0023</v>
      </c>
      <c r="R47" s="224" t="str" cm="1">
        <f t="array" ref="R47">IF(O47="","",IFERROR(_xlfn.TEXTJOIN(", ",TRUE,_xlfn._xlws.FILTER(IF('[1]Environment Conflicts'!$E$9:$E$34=A47,'[1]Environment Conflicts'!$F$9:$F$34,'[1]Environment Conflicts'!$E$9:$E$34),('[1]Environment Conflicts'!$E$9:$E$34=A47)+('[1]Environment Conflicts'!$F$9:$F$34=A47))),"-"))</f>
        <v>REL-0043, REL-0043</v>
      </c>
      <c r="S47" s="224" t="str" cm="1">
        <f t="array" ref="S47">IF(O47="","",IFERROR(_xlfn.TEXTJOIN(", ",TRUE,_xlfn._xlws.FILTER('[1]Environment Conflicts'!$J$9:$J$34,('[1]Environment Conflicts'!$E$9:$E$34=A47)+('[1]Environment Conflicts'!$F$9:$F$34=A47))),"-"))</f>
        <v>Overlapping Test/UAT window, Overlapping Test/UAT window</v>
      </c>
      <c r="T47" t="s">
        <v>16254</v>
      </c>
      <c r="V47" t="s">
        <v>1503</v>
      </c>
      <c r="X47" t="s">
        <v>14485</v>
      </c>
      <c r="Y47" s="37"/>
      <c r="Z47" s="37">
        <v>0.09</v>
      </c>
      <c r="AA47" t="s">
        <v>15781</v>
      </c>
      <c r="AB47" t="s">
        <v>1070</v>
      </c>
      <c r="AC47" t="s">
        <v>16588</v>
      </c>
      <c r="AD47" t="s">
        <v>16691</v>
      </c>
      <c r="AF47" t="s">
        <v>1499</v>
      </c>
      <c r="AG47" t="s">
        <v>14485</v>
      </c>
      <c r="AH47" t="s">
        <v>14485</v>
      </c>
      <c r="AI47" t="s">
        <v>14485</v>
      </c>
      <c r="AJ47" t="s">
        <v>14485</v>
      </c>
      <c r="AK47" t="s">
        <v>14485</v>
      </c>
      <c r="AL47" t="s">
        <v>14485</v>
      </c>
      <c r="AM47" t="s">
        <v>14485</v>
      </c>
      <c r="AN47" t="s">
        <v>14485</v>
      </c>
      <c r="AO47" t="str">
        <f>IF(A47="","",_xlfn.LET(
        _xlpm.rid,A47,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8" spans="1:41" x14ac:dyDescent="0.3">
      <c r="A48" s="224" t="s">
        <v>16257</v>
      </c>
      <c r="B48" s="224" t="s">
        <v>16692</v>
      </c>
      <c r="C48" s="224" t="s">
        <v>14994</v>
      </c>
      <c r="D48" s="224" t="s">
        <v>15557</v>
      </c>
      <c r="E48" s="20" t="s">
        <v>16638</v>
      </c>
      <c r="F48" s="224" t="s">
        <v>1125</v>
      </c>
      <c r="G48" s="224" t="s">
        <v>1125</v>
      </c>
      <c r="H48" s="224" t="s">
        <v>1134</v>
      </c>
      <c r="I48" s="361">
        <v>46378</v>
      </c>
      <c r="J48" s="361">
        <v>46380</v>
      </c>
      <c r="K48" s="361">
        <v>46381</v>
      </c>
      <c r="L48" s="224" t="s">
        <v>16119</v>
      </c>
      <c r="M48" s="224" t="s">
        <v>16120</v>
      </c>
      <c r="N48" s="224" t="s">
        <v>1070</v>
      </c>
      <c r="O48" s="224" t="str">
        <f t="shared" si="0"/>
        <v>🟡 Caution</v>
      </c>
      <c r="P48" s="426"/>
      <c r="Q48" s="224" t="str" cm="1">
        <f t="array" ref="Q48">IF(O48="","",IFERROR(_xlfn.TEXTJOIN(", ",TRUE,_xlfn._xlws.FILTER('[1]Environment Conflicts'!$A$9:$A$34,('[1]Environment Conflicts'!$E$9:$E$34=A48)+('[1]Environment Conflicts'!$F$9:$F$34=A48))),"-"))</f>
        <v>-</v>
      </c>
      <c r="R48" s="224" t="str" cm="1">
        <f t="array" ref="R48">IF(O48="","",IFERROR(_xlfn.TEXTJOIN(", ",TRUE,_xlfn._xlws.FILTER(IF('[1]Environment Conflicts'!$E$9:$E$34=A48,'[1]Environment Conflicts'!$F$9:$F$34,'[1]Environment Conflicts'!$E$9:$E$34),('[1]Environment Conflicts'!$E$9:$E$34=A48)+('[1]Environment Conflicts'!$F$9:$F$34=A48))),"-"))</f>
        <v>-</v>
      </c>
      <c r="S48" s="224" t="str" cm="1">
        <f t="array" ref="S48">IF(O48="","",IFERROR(_xlfn.TEXTJOIN(", ",TRUE,_xlfn._xlws.FILTER('[1]Environment Conflicts'!$J$9:$J$34,('[1]Environment Conflicts'!$E$9:$E$34=A48)+('[1]Environment Conflicts'!$F$9:$F$34=A48))),"-"))</f>
        <v>-</v>
      </c>
      <c r="T48" t="s">
        <v>16122</v>
      </c>
      <c r="V48" t="s">
        <v>1503</v>
      </c>
      <c r="W48" t="s">
        <v>16693</v>
      </c>
      <c r="X48" t="s">
        <v>14485</v>
      </c>
      <c r="Y48" s="37"/>
      <c r="Z48" s="37">
        <v>0.06</v>
      </c>
      <c r="AA48" t="s">
        <v>15784</v>
      </c>
      <c r="AB48" t="s">
        <v>1070</v>
      </c>
      <c r="AC48" t="s">
        <v>16591</v>
      </c>
      <c r="AF48" t="s">
        <v>14600</v>
      </c>
      <c r="AG48" t="s">
        <v>14485</v>
      </c>
      <c r="AH48" t="s">
        <v>14485</v>
      </c>
      <c r="AI48" t="s">
        <v>14485</v>
      </c>
      <c r="AJ48" t="s">
        <v>14485</v>
      </c>
      <c r="AK48" t="s">
        <v>14485</v>
      </c>
      <c r="AL48" t="s">
        <v>14485</v>
      </c>
      <c r="AM48" t="s">
        <v>14485</v>
      </c>
      <c r="AN48" t="s">
        <v>14485</v>
      </c>
      <c r="AO48" t="str">
        <f>IF(A48="","",_xlfn.LET(
        _xlpm.rid,A48,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9" spans="1:41" x14ac:dyDescent="0.3">
      <c r="A49" s="224" t="s">
        <v>16259</v>
      </c>
      <c r="B49" s="224" t="s">
        <v>16694</v>
      </c>
      <c r="C49" s="224" t="s">
        <v>14993</v>
      </c>
      <c r="D49" s="224" t="s">
        <v>15590</v>
      </c>
      <c r="E49" s="20" t="s">
        <v>16695</v>
      </c>
      <c r="F49" s="224" t="s">
        <v>1125</v>
      </c>
      <c r="G49" s="224" t="s">
        <v>1125</v>
      </c>
      <c r="H49" s="224" t="s">
        <v>1134</v>
      </c>
      <c r="I49" s="361">
        <v>46377</v>
      </c>
      <c r="J49" s="361">
        <v>46379</v>
      </c>
      <c r="K49" s="361">
        <v>46380</v>
      </c>
      <c r="L49" s="224" t="s">
        <v>16112</v>
      </c>
      <c r="M49" s="224" t="s">
        <v>16113</v>
      </c>
      <c r="N49" s="224" t="s">
        <v>1070</v>
      </c>
      <c r="O49" s="224" t="str">
        <f t="shared" si="0"/>
        <v>🔴 Critical</v>
      </c>
      <c r="P49" s="426" t="s">
        <v>16115</v>
      </c>
      <c r="Q49" s="224" t="str" cm="1">
        <f t="array" ref="Q49">IF(O49="","",IFERROR(_xlfn.TEXTJOIN(", ",TRUE,_xlfn._xlws.FILTER('[1]Environment Conflicts'!$A$9:$A$34,('[1]Environment Conflicts'!$E$9:$E$34=A49)+('[1]Environment Conflicts'!$F$9:$F$34=A49))),"-"))</f>
        <v>CNF-0013, CNF-0023</v>
      </c>
      <c r="R49" s="224" t="str" cm="1">
        <f t="array" ref="R49">IF(O49="","",IFERROR(_xlfn.TEXTJOIN(", ",TRUE,_xlfn._xlws.FILTER(IF('[1]Environment Conflicts'!$E$9:$E$34=A49,'[1]Environment Conflicts'!$F$9:$F$34,'[1]Environment Conflicts'!$E$9:$E$34),('[1]Environment Conflicts'!$E$9:$E$34=A49)+('[1]Environment Conflicts'!$F$9:$F$34=A49))),"-"))</f>
        <v>REL-0041, REL-0041</v>
      </c>
      <c r="S49" s="224" t="str" cm="1">
        <f t="array" ref="S49">IF(O49="","",IFERROR(_xlfn.TEXTJOIN(", ",TRUE,_xlfn._xlws.FILTER('[1]Environment Conflicts'!$J$9:$J$34,('[1]Environment Conflicts'!$E$9:$E$34=A49)+('[1]Environment Conflicts'!$F$9:$F$34=A49))),"-"))</f>
        <v>Overlapping Test/UAT window, Overlapping Test/UAT window</v>
      </c>
      <c r="T49" t="s">
        <v>16260</v>
      </c>
      <c r="V49" t="s">
        <v>1503</v>
      </c>
      <c r="X49" t="s">
        <v>14485</v>
      </c>
      <c r="Y49" s="37"/>
      <c r="Z49" s="37">
        <v>0.16</v>
      </c>
      <c r="AA49" t="s">
        <v>15955</v>
      </c>
      <c r="AB49" t="s">
        <v>1070</v>
      </c>
      <c r="AC49" t="s">
        <v>16596</v>
      </c>
      <c r="AF49" t="s">
        <v>14600</v>
      </c>
      <c r="AG49" t="s">
        <v>14485</v>
      </c>
      <c r="AH49" t="s">
        <v>988</v>
      </c>
      <c r="AI49" t="s">
        <v>14485</v>
      </c>
      <c r="AJ49" t="s">
        <v>14485</v>
      </c>
      <c r="AK49" t="s">
        <v>14485</v>
      </c>
      <c r="AL49" t="s">
        <v>14485</v>
      </c>
      <c r="AM49" t="s">
        <v>14485</v>
      </c>
      <c r="AN49" t="s">
        <v>14485</v>
      </c>
      <c r="AO49" t="str">
        <f>IF(A49="","",_xlfn.LET(
        _xlpm.rid,A49,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0" spans="1:41" x14ac:dyDescent="0.3">
      <c r="A50" s="224" t="s">
        <v>16262</v>
      </c>
      <c r="B50" s="224" t="s">
        <v>16696</v>
      </c>
      <c r="C50" s="224" t="s">
        <v>14992</v>
      </c>
      <c r="D50" s="224" t="s">
        <v>15617</v>
      </c>
      <c r="E50" s="20" t="s">
        <v>16697</v>
      </c>
      <c r="F50" s="224" t="s">
        <v>1125</v>
      </c>
      <c r="G50" s="224" t="s">
        <v>14697</v>
      </c>
      <c r="H50" s="224" t="s">
        <v>1134</v>
      </c>
      <c r="I50" s="361">
        <v>46389</v>
      </c>
      <c r="J50" s="361">
        <v>46391</v>
      </c>
      <c r="K50" s="361">
        <v>46392</v>
      </c>
      <c r="L50" s="224" t="s">
        <v>16263</v>
      </c>
      <c r="M50" s="224" t="s">
        <v>16128</v>
      </c>
      <c r="N50" s="224" t="s">
        <v>1070</v>
      </c>
      <c r="O50" s="224" t="str">
        <f t="shared" si="0"/>
        <v>🟡 Caution</v>
      </c>
      <c r="P50" s="426"/>
      <c r="Q50" s="224" t="str" cm="1">
        <f t="array" ref="Q50">IF(O50="","",IFERROR(_xlfn.TEXTJOIN(", ",TRUE,_xlfn._xlws.FILTER('[1]Environment Conflicts'!$A$9:$A$34,('[1]Environment Conflicts'!$E$9:$E$34=A50)+('[1]Environment Conflicts'!$F$9:$F$34=A50))),"-"))</f>
        <v>-</v>
      </c>
      <c r="R50" s="224" t="str" cm="1">
        <f t="array" ref="R50">IF(O50="","",IFERROR(_xlfn.TEXTJOIN(", ",TRUE,_xlfn._xlws.FILTER(IF('[1]Environment Conflicts'!$E$9:$E$34=A50,'[1]Environment Conflicts'!$F$9:$F$34,'[1]Environment Conflicts'!$E$9:$E$34),('[1]Environment Conflicts'!$E$9:$E$34=A50)+('[1]Environment Conflicts'!$F$9:$F$34=A50))),"-"))</f>
        <v>-</v>
      </c>
      <c r="S50" s="224" t="str" cm="1">
        <f t="array" ref="S50">IF(O50="","",IFERROR(_xlfn.TEXTJOIN(", ",TRUE,_xlfn._xlws.FILTER('[1]Environment Conflicts'!$J$9:$J$34,('[1]Environment Conflicts'!$E$9:$E$34=A50)+('[1]Environment Conflicts'!$F$9:$F$34=A50))),"-"))</f>
        <v>-</v>
      </c>
      <c r="T50" t="s">
        <v>16264</v>
      </c>
      <c r="V50" t="s">
        <v>1503</v>
      </c>
      <c r="X50" t="s">
        <v>14485</v>
      </c>
      <c r="Y50" s="37"/>
      <c r="Z50" s="37">
        <v>0.16</v>
      </c>
      <c r="AA50" t="s">
        <v>15960</v>
      </c>
      <c r="AB50" t="s">
        <v>1070</v>
      </c>
      <c r="AC50" t="s">
        <v>16600</v>
      </c>
      <c r="AF50" t="s">
        <v>16592</v>
      </c>
      <c r="AG50" t="s">
        <v>14485</v>
      </c>
      <c r="AH50" t="s">
        <v>14485</v>
      </c>
      <c r="AI50" t="s">
        <v>14485</v>
      </c>
      <c r="AJ50" t="s">
        <v>14485</v>
      </c>
      <c r="AK50" t="s">
        <v>14485</v>
      </c>
      <c r="AL50" t="s">
        <v>14485</v>
      </c>
      <c r="AM50" t="s">
        <v>14485</v>
      </c>
      <c r="AN50" t="s">
        <v>14485</v>
      </c>
      <c r="AO50" t="str">
        <f>IF(A50="","",_xlfn.LET(
        _xlpm.rid,A50,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1" spans="1:41" ht="28.8" x14ac:dyDescent="0.3">
      <c r="A51" s="224" t="s">
        <v>16266</v>
      </c>
      <c r="B51" s="224" t="s">
        <v>16698</v>
      </c>
      <c r="C51" s="224" t="s">
        <v>14991</v>
      </c>
      <c r="D51" s="224" t="s">
        <v>15652</v>
      </c>
      <c r="E51" s="20" t="s">
        <v>16699</v>
      </c>
      <c r="F51" s="224" t="s">
        <v>1128</v>
      </c>
      <c r="G51" s="224" t="s">
        <v>14697</v>
      </c>
      <c r="H51" s="224" t="s">
        <v>1132</v>
      </c>
      <c r="I51" s="361">
        <v>46392</v>
      </c>
      <c r="J51" s="361">
        <v>46395</v>
      </c>
      <c r="K51" s="361">
        <v>46397</v>
      </c>
      <c r="L51" s="224" t="s">
        <v>16131</v>
      </c>
      <c r="M51" s="224" t="s">
        <v>16132</v>
      </c>
      <c r="N51" s="224" t="s">
        <v>1070</v>
      </c>
      <c r="O51" s="224" t="str">
        <f t="shared" si="0"/>
        <v>🟡 Caution</v>
      </c>
      <c r="P51" s="426"/>
      <c r="Q51" s="224" t="str" cm="1">
        <f t="array" ref="Q51">IF(O51="","",IFERROR(_xlfn.TEXTJOIN(", ",TRUE,_xlfn._xlws.FILTER('[1]Environment Conflicts'!$A$9:$A$34,('[1]Environment Conflicts'!$E$9:$E$34=A51)+('[1]Environment Conflicts'!$F$9:$F$34=A51))),"-"))</f>
        <v>-</v>
      </c>
      <c r="R51" s="224" t="str" cm="1">
        <f t="array" ref="R51">IF(O51="","",IFERROR(_xlfn.TEXTJOIN(", ",TRUE,_xlfn._xlws.FILTER(IF('[1]Environment Conflicts'!$E$9:$E$34=A51,'[1]Environment Conflicts'!$F$9:$F$34,'[1]Environment Conflicts'!$E$9:$E$34),('[1]Environment Conflicts'!$E$9:$E$34=A51)+('[1]Environment Conflicts'!$F$9:$F$34=A51))),"-"))</f>
        <v>-</v>
      </c>
      <c r="S51" s="224" t="str" cm="1">
        <f t="array" ref="S51">IF(O51="","",IFERROR(_xlfn.TEXTJOIN(", ",TRUE,_xlfn._xlws.FILTER('[1]Environment Conflicts'!$J$9:$J$34,('[1]Environment Conflicts'!$E$9:$E$34=A51)+('[1]Environment Conflicts'!$F$9:$F$34=A51))),"-"))</f>
        <v>-</v>
      </c>
      <c r="T51" t="s">
        <v>16217</v>
      </c>
      <c r="X51" t="s">
        <v>14485</v>
      </c>
      <c r="Y51" s="37"/>
      <c r="Z51" s="37">
        <v>0.17</v>
      </c>
      <c r="AA51" t="s">
        <v>15963</v>
      </c>
      <c r="AB51" t="s">
        <v>1070</v>
      </c>
      <c r="AC51" t="s">
        <v>16603</v>
      </c>
      <c r="AD51" t="s">
        <v>16257</v>
      </c>
      <c r="AF51" t="s">
        <v>16592</v>
      </c>
      <c r="AG51" t="s">
        <v>14485</v>
      </c>
      <c r="AH51" t="s">
        <v>14485</v>
      </c>
      <c r="AI51" t="s">
        <v>14485</v>
      </c>
      <c r="AJ51" t="s">
        <v>14485</v>
      </c>
      <c r="AK51" t="s">
        <v>14485</v>
      </c>
      <c r="AL51" t="s">
        <v>14485</v>
      </c>
      <c r="AM51" t="s">
        <v>14485</v>
      </c>
      <c r="AN51" t="s">
        <v>14485</v>
      </c>
      <c r="AO51" t="str">
        <f>IF(A51="","",_xlfn.LET(
        _xlpm.rid,A51,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2" spans="1:41" x14ac:dyDescent="0.3">
      <c r="A52" s="224" t="s">
        <v>16268</v>
      </c>
      <c r="B52" s="224" t="s">
        <v>16700</v>
      </c>
      <c r="C52" s="224" t="s">
        <v>1159</v>
      </c>
      <c r="D52" s="224" t="s">
        <v>15676</v>
      </c>
      <c r="E52" s="20" t="s">
        <v>16701</v>
      </c>
      <c r="F52" s="224" t="s">
        <v>1122</v>
      </c>
      <c r="G52" s="224" t="s">
        <v>14689</v>
      </c>
      <c r="H52" s="224" t="s">
        <v>1138</v>
      </c>
      <c r="I52" s="361">
        <v>46397</v>
      </c>
      <c r="J52" s="361">
        <v>46399</v>
      </c>
      <c r="K52" s="361">
        <v>46399</v>
      </c>
      <c r="L52" s="224" t="s">
        <v>16269</v>
      </c>
      <c r="M52" s="224" t="s">
        <v>16244</v>
      </c>
      <c r="N52" s="224" t="s">
        <v>1070</v>
      </c>
      <c r="O52" s="224" t="str">
        <f t="shared" si="0"/>
        <v>🟡 Caution</v>
      </c>
      <c r="P52" s="426"/>
      <c r="Q52" s="224" t="str" cm="1">
        <f t="array" ref="Q52">IF(O52="","",IFERROR(_xlfn.TEXTJOIN(", ",TRUE,_xlfn._xlws.FILTER('[1]Environment Conflicts'!$A$9:$A$34,('[1]Environment Conflicts'!$E$9:$E$34=A52)+('[1]Environment Conflicts'!$F$9:$F$34=A52))),"-"))</f>
        <v>-</v>
      </c>
      <c r="R52" s="224" t="str" cm="1">
        <f t="array" ref="R52">IF(O52="","",IFERROR(_xlfn.TEXTJOIN(", ",TRUE,_xlfn._xlws.FILTER(IF('[1]Environment Conflicts'!$E$9:$E$34=A52,'[1]Environment Conflicts'!$F$9:$F$34,'[1]Environment Conflicts'!$E$9:$E$34),('[1]Environment Conflicts'!$E$9:$E$34=A52)+('[1]Environment Conflicts'!$F$9:$F$34=A52))),"-"))</f>
        <v>-</v>
      </c>
      <c r="S52" s="224" t="str" cm="1">
        <f t="array" ref="S52">IF(O52="","",IFERROR(_xlfn.TEXTJOIN(", ",TRUE,_xlfn._xlws.FILTER('[1]Environment Conflicts'!$J$9:$J$34,('[1]Environment Conflicts'!$E$9:$E$34=A52)+('[1]Environment Conflicts'!$F$9:$F$34=A52))),"-"))</f>
        <v>-</v>
      </c>
      <c r="T52" t="s">
        <v>16122</v>
      </c>
      <c r="X52" t="s">
        <v>14485</v>
      </c>
      <c r="Y52" s="37"/>
      <c r="Z52" s="37">
        <v>0.14000000000000001</v>
      </c>
      <c r="AA52" t="s">
        <v>15966</v>
      </c>
      <c r="AB52" t="s">
        <v>1070</v>
      </c>
      <c r="AC52" t="s">
        <v>16606</v>
      </c>
      <c r="AF52" t="s">
        <v>14600</v>
      </c>
      <c r="AG52" t="s">
        <v>14485</v>
      </c>
      <c r="AH52" t="s">
        <v>14485</v>
      </c>
      <c r="AI52" t="s">
        <v>14485</v>
      </c>
      <c r="AJ52" t="s">
        <v>14485</v>
      </c>
      <c r="AK52" t="s">
        <v>14485</v>
      </c>
      <c r="AL52" t="s">
        <v>14485</v>
      </c>
      <c r="AM52" t="s">
        <v>14485</v>
      </c>
      <c r="AN52" t="s">
        <v>14485</v>
      </c>
      <c r="AO52" t="str">
        <f>IF(A52="","",_xlfn.LET(
        _xlpm.rid,A52,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3" spans="1:41" x14ac:dyDescent="0.3">
      <c r="A53" s="224" t="s">
        <v>16271</v>
      </c>
      <c r="B53" s="224" t="s">
        <v>16702</v>
      </c>
      <c r="C53" s="224" t="s">
        <v>14990</v>
      </c>
      <c r="D53" s="224" t="s">
        <v>15717</v>
      </c>
      <c r="E53" s="20" t="s">
        <v>16649</v>
      </c>
      <c r="F53" s="224" t="s">
        <v>1125</v>
      </c>
      <c r="G53" s="224" t="s">
        <v>1125</v>
      </c>
      <c r="H53" s="224" t="s">
        <v>1136</v>
      </c>
      <c r="I53" s="361">
        <v>46401</v>
      </c>
      <c r="J53" s="361">
        <v>46403</v>
      </c>
      <c r="K53" s="361">
        <v>46404</v>
      </c>
      <c r="L53" s="224" t="s">
        <v>16198</v>
      </c>
      <c r="M53" s="224" t="s">
        <v>16199</v>
      </c>
      <c r="N53" s="224" t="s">
        <v>1070</v>
      </c>
      <c r="O53" s="224" t="str">
        <f t="shared" si="0"/>
        <v>🟡 Caution</v>
      </c>
      <c r="P53" s="426"/>
      <c r="Q53" s="224" t="str" cm="1">
        <f t="array" ref="Q53">IF(O53="","",IFERROR(_xlfn.TEXTJOIN(", ",TRUE,_xlfn._xlws.FILTER('[1]Environment Conflicts'!$A$9:$A$34,('[1]Environment Conflicts'!$E$9:$E$34=A53)+('[1]Environment Conflicts'!$F$9:$F$34=A53))),"-"))</f>
        <v>-</v>
      </c>
      <c r="R53" s="224" t="str" cm="1">
        <f t="array" ref="R53">IF(O53="","",IFERROR(_xlfn.TEXTJOIN(", ",TRUE,_xlfn._xlws.FILTER(IF('[1]Environment Conflicts'!$E$9:$E$34=A53,'[1]Environment Conflicts'!$F$9:$F$34,'[1]Environment Conflicts'!$E$9:$E$34),('[1]Environment Conflicts'!$E$9:$E$34=A53)+('[1]Environment Conflicts'!$F$9:$F$34=A53))),"-"))</f>
        <v>-</v>
      </c>
      <c r="S53" s="224" t="str" cm="1">
        <f t="array" ref="S53">IF(O53="","",IFERROR(_xlfn.TEXTJOIN(", ",TRUE,_xlfn._xlws.FILTER('[1]Environment Conflicts'!$J$9:$J$34,('[1]Environment Conflicts'!$E$9:$E$34=A53)+('[1]Environment Conflicts'!$F$9:$F$34=A53))),"-"))</f>
        <v>-</v>
      </c>
      <c r="T53" t="s">
        <v>16241</v>
      </c>
      <c r="X53" t="s">
        <v>14485</v>
      </c>
      <c r="Y53" s="37"/>
      <c r="Z53" s="37">
        <v>0.1</v>
      </c>
      <c r="AA53" t="s">
        <v>15969</v>
      </c>
      <c r="AB53" t="s">
        <v>1070</v>
      </c>
      <c r="AC53" t="s">
        <v>16610</v>
      </c>
      <c r="AF53" t="s">
        <v>16592</v>
      </c>
      <c r="AG53" t="s">
        <v>14485</v>
      </c>
      <c r="AH53" t="s">
        <v>14485</v>
      </c>
      <c r="AI53" t="s">
        <v>14485</v>
      </c>
      <c r="AJ53" t="s">
        <v>14485</v>
      </c>
      <c r="AK53" t="s">
        <v>14485</v>
      </c>
      <c r="AL53" t="s">
        <v>14485</v>
      </c>
      <c r="AM53" t="s">
        <v>14485</v>
      </c>
      <c r="AN53" t="s">
        <v>14485</v>
      </c>
      <c r="AO53" t="str">
        <f>IF(A53="","",_xlfn.LET(
        _xlpm.rid,A53,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4" spans="1:41" x14ac:dyDescent="0.3">
      <c r="A54" s="224" t="s">
        <v>16273</v>
      </c>
      <c r="B54" s="224" t="s">
        <v>16703</v>
      </c>
      <c r="C54" s="224" t="s">
        <v>152</v>
      </c>
      <c r="D54" s="224" t="s">
        <v>15744</v>
      </c>
      <c r="E54" s="20" t="s">
        <v>16652</v>
      </c>
      <c r="F54" s="224" t="s">
        <v>1122</v>
      </c>
      <c r="G54" s="224" t="s">
        <v>14689</v>
      </c>
      <c r="H54" s="224" t="s">
        <v>1138</v>
      </c>
      <c r="I54" s="361">
        <v>46405</v>
      </c>
      <c r="J54" s="361">
        <v>46407</v>
      </c>
      <c r="K54" s="361">
        <v>46407</v>
      </c>
      <c r="L54" s="224" t="s">
        <v>16251</v>
      </c>
      <c r="M54" s="224" t="s">
        <v>16274</v>
      </c>
      <c r="N54" s="224" t="s">
        <v>1070</v>
      </c>
      <c r="O54" s="224" t="str">
        <f t="shared" si="0"/>
        <v>🟡 Caution</v>
      </c>
      <c r="P54" s="426"/>
      <c r="Q54" s="224" t="str" cm="1">
        <f t="array" ref="Q54">IF(O54="","",IFERROR(_xlfn.TEXTJOIN(", ",TRUE,_xlfn._xlws.FILTER('[1]Environment Conflicts'!$A$9:$A$34,('[1]Environment Conflicts'!$E$9:$E$34=A54)+('[1]Environment Conflicts'!$F$9:$F$34=A54))),"-"))</f>
        <v>-</v>
      </c>
      <c r="R54" s="224" t="str" cm="1">
        <f t="array" ref="R54">IF(O54="","",IFERROR(_xlfn.TEXTJOIN(", ",TRUE,_xlfn._xlws.FILTER(IF('[1]Environment Conflicts'!$E$9:$E$34=A54,'[1]Environment Conflicts'!$F$9:$F$34,'[1]Environment Conflicts'!$E$9:$E$34),('[1]Environment Conflicts'!$E$9:$E$34=A54)+('[1]Environment Conflicts'!$F$9:$F$34=A54))),"-"))</f>
        <v>-</v>
      </c>
      <c r="S54" s="224" t="str" cm="1">
        <f t="array" ref="S54">IF(O54="","",IFERROR(_xlfn.TEXTJOIN(", ",TRUE,_xlfn._xlws.FILTER('[1]Environment Conflicts'!$J$9:$J$34,('[1]Environment Conflicts'!$E$9:$E$34=A54)+('[1]Environment Conflicts'!$F$9:$F$34=A54))),"-"))</f>
        <v>-</v>
      </c>
      <c r="T54" t="s">
        <v>16275</v>
      </c>
      <c r="X54" t="s">
        <v>14485</v>
      </c>
      <c r="Y54" s="37"/>
      <c r="Z54" s="37">
        <v>0.17</v>
      </c>
      <c r="AA54" t="s">
        <v>15972</v>
      </c>
      <c r="AB54" t="s">
        <v>1070</v>
      </c>
      <c r="AC54" t="s">
        <v>16613</v>
      </c>
      <c r="AF54" t="s">
        <v>1499</v>
      </c>
      <c r="AG54" t="s">
        <v>14485</v>
      </c>
      <c r="AH54" t="s">
        <v>14485</v>
      </c>
      <c r="AI54" t="s">
        <v>14485</v>
      </c>
      <c r="AJ54" t="s">
        <v>14485</v>
      </c>
      <c r="AK54" t="s">
        <v>14485</v>
      </c>
      <c r="AL54" t="s">
        <v>14485</v>
      </c>
      <c r="AM54" t="s">
        <v>14485</v>
      </c>
      <c r="AN54" t="s">
        <v>14485</v>
      </c>
      <c r="AO54" t="str">
        <f>IF(A54="","",_xlfn.LET(
        _xlpm.rid,A54,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5" spans="1:41" x14ac:dyDescent="0.3">
      <c r="A55" s="224" t="s">
        <v>16277</v>
      </c>
      <c r="B55" s="224" t="s">
        <v>16704</v>
      </c>
      <c r="C55" s="224" t="s">
        <v>1158</v>
      </c>
      <c r="D55" s="224" t="s">
        <v>15449</v>
      </c>
      <c r="E55" s="20" t="s">
        <v>16705</v>
      </c>
      <c r="F55" s="224" t="s">
        <v>1122</v>
      </c>
      <c r="G55" s="224" t="s">
        <v>14689</v>
      </c>
      <c r="H55" s="224" t="s">
        <v>1138</v>
      </c>
      <c r="I55" s="361">
        <v>46409</v>
      </c>
      <c r="J55" s="361">
        <v>46411</v>
      </c>
      <c r="K55" s="361">
        <v>46411</v>
      </c>
      <c r="L55" s="224" t="s">
        <v>16278</v>
      </c>
      <c r="M55" s="224" t="s">
        <v>16207</v>
      </c>
      <c r="N55" s="224" t="s">
        <v>1070</v>
      </c>
      <c r="O55" s="224" t="str">
        <f t="shared" si="0"/>
        <v>🟡 Caution</v>
      </c>
      <c r="P55" s="426"/>
      <c r="Q55" s="224" t="str" cm="1">
        <f t="array" ref="Q55">IF(O55="","",IFERROR(_xlfn.TEXTJOIN(", ",TRUE,_xlfn._xlws.FILTER('[1]Environment Conflicts'!$A$9:$A$34,('[1]Environment Conflicts'!$E$9:$E$34=A55)+('[1]Environment Conflicts'!$F$9:$F$34=A55))),"-"))</f>
        <v>-</v>
      </c>
      <c r="R55" s="224" t="str" cm="1">
        <f t="array" ref="R55">IF(O55="","",IFERROR(_xlfn.TEXTJOIN(", ",TRUE,_xlfn._xlws.FILTER(IF('[1]Environment Conflicts'!$E$9:$E$34=A55,'[1]Environment Conflicts'!$F$9:$F$34,'[1]Environment Conflicts'!$E$9:$E$34),('[1]Environment Conflicts'!$E$9:$E$34=A55)+('[1]Environment Conflicts'!$F$9:$F$34=A55))),"-"))</f>
        <v>-</v>
      </c>
      <c r="S55" s="224" t="str" cm="1">
        <f t="array" ref="S55">IF(O55="","",IFERROR(_xlfn.TEXTJOIN(", ",TRUE,_xlfn._xlws.FILTER('[1]Environment Conflicts'!$J$9:$J$34,('[1]Environment Conflicts'!$E$9:$E$34=A55)+('[1]Environment Conflicts'!$F$9:$F$34=A55))),"-"))</f>
        <v>-</v>
      </c>
      <c r="T55" t="s">
        <v>16208</v>
      </c>
      <c r="X55" t="s">
        <v>14485</v>
      </c>
      <c r="Y55" s="37"/>
      <c r="Z55" s="37">
        <v>0.18</v>
      </c>
      <c r="AA55" t="s">
        <v>15975</v>
      </c>
      <c r="AB55" t="s">
        <v>1070</v>
      </c>
      <c r="AC55" t="s">
        <v>16588</v>
      </c>
      <c r="AD55" t="s">
        <v>16706</v>
      </c>
      <c r="AE55" t="s">
        <v>16657</v>
      </c>
      <c r="AF55" t="s">
        <v>1499</v>
      </c>
      <c r="AG55" t="s">
        <v>14485</v>
      </c>
      <c r="AH55" t="s">
        <v>14485</v>
      </c>
      <c r="AI55" t="s">
        <v>14485</v>
      </c>
      <c r="AJ55" t="s">
        <v>14485</v>
      </c>
      <c r="AK55" t="s">
        <v>14485</v>
      </c>
      <c r="AL55" t="s">
        <v>14485</v>
      </c>
      <c r="AM55" t="s">
        <v>14485</v>
      </c>
      <c r="AN55" t="s">
        <v>14485</v>
      </c>
      <c r="AO55" t="str">
        <f>IF(A55="","",_xlfn.LET(
        _xlpm.rid,A55,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6" spans="1:41" ht="28.8" x14ac:dyDescent="0.3">
      <c r="A56" s="224" t="s">
        <v>16280</v>
      </c>
      <c r="B56" s="224" t="s">
        <v>16707</v>
      </c>
      <c r="C56" s="224" t="s">
        <v>14994</v>
      </c>
      <c r="D56" s="224" t="s">
        <v>15560</v>
      </c>
      <c r="E56" s="20" t="s">
        <v>16708</v>
      </c>
      <c r="F56" s="224" t="s">
        <v>1122</v>
      </c>
      <c r="G56" s="224" t="s">
        <v>14689</v>
      </c>
      <c r="H56" s="224" t="s">
        <v>1138</v>
      </c>
      <c r="I56" s="361">
        <v>46416</v>
      </c>
      <c r="J56" s="361">
        <v>46418</v>
      </c>
      <c r="K56" s="361">
        <v>46418</v>
      </c>
      <c r="L56" s="224" t="s">
        <v>16119</v>
      </c>
      <c r="M56" s="224" t="s">
        <v>16179</v>
      </c>
      <c r="N56" s="224" t="s">
        <v>1070</v>
      </c>
      <c r="O56" s="224" t="str">
        <f t="shared" si="0"/>
        <v>🟡 Caution</v>
      </c>
      <c r="P56" s="426"/>
      <c r="Q56" s="224" t="str" cm="1">
        <f t="array" ref="Q56">IF(O56="","",IFERROR(_xlfn.TEXTJOIN(", ",TRUE,_xlfn._xlws.FILTER('[1]Environment Conflicts'!$A$9:$A$34,('[1]Environment Conflicts'!$E$9:$E$34=A56)+('[1]Environment Conflicts'!$F$9:$F$34=A56))),"-"))</f>
        <v>-</v>
      </c>
      <c r="R56" s="224" t="str" cm="1">
        <f t="array" ref="R56">IF(O56="","",IFERROR(_xlfn.TEXTJOIN(", ",TRUE,_xlfn._xlws.FILTER(IF('[1]Environment Conflicts'!$E$9:$E$34=A56,'[1]Environment Conflicts'!$F$9:$F$34,'[1]Environment Conflicts'!$E$9:$E$34),('[1]Environment Conflicts'!$E$9:$E$34=A56)+('[1]Environment Conflicts'!$F$9:$F$34=A56))),"-"))</f>
        <v>-</v>
      </c>
      <c r="S56" s="224" t="str" cm="1">
        <f t="array" ref="S56">IF(O56="","",IFERROR(_xlfn.TEXTJOIN(", ",TRUE,_xlfn._xlws.FILTER('[1]Environment Conflicts'!$J$9:$J$34,('[1]Environment Conflicts'!$E$9:$E$34=A56)+('[1]Environment Conflicts'!$F$9:$F$34=A56))),"-"))</f>
        <v>-</v>
      </c>
      <c r="T56" t="s">
        <v>16227</v>
      </c>
      <c r="X56" t="s">
        <v>14485</v>
      </c>
      <c r="Y56" s="37"/>
      <c r="Z56" s="37">
        <v>0</v>
      </c>
      <c r="AA56" t="s">
        <v>15978</v>
      </c>
      <c r="AB56" t="s">
        <v>1070</v>
      </c>
      <c r="AC56" t="s">
        <v>16591</v>
      </c>
      <c r="AF56" t="s">
        <v>14600</v>
      </c>
      <c r="AG56" t="s">
        <v>14485</v>
      </c>
      <c r="AH56" t="s">
        <v>14485</v>
      </c>
      <c r="AI56" t="s">
        <v>14485</v>
      </c>
      <c r="AJ56" t="s">
        <v>14485</v>
      </c>
      <c r="AK56" t="s">
        <v>14485</v>
      </c>
      <c r="AL56" t="s">
        <v>14485</v>
      </c>
      <c r="AM56" t="s">
        <v>14485</v>
      </c>
      <c r="AN56" t="s">
        <v>14485</v>
      </c>
      <c r="AO56" t="str">
        <f>IF(A56="","",_xlfn.LET(
        _xlpm.rid,A56,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7" spans="1:41" x14ac:dyDescent="0.3">
      <c r="A57" s="224" t="s">
        <v>16282</v>
      </c>
      <c r="B57" s="224" t="s">
        <v>16709</v>
      </c>
      <c r="C57" s="224" t="s">
        <v>14993</v>
      </c>
      <c r="D57" s="224" t="s">
        <v>15596</v>
      </c>
      <c r="E57" s="20" t="s">
        <v>16710</v>
      </c>
      <c r="F57" s="224" t="s">
        <v>1125</v>
      </c>
      <c r="G57" s="224" t="s">
        <v>1125</v>
      </c>
      <c r="H57" s="224" t="s">
        <v>1134</v>
      </c>
      <c r="I57" s="361">
        <v>46420</v>
      </c>
      <c r="J57" s="361">
        <v>46422</v>
      </c>
      <c r="K57" s="361">
        <v>46423</v>
      </c>
      <c r="L57" s="224" t="s">
        <v>16283</v>
      </c>
      <c r="M57" s="224" t="s">
        <v>16184</v>
      </c>
      <c r="N57" s="224" t="s">
        <v>1070</v>
      </c>
      <c r="O57" s="224" t="str">
        <f t="shared" si="0"/>
        <v>🟡 Caution</v>
      </c>
      <c r="P57" s="426"/>
      <c r="Q57" s="224" t="str" cm="1">
        <f t="array" ref="Q57">IF(O57="","",IFERROR(_xlfn.TEXTJOIN(", ",TRUE,_xlfn._xlws.FILTER('[1]Environment Conflicts'!$A$9:$A$34,('[1]Environment Conflicts'!$E$9:$E$34=A57)+('[1]Environment Conflicts'!$F$9:$F$34=A57))),"-"))</f>
        <v>-</v>
      </c>
      <c r="R57" s="224" t="str" cm="1">
        <f t="array" ref="R57">IF(O57="","",IFERROR(_xlfn.TEXTJOIN(", ",TRUE,_xlfn._xlws.FILTER(IF('[1]Environment Conflicts'!$E$9:$E$34=A57,'[1]Environment Conflicts'!$F$9:$F$34,'[1]Environment Conflicts'!$E$9:$E$34),('[1]Environment Conflicts'!$E$9:$E$34=A57)+('[1]Environment Conflicts'!$F$9:$F$34=A57))),"-"))</f>
        <v>-</v>
      </c>
      <c r="S57" s="224" t="str" cm="1">
        <f t="array" ref="S57">IF(O57="","",IFERROR(_xlfn.TEXTJOIN(", ",TRUE,_xlfn._xlws.FILTER('[1]Environment Conflicts'!$J$9:$J$34,('[1]Environment Conflicts'!$E$9:$E$34=A57)+('[1]Environment Conflicts'!$F$9:$F$34=A57))),"-"))</f>
        <v>-</v>
      </c>
      <c r="T57" t="s">
        <v>16284</v>
      </c>
      <c r="X57" t="s">
        <v>14485</v>
      </c>
      <c r="Y57" s="37"/>
      <c r="Z57" s="37">
        <v>0.03</v>
      </c>
      <c r="AA57" t="s">
        <v>15768</v>
      </c>
      <c r="AB57" t="s">
        <v>1070</v>
      </c>
      <c r="AC57" t="s">
        <v>16596</v>
      </c>
      <c r="AF57" t="s">
        <v>14600</v>
      </c>
      <c r="AG57" t="s">
        <v>14485</v>
      </c>
      <c r="AH57" t="s">
        <v>14485</v>
      </c>
      <c r="AI57" t="s">
        <v>14485</v>
      </c>
      <c r="AJ57" t="s">
        <v>14485</v>
      </c>
      <c r="AK57" t="s">
        <v>14485</v>
      </c>
      <c r="AL57" t="s">
        <v>14485</v>
      </c>
      <c r="AM57" t="s">
        <v>14485</v>
      </c>
      <c r="AN57" t="s">
        <v>14485</v>
      </c>
      <c r="AO57" t="str">
        <f>IF(A57="","",_xlfn.LET(
        _xlpm.rid,A57,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8" spans="1:41" x14ac:dyDescent="0.3">
      <c r="A58" s="224" t="s">
        <v>16286</v>
      </c>
      <c r="B58" s="224" t="s">
        <v>16711</v>
      </c>
      <c r="C58" s="224" t="s">
        <v>14992</v>
      </c>
      <c r="D58" s="224" t="s">
        <v>15614</v>
      </c>
      <c r="E58" s="20" t="s">
        <v>16663</v>
      </c>
      <c r="F58" s="224" t="s">
        <v>1122</v>
      </c>
      <c r="G58" s="224" t="s">
        <v>14689</v>
      </c>
      <c r="H58" s="224" t="s">
        <v>1138</v>
      </c>
      <c r="I58" s="361">
        <v>46424</v>
      </c>
      <c r="J58" s="361">
        <v>46426</v>
      </c>
      <c r="K58" s="361">
        <v>46426</v>
      </c>
      <c r="L58" s="224" t="s">
        <v>16263</v>
      </c>
      <c r="M58" s="224" t="s">
        <v>16128</v>
      </c>
      <c r="N58" s="224" t="s">
        <v>1070</v>
      </c>
      <c r="O58" s="224" t="str">
        <f t="shared" si="0"/>
        <v>🟡 Caution</v>
      </c>
      <c r="P58" s="426"/>
      <c r="Q58" s="224" t="str" cm="1">
        <f t="array" ref="Q58">IF(O58="","",IFERROR(_xlfn.TEXTJOIN(", ",TRUE,_xlfn._xlws.FILTER('[1]Environment Conflicts'!$A$9:$A$34,('[1]Environment Conflicts'!$E$9:$E$34=A58)+('[1]Environment Conflicts'!$F$9:$F$34=A58))),"-"))</f>
        <v>-</v>
      </c>
      <c r="R58" s="224" t="str" cm="1">
        <f t="array" ref="R58">IF(O58="","",IFERROR(_xlfn.TEXTJOIN(", ",TRUE,_xlfn._xlws.FILTER(IF('[1]Environment Conflicts'!$E$9:$E$34=A58,'[1]Environment Conflicts'!$F$9:$F$34,'[1]Environment Conflicts'!$E$9:$E$34),('[1]Environment Conflicts'!$E$9:$E$34=A58)+('[1]Environment Conflicts'!$F$9:$F$34=A58))),"-"))</f>
        <v>-</v>
      </c>
      <c r="S58" s="224" t="str" cm="1">
        <f t="array" ref="S58">IF(O58="","",IFERROR(_xlfn.TEXTJOIN(", ",TRUE,_xlfn._xlws.FILTER('[1]Environment Conflicts'!$J$9:$J$34,('[1]Environment Conflicts'!$E$9:$E$34=A58)+('[1]Environment Conflicts'!$F$9:$F$34=A58))),"-"))</f>
        <v>-</v>
      </c>
      <c r="T58" t="s">
        <v>16208</v>
      </c>
      <c r="X58" t="s">
        <v>14485</v>
      </c>
      <c r="Y58" s="37"/>
      <c r="Z58" s="37">
        <v>0.12</v>
      </c>
      <c r="AA58" t="s">
        <v>15772</v>
      </c>
      <c r="AB58" t="s">
        <v>1070</v>
      </c>
      <c r="AC58" t="s">
        <v>16600</v>
      </c>
      <c r="AF58" t="s">
        <v>1499</v>
      </c>
      <c r="AG58" t="s">
        <v>14485</v>
      </c>
      <c r="AH58" t="s">
        <v>14485</v>
      </c>
      <c r="AI58" t="s">
        <v>14485</v>
      </c>
      <c r="AJ58" t="s">
        <v>14485</v>
      </c>
      <c r="AK58" t="s">
        <v>14485</v>
      </c>
      <c r="AL58" t="s">
        <v>14485</v>
      </c>
      <c r="AM58" t="s">
        <v>14485</v>
      </c>
      <c r="AN58" t="s">
        <v>14485</v>
      </c>
      <c r="AO58" t="str">
        <f>IF(A58="","",_xlfn.LET(
        _xlpm.rid,A58,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9" spans="1:41" x14ac:dyDescent="0.3">
      <c r="A59" s="224" t="s">
        <v>16288</v>
      </c>
      <c r="B59" s="224" t="s">
        <v>16712</v>
      </c>
      <c r="C59" s="224" t="s">
        <v>14991</v>
      </c>
      <c r="D59" s="224" t="s">
        <v>15652</v>
      </c>
      <c r="E59" s="20" t="s">
        <v>16713</v>
      </c>
      <c r="F59" s="224" t="s">
        <v>1128</v>
      </c>
      <c r="G59" s="224" t="s">
        <v>14697</v>
      </c>
      <c r="H59" s="224" t="s">
        <v>1132</v>
      </c>
      <c r="I59" s="361">
        <v>46427</v>
      </c>
      <c r="J59" s="361">
        <v>46430</v>
      </c>
      <c r="K59" s="361">
        <v>46432</v>
      </c>
      <c r="L59" s="224" t="s">
        <v>16161</v>
      </c>
      <c r="M59" s="224" t="s">
        <v>16240</v>
      </c>
      <c r="N59" s="224" t="s">
        <v>1070</v>
      </c>
      <c r="O59" s="224" t="str">
        <f t="shared" si="0"/>
        <v>🟡 Caution</v>
      </c>
      <c r="P59" s="426"/>
      <c r="Q59" s="224" t="str" cm="1">
        <f t="array" ref="Q59">IF(O59="","",IFERROR(_xlfn.TEXTJOIN(", ",TRUE,_xlfn._xlws.FILTER('[1]Environment Conflicts'!$A$9:$A$34,('[1]Environment Conflicts'!$E$9:$E$34=A59)+('[1]Environment Conflicts'!$F$9:$F$34=A59))),"-"))</f>
        <v>-</v>
      </c>
      <c r="R59" s="224" t="str" cm="1">
        <f t="array" ref="R59">IF(O59="","",IFERROR(_xlfn.TEXTJOIN(", ",TRUE,_xlfn._xlws.FILTER(IF('[1]Environment Conflicts'!$E$9:$E$34=A59,'[1]Environment Conflicts'!$F$9:$F$34,'[1]Environment Conflicts'!$E$9:$E$34),('[1]Environment Conflicts'!$E$9:$E$34=A59)+('[1]Environment Conflicts'!$F$9:$F$34=A59))),"-"))</f>
        <v>-</v>
      </c>
      <c r="S59" s="224" t="str" cm="1">
        <f t="array" ref="S59">IF(O59="","",IFERROR(_xlfn.TEXTJOIN(", ",TRUE,_xlfn._xlws.FILTER('[1]Environment Conflicts'!$J$9:$J$34,('[1]Environment Conflicts'!$E$9:$E$34=A59)+('[1]Environment Conflicts'!$F$9:$F$34=A59))),"-"))</f>
        <v>-</v>
      </c>
      <c r="T59" t="s">
        <v>16224</v>
      </c>
      <c r="X59" t="s">
        <v>14485</v>
      </c>
      <c r="Y59" s="37"/>
      <c r="Z59" s="37">
        <v>0.06</v>
      </c>
      <c r="AA59" t="s">
        <v>15775</v>
      </c>
      <c r="AB59" t="s">
        <v>1070</v>
      </c>
      <c r="AC59" t="s">
        <v>16603</v>
      </c>
      <c r="AD59" t="s">
        <v>16282</v>
      </c>
      <c r="AF59" t="s">
        <v>16592</v>
      </c>
      <c r="AG59" t="s">
        <v>14485</v>
      </c>
      <c r="AH59" t="s">
        <v>14485</v>
      </c>
      <c r="AI59" t="s">
        <v>14485</v>
      </c>
      <c r="AJ59" t="s">
        <v>14485</v>
      </c>
      <c r="AK59" t="s">
        <v>14485</v>
      </c>
      <c r="AL59" t="s">
        <v>14485</v>
      </c>
      <c r="AM59" t="s">
        <v>14485</v>
      </c>
      <c r="AN59" t="s">
        <v>14485</v>
      </c>
      <c r="AO59" t="str">
        <f>IF(A59="","",_xlfn.LET(
        _xlpm.rid,A59,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0" spans="1:41" x14ac:dyDescent="0.3">
      <c r="A60" s="224" t="s">
        <v>16290</v>
      </c>
      <c r="B60" s="224" t="s">
        <v>16714</v>
      </c>
      <c r="C60" s="224" t="s">
        <v>1159</v>
      </c>
      <c r="D60" s="224" t="s">
        <v>15673</v>
      </c>
      <c r="E60" s="20" t="s">
        <v>16715</v>
      </c>
      <c r="F60" s="224" t="s">
        <v>1128</v>
      </c>
      <c r="G60" s="224" t="s">
        <v>14697</v>
      </c>
      <c r="H60" s="224" t="s">
        <v>1134</v>
      </c>
      <c r="I60" s="361">
        <v>46431</v>
      </c>
      <c r="J60" s="361">
        <v>46434</v>
      </c>
      <c r="K60" s="361">
        <v>46436</v>
      </c>
      <c r="L60" s="224" t="s">
        <v>16136</v>
      </c>
      <c r="M60" s="224" t="s">
        <v>16137</v>
      </c>
      <c r="N60" s="224" t="s">
        <v>1070</v>
      </c>
      <c r="O60" s="224" t="str">
        <f t="shared" si="0"/>
        <v>🟡 Caution</v>
      </c>
      <c r="P60" s="426"/>
      <c r="Q60" s="224" t="str" cm="1">
        <f t="array" ref="Q60">IF(O60="","",IFERROR(_xlfn.TEXTJOIN(", ",TRUE,_xlfn._xlws.FILTER('[1]Environment Conflicts'!$A$9:$A$34,('[1]Environment Conflicts'!$E$9:$E$34=A60)+('[1]Environment Conflicts'!$F$9:$F$34=A60))),"-"))</f>
        <v>-</v>
      </c>
      <c r="R60" s="224" t="str" cm="1">
        <f t="array" ref="R60">IF(O60="","",IFERROR(_xlfn.TEXTJOIN(", ",TRUE,_xlfn._xlws.FILTER(IF('[1]Environment Conflicts'!$E$9:$E$34=A60,'[1]Environment Conflicts'!$F$9:$F$34,'[1]Environment Conflicts'!$E$9:$E$34),('[1]Environment Conflicts'!$E$9:$E$34=A60)+('[1]Environment Conflicts'!$F$9:$F$34=A60))),"-"))</f>
        <v>-</v>
      </c>
      <c r="S60" s="224" t="str" cm="1">
        <f t="array" ref="S60">IF(O60="","",IFERROR(_xlfn.TEXTJOIN(", ",TRUE,_xlfn._xlws.FILTER('[1]Environment Conflicts'!$J$9:$J$34,('[1]Environment Conflicts'!$E$9:$E$34=A60)+('[1]Environment Conflicts'!$F$9:$F$34=A60))),"-"))</f>
        <v>-</v>
      </c>
      <c r="T60" t="s">
        <v>16291</v>
      </c>
      <c r="X60" t="s">
        <v>14485</v>
      </c>
      <c r="Y60" s="37"/>
      <c r="Z60" s="37">
        <v>0.02</v>
      </c>
      <c r="AA60" t="s">
        <v>15778</v>
      </c>
      <c r="AB60" t="s">
        <v>1070</v>
      </c>
      <c r="AC60" t="s">
        <v>16606</v>
      </c>
      <c r="AF60" t="s">
        <v>16592</v>
      </c>
      <c r="AG60" t="s">
        <v>14485</v>
      </c>
      <c r="AH60" t="s">
        <v>14485</v>
      </c>
      <c r="AI60" t="s">
        <v>14485</v>
      </c>
      <c r="AJ60" t="s">
        <v>14485</v>
      </c>
      <c r="AK60" t="s">
        <v>14485</v>
      </c>
      <c r="AL60" t="s">
        <v>14485</v>
      </c>
      <c r="AM60" t="s">
        <v>14485</v>
      </c>
      <c r="AN60" t="s">
        <v>14485</v>
      </c>
      <c r="AO60" t="str">
        <f>IF(A60="","",_xlfn.LET(
        _xlpm.rid,A60,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1" spans="1:41" ht="28.8" x14ac:dyDescent="0.3">
      <c r="A61" s="224" t="s">
        <v>16293</v>
      </c>
      <c r="B61" s="224" t="s">
        <v>16716</v>
      </c>
      <c r="C61" s="224" t="s">
        <v>14990</v>
      </c>
      <c r="D61" s="224" t="s">
        <v>15717</v>
      </c>
      <c r="E61" s="20" t="s">
        <v>16717</v>
      </c>
      <c r="F61" s="224" t="s">
        <v>1128</v>
      </c>
      <c r="G61" s="224" t="s">
        <v>14697</v>
      </c>
      <c r="H61" s="224" t="s">
        <v>1132</v>
      </c>
      <c r="I61" s="361">
        <v>46435</v>
      </c>
      <c r="J61" s="361">
        <v>46438</v>
      </c>
      <c r="K61" s="361">
        <v>46440</v>
      </c>
      <c r="L61" s="224" t="s">
        <v>16247</v>
      </c>
      <c r="M61" s="224" t="s">
        <v>16248</v>
      </c>
      <c r="N61" s="224" t="s">
        <v>1070</v>
      </c>
      <c r="O61" s="224" t="str">
        <f t="shared" si="0"/>
        <v>🟡 Caution</v>
      </c>
      <c r="P61" s="426"/>
      <c r="Q61" s="224" t="str" cm="1">
        <f t="array" ref="Q61">IF(O61="","",IFERROR(_xlfn.TEXTJOIN(", ",TRUE,_xlfn._xlws.FILTER('[1]Environment Conflicts'!$A$9:$A$34,('[1]Environment Conflicts'!$E$9:$E$34=A61)+('[1]Environment Conflicts'!$F$9:$F$34=A61))),"-"))</f>
        <v>-</v>
      </c>
      <c r="R61" s="224" t="str" cm="1">
        <f t="array" ref="R61">IF(O61="","",IFERROR(_xlfn.TEXTJOIN(", ",TRUE,_xlfn._xlws.FILTER(IF('[1]Environment Conflicts'!$E$9:$E$34=A61,'[1]Environment Conflicts'!$F$9:$F$34,'[1]Environment Conflicts'!$E$9:$E$34),('[1]Environment Conflicts'!$E$9:$E$34=A61)+('[1]Environment Conflicts'!$F$9:$F$34=A61))),"-"))</f>
        <v>-</v>
      </c>
      <c r="S61" s="224" t="str" cm="1">
        <f t="array" ref="S61">IF(O61="","",IFERROR(_xlfn.TEXTJOIN(", ",TRUE,_xlfn._xlws.FILTER('[1]Environment Conflicts'!$J$9:$J$34,('[1]Environment Conflicts'!$E$9:$E$34=A61)+('[1]Environment Conflicts'!$F$9:$F$34=A61))),"-"))</f>
        <v>-</v>
      </c>
      <c r="T61" t="s">
        <v>16294</v>
      </c>
      <c r="X61" t="s">
        <v>14485</v>
      </c>
      <c r="Y61" s="37"/>
      <c r="Z61" s="37">
        <v>0</v>
      </c>
      <c r="AA61" t="s">
        <v>15781</v>
      </c>
      <c r="AB61" t="s">
        <v>1070</v>
      </c>
      <c r="AC61" t="s">
        <v>16610</v>
      </c>
      <c r="AE61" t="s">
        <v>16669</v>
      </c>
      <c r="AF61" t="s">
        <v>16592</v>
      </c>
      <c r="AG61" t="s">
        <v>14485</v>
      </c>
      <c r="AH61" t="s">
        <v>14485</v>
      </c>
      <c r="AI61" t="s">
        <v>14485</v>
      </c>
      <c r="AJ61" t="s">
        <v>14485</v>
      </c>
      <c r="AK61" t="s">
        <v>14485</v>
      </c>
      <c r="AL61" t="s">
        <v>14485</v>
      </c>
      <c r="AM61" t="s">
        <v>14485</v>
      </c>
      <c r="AN61" t="s">
        <v>14485</v>
      </c>
      <c r="AO61" t="str">
        <f>IF(A61="","",_xlfn.LET(
        _xlpm.rid,A61,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2" spans="1:41" x14ac:dyDescent="0.3">
      <c r="A62" s="224" t="s">
        <v>16296</v>
      </c>
      <c r="B62" s="224" t="s">
        <v>16718</v>
      </c>
      <c r="C62" s="224" t="s">
        <v>152</v>
      </c>
      <c r="D62" s="224" t="s">
        <v>15744</v>
      </c>
      <c r="E62" s="20" t="s">
        <v>16719</v>
      </c>
      <c r="F62" s="224" t="s">
        <v>1125</v>
      </c>
      <c r="G62" s="224" t="s">
        <v>1125</v>
      </c>
      <c r="H62" s="224" t="s">
        <v>1134</v>
      </c>
      <c r="I62" s="361">
        <v>46440</v>
      </c>
      <c r="J62" s="361">
        <v>46442</v>
      </c>
      <c r="K62" s="361">
        <v>46443</v>
      </c>
      <c r="L62" s="224" t="s">
        <v>16144</v>
      </c>
      <c r="M62" s="224" t="s">
        <v>16145</v>
      </c>
      <c r="N62" s="224" t="s">
        <v>1070</v>
      </c>
      <c r="O62" s="224" t="str">
        <f t="shared" si="0"/>
        <v>🔴 Critical</v>
      </c>
      <c r="P62" s="426" t="s">
        <v>16115</v>
      </c>
      <c r="Q62" s="224" t="str" cm="1">
        <f t="array" ref="Q62">IF(O62="","",IFERROR(_xlfn.TEXTJOIN(", ",TRUE,_xlfn._xlws.FILTER('[1]Environment Conflicts'!$A$9:$A$34,('[1]Environment Conflicts'!$E$9:$E$34=A62)+('[1]Environment Conflicts'!$F$9:$F$34=A62))),"-"))</f>
        <v>CNF-0014, CNF-0024</v>
      </c>
      <c r="R62" s="224" t="str" cm="1">
        <f t="array" ref="R62">IF(O62="","",IFERROR(_xlfn.TEXTJOIN(", ",TRUE,_xlfn._xlws.FILTER(IF('[1]Environment Conflicts'!$E$9:$E$34=A62,'[1]Environment Conflicts'!$F$9:$F$34,'[1]Environment Conflicts'!$E$9:$E$34),('[1]Environment Conflicts'!$E$9:$E$34=A62)+('[1]Environment Conflicts'!$F$9:$F$34=A62))),"-"))</f>
        <v>REL-0058, REL-0058</v>
      </c>
      <c r="S62" s="224" t="str" cm="1">
        <f t="array" ref="S62">IF(O62="","",IFERROR(_xlfn.TEXTJOIN(", ",TRUE,_xlfn._xlws.FILTER('[1]Environment Conflicts'!$J$9:$J$34,('[1]Environment Conflicts'!$E$9:$E$34=A62)+('[1]Environment Conflicts'!$F$9:$F$34=A62))),"-"))</f>
        <v>Overlapping Test/UAT window, Overlapping Test/UAT window</v>
      </c>
      <c r="T62" t="s">
        <v>16297</v>
      </c>
      <c r="X62" t="s">
        <v>14485</v>
      </c>
      <c r="Y62" s="37"/>
      <c r="Z62" s="37">
        <v>0.17</v>
      </c>
      <c r="AA62" t="s">
        <v>15784</v>
      </c>
      <c r="AB62" t="s">
        <v>1070</v>
      </c>
      <c r="AC62" t="s">
        <v>16613</v>
      </c>
      <c r="AF62" t="s">
        <v>16592</v>
      </c>
      <c r="AG62" t="s">
        <v>14485</v>
      </c>
      <c r="AH62" t="s">
        <v>14485</v>
      </c>
      <c r="AI62" t="s">
        <v>14485</v>
      </c>
      <c r="AJ62" t="s">
        <v>14485</v>
      </c>
      <c r="AK62" t="s">
        <v>14485</v>
      </c>
      <c r="AL62" t="s">
        <v>14485</v>
      </c>
      <c r="AM62" t="s">
        <v>14485</v>
      </c>
      <c r="AN62" t="s">
        <v>14485</v>
      </c>
      <c r="AO62" t="str">
        <f>IF(A62="","",_xlfn.LET(
        _xlpm.rid,A62,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3" spans="1:41" x14ac:dyDescent="0.3">
      <c r="A63" s="224" t="s">
        <v>16300</v>
      </c>
      <c r="B63" s="224" t="s">
        <v>16720</v>
      </c>
      <c r="C63" s="224" t="s">
        <v>1158</v>
      </c>
      <c r="D63" s="224" t="s">
        <v>15476</v>
      </c>
      <c r="E63" s="20" t="s">
        <v>16721</v>
      </c>
      <c r="F63" s="224" t="s">
        <v>1125</v>
      </c>
      <c r="G63" s="224" t="s">
        <v>1125</v>
      </c>
      <c r="H63" s="224" t="s">
        <v>1136</v>
      </c>
      <c r="I63" s="361">
        <v>46444</v>
      </c>
      <c r="J63" s="361">
        <v>46446</v>
      </c>
      <c r="K63" s="361">
        <v>46447</v>
      </c>
      <c r="L63" s="224" t="s">
        <v>16278</v>
      </c>
      <c r="M63" s="224" t="s">
        <v>16113</v>
      </c>
      <c r="N63" s="224" t="s">
        <v>1070</v>
      </c>
      <c r="O63" s="224" t="str">
        <f t="shared" si="0"/>
        <v>🟡 Caution</v>
      </c>
      <c r="P63" s="426"/>
      <c r="Q63" s="224" t="str" cm="1">
        <f t="array" ref="Q63">IF(O63="","",IFERROR(_xlfn.TEXTJOIN(", ",TRUE,_xlfn._xlws.FILTER('[1]Environment Conflicts'!$A$9:$A$34,('[1]Environment Conflicts'!$E$9:$E$34=A63)+('[1]Environment Conflicts'!$F$9:$F$34=A63))),"-"))</f>
        <v>-</v>
      </c>
      <c r="R63" s="224" t="str" cm="1">
        <f t="array" ref="R63">IF(O63="","",IFERROR(_xlfn.TEXTJOIN(", ",TRUE,_xlfn._xlws.FILTER(IF('[1]Environment Conflicts'!$E$9:$E$34=A63,'[1]Environment Conflicts'!$F$9:$F$34,'[1]Environment Conflicts'!$E$9:$E$34),('[1]Environment Conflicts'!$E$9:$E$34=A63)+('[1]Environment Conflicts'!$F$9:$F$34=A63))),"-"))</f>
        <v>-</v>
      </c>
      <c r="S63" s="224" t="str" cm="1">
        <f t="array" ref="S63">IF(O63="","",IFERROR(_xlfn.TEXTJOIN(", ",TRUE,_xlfn._xlws.FILTER('[1]Environment Conflicts'!$J$9:$J$34,('[1]Environment Conflicts'!$E$9:$E$34=A63)+('[1]Environment Conflicts'!$F$9:$F$34=A63))),"-"))</f>
        <v>-</v>
      </c>
      <c r="T63" t="s">
        <v>16275</v>
      </c>
      <c r="X63" t="s">
        <v>14485</v>
      </c>
      <c r="Y63" s="37"/>
      <c r="Z63" s="37">
        <v>0.05</v>
      </c>
      <c r="AA63" t="s">
        <v>15955</v>
      </c>
      <c r="AB63" t="s">
        <v>1070</v>
      </c>
      <c r="AC63" t="s">
        <v>16588</v>
      </c>
      <c r="AD63" t="s">
        <v>16722</v>
      </c>
      <c r="AF63" t="s">
        <v>14600</v>
      </c>
      <c r="AG63" t="s">
        <v>14485</v>
      </c>
      <c r="AH63" t="s">
        <v>14485</v>
      </c>
      <c r="AI63" t="s">
        <v>14485</v>
      </c>
      <c r="AJ63" t="s">
        <v>14485</v>
      </c>
      <c r="AK63" t="s">
        <v>14485</v>
      </c>
      <c r="AL63" t="s">
        <v>14485</v>
      </c>
      <c r="AM63" t="s">
        <v>14485</v>
      </c>
      <c r="AN63" t="s">
        <v>14485</v>
      </c>
      <c r="AO63" t="str">
        <f>IF(A63="","",_xlfn.LET(
        _xlpm.rid,A63,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4" spans="1:41" x14ac:dyDescent="0.3">
      <c r="A64" s="224" t="s">
        <v>16302</v>
      </c>
      <c r="B64" s="224" t="s">
        <v>16723</v>
      </c>
      <c r="C64" s="224" t="s">
        <v>14994</v>
      </c>
      <c r="D64" s="224" t="s">
        <v>15563</v>
      </c>
      <c r="E64" s="20" t="s">
        <v>16675</v>
      </c>
      <c r="F64" s="224" t="s">
        <v>1125</v>
      </c>
      <c r="G64" s="224" t="s">
        <v>14689</v>
      </c>
      <c r="H64" s="224" t="s">
        <v>1138</v>
      </c>
      <c r="I64" s="361">
        <v>46443</v>
      </c>
      <c r="J64" s="361">
        <v>46445</v>
      </c>
      <c r="K64" s="361">
        <v>46446</v>
      </c>
      <c r="L64" s="224" t="s">
        <v>16144</v>
      </c>
      <c r="M64" s="224" t="s">
        <v>16145</v>
      </c>
      <c r="N64" s="224" t="s">
        <v>1070</v>
      </c>
      <c r="O64" s="224" t="str">
        <f t="shared" si="0"/>
        <v>🔴 Critical</v>
      </c>
      <c r="P64" s="426" t="s">
        <v>16115</v>
      </c>
      <c r="Q64" s="224" t="str" cm="1">
        <f t="array" ref="Q64">IF(O64="","",IFERROR(_xlfn.TEXTJOIN(", ",TRUE,_xlfn._xlws.FILTER('[1]Environment Conflicts'!$A$9:$A$34,('[1]Environment Conflicts'!$E$9:$E$34=A64)+('[1]Environment Conflicts'!$F$9:$F$34=A64))),"-"))</f>
        <v>CNF-0014, CNF-0024</v>
      </c>
      <c r="R64" s="224" t="str" cm="1">
        <f t="array" ref="R64">IF(O64="","",IFERROR(_xlfn.TEXTJOIN(", ",TRUE,_xlfn._xlws.FILTER(IF('[1]Environment Conflicts'!$E$9:$E$34=A64,'[1]Environment Conflicts'!$F$9:$F$34,'[1]Environment Conflicts'!$E$9:$E$34),('[1]Environment Conflicts'!$E$9:$E$34=A64)+('[1]Environment Conflicts'!$F$9:$F$34=A64))),"-"))</f>
        <v>REL-0056, REL-0056</v>
      </c>
      <c r="S64" s="224" t="str" cm="1">
        <f t="array" ref="S64">IF(O64="","",IFERROR(_xlfn.TEXTJOIN(", ",TRUE,_xlfn._xlws.FILTER('[1]Environment Conflicts'!$J$9:$J$34,('[1]Environment Conflicts'!$E$9:$E$34=A64)+('[1]Environment Conflicts'!$F$9:$F$34=A64))),"-"))</f>
        <v>Overlapping Test/UAT window, Overlapping Test/UAT window</v>
      </c>
      <c r="T64" t="s">
        <v>16303</v>
      </c>
      <c r="X64" t="s">
        <v>14485</v>
      </c>
      <c r="Y64" s="37"/>
      <c r="Z64" s="37">
        <v>7.0000000000000007E-2</v>
      </c>
      <c r="AA64" t="s">
        <v>15960</v>
      </c>
      <c r="AB64" t="s">
        <v>1070</v>
      </c>
      <c r="AC64" t="s">
        <v>16591</v>
      </c>
      <c r="AF64" t="s">
        <v>16592</v>
      </c>
      <c r="AG64" t="s">
        <v>14485</v>
      </c>
      <c r="AH64" t="s">
        <v>14485</v>
      </c>
      <c r="AI64" t="s">
        <v>14485</v>
      </c>
      <c r="AJ64" t="s">
        <v>14485</v>
      </c>
      <c r="AK64" t="s">
        <v>14485</v>
      </c>
      <c r="AL64" t="s">
        <v>14485</v>
      </c>
      <c r="AM64" t="s">
        <v>14485</v>
      </c>
      <c r="AN64" t="s">
        <v>14485</v>
      </c>
      <c r="AO64" t="str">
        <f>IF(A64="","",_xlfn.LET(
        _xlpm.rid,A64,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5" spans="1:41" x14ac:dyDescent="0.3">
      <c r="A65" s="224" t="s">
        <v>16305</v>
      </c>
      <c r="B65" s="224" t="s">
        <v>16724</v>
      </c>
      <c r="C65" s="224" t="s">
        <v>14993</v>
      </c>
      <c r="D65" s="224" t="s">
        <v>15587</v>
      </c>
      <c r="E65" s="20" t="s">
        <v>16725</v>
      </c>
      <c r="F65" s="224" t="s">
        <v>1125</v>
      </c>
      <c r="G65" s="224" t="s">
        <v>1125</v>
      </c>
      <c r="H65" s="224" t="s">
        <v>1136</v>
      </c>
      <c r="I65" s="361">
        <v>46452</v>
      </c>
      <c r="J65" s="361">
        <v>46454</v>
      </c>
      <c r="K65" s="361">
        <v>46455</v>
      </c>
      <c r="L65" s="224" t="s">
        <v>16283</v>
      </c>
      <c r="M65" s="224" t="s">
        <v>16184</v>
      </c>
      <c r="N65" s="224" t="s">
        <v>1070</v>
      </c>
      <c r="O65" s="224" t="str">
        <f t="shared" si="0"/>
        <v>🟡 Caution</v>
      </c>
      <c r="P65" s="426"/>
      <c r="Q65" s="224" t="str" cm="1">
        <f t="array" ref="Q65">IF(O65="","",IFERROR(_xlfn.TEXTJOIN(", ",TRUE,_xlfn._xlws.FILTER('[1]Environment Conflicts'!$A$9:$A$34,('[1]Environment Conflicts'!$E$9:$E$34=A65)+('[1]Environment Conflicts'!$F$9:$F$34=A65))),"-"))</f>
        <v>-</v>
      </c>
      <c r="R65" s="224" t="str" cm="1">
        <f t="array" ref="R65">IF(O65="","",IFERROR(_xlfn.TEXTJOIN(", ",TRUE,_xlfn._xlws.FILTER(IF('[1]Environment Conflicts'!$E$9:$E$34=A65,'[1]Environment Conflicts'!$F$9:$F$34,'[1]Environment Conflicts'!$E$9:$E$34),('[1]Environment Conflicts'!$E$9:$E$34=A65)+('[1]Environment Conflicts'!$F$9:$F$34=A65))),"-"))</f>
        <v>-</v>
      </c>
      <c r="S65" s="224" t="str" cm="1">
        <f t="array" ref="S65">IF(O65="","",IFERROR(_xlfn.TEXTJOIN(", ",TRUE,_xlfn._xlws.FILTER('[1]Environment Conflicts'!$J$9:$J$34,('[1]Environment Conflicts'!$E$9:$E$34=A65)+('[1]Environment Conflicts'!$F$9:$F$34=A65))),"-"))</f>
        <v>-</v>
      </c>
      <c r="T65" t="s">
        <v>16189</v>
      </c>
      <c r="X65" t="s">
        <v>14485</v>
      </c>
      <c r="Y65" s="37"/>
      <c r="Z65" s="37">
        <v>0</v>
      </c>
      <c r="AA65" t="s">
        <v>15963</v>
      </c>
      <c r="AB65" t="s">
        <v>1070</v>
      </c>
      <c r="AC65" t="s">
        <v>16596</v>
      </c>
      <c r="AF65" t="s">
        <v>16592</v>
      </c>
      <c r="AG65" t="s">
        <v>14485</v>
      </c>
      <c r="AH65" t="s">
        <v>14485</v>
      </c>
      <c r="AI65" t="s">
        <v>14485</v>
      </c>
      <c r="AJ65" t="s">
        <v>14485</v>
      </c>
      <c r="AK65" t="s">
        <v>14485</v>
      </c>
      <c r="AL65" t="s">
        <v>14485</v>
      </c>
      <c r="AM65" t="s">
        <v>14485</v>
      </c>
      <c r="AN65" t="s">
        <v>14485</v>
      </c>
      <c r="AO65" t="str">
        <f>IF(A65="","",_xlfn.LET(
        _xlpm.rid,A65,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6" spans="1:41" ht="28.8" x14ac:dyDescent="0.3">
      <c r="A66" s="224" t="s">
        <v>16307</v>
      </c>
      <c r="B66" s="224" t="s">
        <v>16726</v>
      </c>
      <c r="C66" s="224" t="s">
        <v>14992</v>
      </c>
      <c r="D66" s="224" t="s">
        <v>15631</v>
      </c>
      <c r="E66" s="20" t="s">
        <v>16727</v>
      </c>
      <c r="F66" s="224" t="s">
        <v>1122</v>
      </c>
      <c r="G66" s="224" t="s">
        <v>14689</v>
      </c>
      <c r="H66" s="224" t="s">
        <v>1138</v>
      </c>
      <c r="I66" s="361">
        <v>46456</v>
      </c>
      <c r="J66" s="361">
        <v>46458</v>
      </c>
      <c r="K66" s="361">
        <v>46458</v>
      </c>
      <c r="L66" s="224" t="s">
        <v>16308</v>
      </c>
      <c r="M66" s="224" t="s">
        <v>16309</v>
      </c>
      <c r="N66" s="224" t="s">
        <v>1070</v>
      </c>
      <c r="O66" s="224" t="str">
        <f t="shared" si="0"/>
        <v>🟡 Caution</v>
      </c>
      <c r="P66" s="426"/>
      <c r="Q66" s="224" t="str" cm="1">
        <f t="array" ref="Q66">IF(O66="","",IFERROR(_xlfn.TEXTJOIN(", ",TRUE,_xlfn._xlws.FILTER('[1]Environment Conflicts'!$A$9:$A$34,('[1]Environment Conflicts'!$E$9:$E$34=A66)+('[1]Environment Conflicts'!$F$9:$F$34=A66))),"-"))</f>
        <v>-</v>
      </c>
      <c r="R66" s="224" t="str" cm="1">
        <f t="array" ref="R66">IF(O66="","",IFERROR(_xlfn.TEXTJOIN(", ",TRUE,_xlfn._xlws.FILTER(IF('[1]Environment Conflicts'!$E$9:$E$34=A66,'[1]Environment Conflicts'!$F$9:$F$34,'[1]Environment Conflicts'!$E$9:$E$34),('[1]Environment Conflicts'!$E$9:$E$34=A66)+('[1]Environment Conflicts'!$F$9:$F$34=A66))),"-"))</f>
        <v>-</v>
      </c>
      <c r="S66" s="224" t="str" cm="1">
        <f t="array" ref="S66">IF(O66="","",IFERROR(_xlfn.TEXTJOIN(", ",TRUE,_xlfn._xlws.FILTER('[1]Environment Conflicts'!$J$9:$J$34,('[1]Environment Conflicts'!$E$9:$E$34=A66)+('[1]Environment Conflicts'!$F$9:$F$34=A66))),"-"))</f>
        <v>-</v>
      </c>
      <c r="T66" t="s">
        <v>16310</v>
      </c>
      <c r="X66" t="s">
        <v>14485</v>
      </c>
      <c r="Y66" s="37"/>
      <c r="Z66" s="37">
        <v>0.18</v>
      </c>
      <c r="AA66" t="s">
        <v>15966</v>
      </c>
      <c r="AB66" t="s">
        <v>1070</v>
      </c>
      <c r="AC66" t="s">
        <v>16600</v>
      </c>
      <c r="AF66" t="s">
        <v>1499</v>
      </c>
      <c r="AG66" t="s">
        <v>14485</v>
      </c>
      <c r="AH66" t="s">
        <v>14485</v>
      </c>
      <c r="AI66" t="s">
        <v>14485</v>
      </c>
      <c r="AJ66" t="s">
        <v>14485</v>
      </c>
      <c r="AK66" t="s">
        <v>14485</v>
      </c>
      <c r="AL66" t="s">
        <v>14485</v>
      </c>
      <c r="AM66" t="s">
        <v>14485</v>
      </c>
      <c r="AN66" t="s">
        <v>14485</v>
      </c>
      <c r="AO66" t="str">
        <f>IF(A66="","",_xlfn.LET(
        _xlpm.rid,A66,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7" spans="1:41" x14ac:dyDescent="0.3">
      <c r="A67" s="224" t="s">
        <v>16312</v>
      </c>
      <c r="B67" s="224" t="s">
        <v>16728</v>
      </c>
      <c r="C67" s="224" t="s">
        <v>14991</v>
      </c>
      <c r="D67" s="224" t="s">
        <v>15664</v>
      </c>
      <c r="E67" s="20" t="s">
        <v>16729</v>
      </c>
      <c r="F67" s="224" t="s">
        <v>1125</v>
      </c>
      <c r="G67" s="224" t="s">
        <v>14689</v>
      </c>
      <c r="H67" s="224" t="s">
        <v>1138</v>
      </c>
      <c r="I67" s="361">
        <v>46460</v>
      </c>
      <c r="J67" s="361">
        <v>46462</v>
      </c>
      <c r="K67" s="361">
        <v>46463</v>
      </c>
      <c r="L67" s="224" t="s">
        <v>16313</v>
      </c>
      <c r="M67" s="224" t="s">
        <v>16132</v>
      </c>
      <c r="N67" s="224" t="s">
        <v>1070</v>
      </c>
      <c r="O67" s="224" t="str">
        <f t="shared" si="0"/>
        <v>🟡 Caution</v>
      </c>
      <c r="P67" s="426"/>
      <c r="Q67" s="224" t="str" cm="1">
        <f t="array" ref="Q67">IF(O67="","",IFERROR(_xlfn.TEXTJOIN(", ",TRUE,_xlfn._xlws.FILTER('[1]Environment Conflicts'!$A$9:$A$34,('[1]Environment Conflicts'!$E$9:$E$34=A67)+('[1]Environment Conflicts'!$F$9:$F$34=A67))),"-"))</f>
        <v>-</v>
      </c>
      <c r="R67" s="224" t="str" cm="1">
        <f t="array" ref="R67">IF(O67="","",IFERROR(_xlfn.TEXTJOIN(", ",TRUE,_xlfn._xlws.FILTER(IF('[1]Environment Conflicts'!$E$9:$E$34=A67,'[1]Environment Conflicts'!$F$9:$F$34,'[1]Environment Conflicts'!$E$9:$E$34),('[1]Environment Conflicts'!$E$9:$E$34=A67)+('[1]Environment Conflicts'!$F$9:$F$34=A67))),"-"))</f>
        <v>-</v>
      </c>
      <c r="S67" s="224" t="str" cm="1">
        <f t="array" ref="S67">IF(O67="","",IFERROR(_xlfn.TEXTJOIN(", ",TRUE,_xlfn._xlws.FILTER('[1]Environment Conflicts'!$J$9:$J$34,('[1]Environment Conflicts'!$E$9:$E$34=A67)+('[1]Environment Conflicts'!$F$9:$F$34=A67))),"-"))</f>
        <v>-</v>
      </c>
      <c r="T67" t="s">
        <v>16189</v>
      </c>
      <c r="X67" t="s">
        <v>14485</v>
      </c>
      <c r="Y67" s="37"/>
      <c r="Z67" s="37">
        <v>0.12</v>
      </c>
      <c r="AA67" t="s">
        <v>15969</v>
      </c>
      <c r="AB67" t="s">
        <v>1070</v>
      </c>
      <c r="AC67" t="s">
        <v>16603</v>
      </c>
      <c r="AD67" t="s">
        <v>16305</v>
      </c>
      <c r="AF67" t="s">
        <v>14600</v>
      </c>
      <c r="AG67" t="s">
        <v>14485</v>
      </c>
      <c r="AH67" t="s">
        <v>14485</v>
      </c>
      <c r="AI67" t="s">
        <v>14485</v>
      </c>
      <c r="AJ67" t="s">
        <v>14485</v>
      </c>
      <c r="AK67" t="s">
        <v>14485</v>
      </c>
      <c r="AL67" t="s">
        <v>14485</v>
      </c>
      <c r="AM67" t="s">
        <v>14485</v>
      </c>
      <c r="AN67" t="s">
        <v>14485</v>
      </c>
      <c r="AO67" t="str">
        <f>IF(A67="","",_xlfn.LET(
        _xlpm.rid,A67,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8" spans="1:41" x14ac:dyDescent="0.3">
      <c r="A68" s="224" t="s">
        <v>16315</v>
      </c>
      <c r="B68" s="224" t="s">
        <v>16730</v>
      </c>
      <c r="C68" s="224" t="s">
        <v>1159</v>
      </c>
      <c r="D68" s="224" t="s">
        <v>15676</v>
      </c>
      <c r="E68" s="20" t="s">
        <v>16683</v>
      </c>
      <c r="F68" s="224" t="s">
        <v>1122</v>
      </c>
      <c r="G68" s="224" t="s">
        <v>1125</v>
      </c>
      <c r="H68" s="224" t="s">
        <v>1136</v>
      </c>
      <c r="I68" s="361">
        <v>46464</v>
      </c>
      <c r="J68" s="361">
        <v>46466</v>
      </c>
      <c r="K68" s="361">
        <v>46466</v>
      </c>
      <c r="L68" s="224" t="s">
        <v>16269</v>
      </c>
      <c r="M68" s="224" t="s">
        <v>16244</v>
      </c>
      <c r="N68" s="224" t="s">
        <v>1070</v>
      </c>
      <c r="O68" s="224" t="str">
        <f t="shared" si="0"/>
        <v>🟡 Caution</v>
      </c>
      <c r="P68" s="426"/>
      <c r="Q68" s="224" t="str" cm="1">
        <f t="array" ref="Q68">IF(O68="","",IFERROR(_xlfn.TEXTJOIN(", ",TRUE,_xlfn._xlws.FILTER('[1]Environment Conflicts'!$A$9:$A$34,('[1]Environment Conflicts'!$E$9:$E$34=A68)+('[1]Environment Conflicts'!$F$9:$F$34=A68))),"-"))</f>
        <v>-</v>
      </c>
      <c r="R68" s="224" t="str" cm="1">
        <f t="array" ref="R68">IF(O68="","",IFERROR(_xlfn.TEXTJOIN(", ",TRUE,_xlfn._xlws.FILTER(IF('[1]Environment Conflicts'!$E$9:$E$34=A68,'[1]Environment Conflicts'!$F$9:$F$34,'[1]Environment Conflicts'!$E$9:$E$34),('[1]Environment Conflicts'!$E$9:$E$34=A68)+('[1]Environment Conflicts'!$F$9:$F$34=A68))),"-"))</f>
        <v>-</v>
      </c>
      <c r="S68" s="224" t="str" cm="1">
        <f t="array" ref="S68">IF(O68="","",IFERROR(_xlfn.TEXTJOIN(", ",TRUE,_xlfn._xlws.FILTER('[1]Environment Conflicts'!$J$9:$J$34,('[1]Environment Conflicts'!$E$9:$E$34=A68)+('[1]Environment Conflicts'!$F$9:$F$34=A68))),"-"))</f>
        <v>-</v>
      </c>
      <c r="T68" t="s">
        <v>16224</v>
      </c>
      <c r="X68" t="s">
        <v>14485</v>
      </c>
      <c r="Y68" s="37"/>
      <c r="Z68" s="37">
        <v>0.11</v>
      </c>
      <c r="AA68" t="s">
        <v>15972</v>
      </c>
      <c r="AB68" t="s">
        <v>1070</v>
      </c>
      <c r="AC68" t="s">
        <v>16606</v>
      </c>
      <c r="AF68" t="s">
        <v>14600</v>
      </c>
      <c r="AG68" t="s">
        <v>14485</v>
      </c>
      <c r="AH68" t="s">
        <v>14485</v>
      </c>
      <c r="AI68" t="s">
        <v>14485</v>
      </c>
      <c r="AJ68" t="s">
        <v>14485</v>
      </c>
      <c r="AK68" t="s">
        <v>14485</v>
      </c>
      <c r="AL68" t="s">
        <v>14485</v>
      </c>
      <c r="AM68" t="s">
        <v>14485</v>
      </c>
      <c r="AN68" t="s">
        <v>14485</v>
      </c>
      <c r="AO68" t="str">
        <f>IF(A68="","",_xlfn.LET(
        _xlpm.rid,A68,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9" spans="1:41" x14ac:dyDescent="0.3">
      <c r="A69" s="224" t="s">
        <v>16317</v>
      </c>
      <c r="B69" s="224" t="s">
        <v>16731</v>
      </c>
      <c r="C69" s="224" t="s">
        <v>14990</v>
      </c>
      <c r="D69" s="224" t="s">
        <v>15705</v>
      </c>
      <c r="E69" s="20" t="s">
        <v>16732</v>
      </c>
      <c r="F69" s="224" t="s">
        <v>1125</v>
      </c>
      <c r="G69" s="224" t="s">
        <v>14689</v>
      </c>
      <c r="H69" s="224" t="s">
        <v>1138</v>
      </c>
      <c r="I69" s="361">
        <v>46468</v>
      </c>
      <c r="J69" s="361">
        <v>46470</v>
      </c>
      <c r="K69" s="361">
        <v>46471</v>
      </c>
      <c r="L69" s="224" t="s">
        <v>16318</v>
      </c>
      <c r="M69" s="224" t="s">
        <v>16199</v>
      </c>
      <c r="N69" s="224" t="s">
        <v>1070</v>
      </c>
      <c r="O69" s="224" t="str">
        <f t="shared" si="0"/>
        <v>🟡 Caution</v>
      </c>
      <c r="P69" s="426"/>
      <c r="Q69" s="224" t="str" cm="1">
        <f t="array" ref="Q69">IF(O69="","",IFERROR(_xlfn.TEXTJOIN(", ",TRUE,_xlfn._xlws.FILTER('[1]Environment Conflicts'!$A$9:$A$34,('[1]Environment Conflicts'!$E$9:$E$34=A69)+('[1]Environment Conflicts'!$F$9:$F$34=A69))),"-"))</f>
        <v>-</v>
      </c>
      <c r="R69" s="224" t="str" cm="1">
        <f t="array" ref="R69">IF(O69="","",IFERROR(_xlfn.TEXTJOIN(", ",TRUE,_xlfn._xlws.FILTER(IF('[1]Environment Conflicts'!$E$9:$E$34=A69,'[1]Environment Conflicts'!$F$9:$F$34,'[1]Environment Conflicts'!$E$9:$E$34),('[1]Environment Conflicts'!$E$9:$E$34=A69)+('[1]Environment Conflicts'!$F$9:$F$34=A69))),"-"))</f>
        <v>-</v>
      </c>
      <c r="S69" s="224" t="str" cm="1">
        <f t="array" ref="S69">IF(O69="","",IFERROR(_xlfn.TEXTJOIN(", ",TRUE,_xlfn._xlws.FILTER('[1]Environment Conflicts'!$J$9:$J$34,('[1]Environment Conflicts'!$E$9:$E$34=A69)+('[1]Environment Conflicts'!$F$9:$F$34=A69))),"-"))</f>
        <v>-</v>
      </c>
      <c r="T69" t="s">
        <v>16319</v>
      </c>
      <c r="X69" t="s">
        <v>14485</v>
      </c>
      <c r="Y69" s="37"/>
      <c r="Z69" s="37">
        <v>0.15</v>
      </c>
      <c r="AA69" t="s">
        <v>15975</v>
      </c>
      <c r="AB69" t="s">
        <v>1070</v>
      </c>
      <c r="AC69" t="s">
        <v>16610</v>
      </c>
      <c r="AF69" t="s">
        <v>14600</v>
      </c>
      <c r="AG69" t="s">
        <v>14485</v>
      </c>
      <c r="AH69" t="s">
        <v>14485</v>
      </c>
      <c r="AI69" t="s">
        <v>14485</v>
      </c>
      <c r="AJ69" t="s">
        <v>14485</v>
      </c>
      <c r="AK69" t="s">
        <v>14485</v>
      </c>
      <c r="AL69" t="s">
        <v>14485</v>
      </c>
      <c r="AM69" t="s">
        <v>14485</v>
      </c>
      <c r="AN69" t="s">
        <v>14485</v>
      </c>
      <c r="AO69" t="str">
        <f>IF(A69="","",_xlfn.LET(
        _xlpm.rid,A69,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0" spans="1:41" x14ac:dyDescent="0.3">
      <c r="A70" s="224" t="s">
        <v>16321</v>
      </c>
      <c r="B70" s="224" t="s">
        <v>16733</v>
      </c>
      <c r="C70" s="224" t="s">
        <v>152</v>
      </c>
      <c r="D70" s="224" t="s">
        <v>15741</v>
      </c>
      <c r="E70" s="20" t="s">
        <v>16734</v>
      </c>
      <c r="F70" s="224" t="s">
        <v>1125</v>
      </c>
      <c r="G70" s="224" t="s">
        <v>14689</v>
      </c>
      <c r="H70" s="224" t="s">
        <v>1138</v>
      </c>
      <c r="I70" s="361">
        <v>46475</v>
      </c>
      <c r="J70" s="361">
        <v>46477</v>
      </c>
      <c r="K70" s="361">
        <v>46478</v>
      </c>
      <c r="L70" s="224" t="s">
        <v>16251</v>
      </c>
      <c r="M70" s="224" t="s">
        <v>16145</v>
      </c>
      <c r="N70" s="224" t="s">
        <v>1070</v>
      </c>
      <c r="O70" s="224" t="str">
        <f t="shared" si="0"/>
        <v>🟡 Caution</v>
      </c>
      <c r="P70" s="426"/>
      <c r="Q70" s="224" t="str" cm="1">
        <f t="array" ref="Q70">IF(O70="","",IFERROR(_xlfn.TEXTJOIN(", ",TRUE,_xlfn._xlws.FILTER('[1]Environment Conflicts'!$A$9:$A$34,('[1]Environment Conflicts'!$E$9:$E$34=A70)+('[1]Environment Conflicts'!$F$9:$F$34=A70))),"-"))</f>
        <v>-</v>
      </c>
      <c r="R70" s="224" t="str" cm="1">
        <f t="array" ref="R70">IF(O70="","",IFERROR(_xlfn.TEXTJOIN(", ",TRUE,_xlfn._xlws.FILTER(IF('[1]Environment Conflicts'!$E$9:$E$34=A70,'[1]Environment Conflicts'!$F$9:$F$34,'[1]Environment Conflicts'!$E$9:$E$34),('[1]Environment Conflicts'!$E$9:$E$34=A70)+('[1]Environment Conflicts'!$F$9:$F$34=A70))),"-"))</f>
        <v>-</v>
      </c>
      <c r="S70" s="224" t="str" cm="1">
        <f t="array" ref="S70">IF(O70="","",IFERROR(_xlfn.TEXTJOIN(", ",TRUE,_xlfn._xlws.FILTER('[1]Environment Conflicts'!$J$9:$J$34,('[1]Environment Conflicts'!$E$9:$E$34=A70)+('[1]Environment Conflicts'!$F$9:$F$34=A70))),"-"))</f>
        <v>-</v>
      </c>
      <c r="T70" t="s">
        <v>16241</v>
      </c>
      <c r="V70" t="s">
        <v>1505</v>
      </c>
      <c r="X70" t="s">
        <v>14485</v>
      </c>
      <c r="Y70" s="37"/>
      <c r="Z70" s="37">
        <v>0.05</v>
      </c>
      <c r="AA70" t="s">
        <v>15978</v>
      </c>
      <c r="AB70" t="s">
        <v>1070</v>
      </c>
      <c r="AC70" t="s">
        <v>16613</v>
      </c>
      <c r="AE70" t="s">
        <v>16632</v>
      </c>
      <c r="AF70" t="s">
        <v>14600</v>
      </c>
      <c r="AG70" t="s">
        <v>14485</v>
      </c>
      <c r="AH70" t="s">
        <v>14485</v>
      </c>
      <c r="AI70" t="s">
        <v>14485</v>
      </c>
      <c r="AJ70" t="s">
        <v>14485</v>
      </c>
      <c r="AK70" t="s">
        <v>14485</v>
      </c>
      <c r="AL70" t="s">
        <v>14485</v>
      </c>
      <c r="AM70" t="s">
        <v>14485</v>
      </c>
      <c r="AN70" t="s">
        <v>14485</v>
      </c>
      <c r="AO70" t="str">
        <f>IF(A70="","",_xlfn.LET(
        _xlpm.rid,A70,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1" spans="1:41" ht="43.2" x14ac:dyDescent="0.3">
      <c r="A71" s="224" t="s">
        <v>16323</v>
      </c>
      <c r="B71" s="224" t="s">
        <v>16735</v>
      </c>
      <c r="C71" s="224" t="s">
        <v>1158</v>
      </c>
      <c r="D71" s="224" t="s">
        <v>15458</v>
      </c>
      <c r="E71" s="20" t="s">
        <v>16736</v>
      </c>
      <c r="F71" s="224" t="s">
        <v>1128</v>
      </c>
      <c r="G71" s="224" t="s">
        <v>14697</v>
      </c>
      <c r="H71" s="224" t="s">
        <v>1134</v>
      </c>
      <c r="I71" s="361">
        <v>46478</v>
      </c>
      <c r="J71" s="361">
        <v>46481</v>
      </c>
      <c r="K71" s="361">
        <v>46483</v>
      </c>
      <c r="L71" s="224" t="s">
        <v>16149</v>
      </c>
      <c r="M71" s="224" t="s">
        <v>16207</v>
      </c>
      <c r="N71" s="224" t="s">
        <v>1070</v>
      </c>
      <c r="O71" s="224" t="str">
        <f t="shared" si="0"/>
        <v>🟡 Caution</v>
      </c>
      <c r="P71" s="426"/>
      <c r="Q71" s="224" t="str" cm="1">
        <f t="array" ref="Q71">IF(O71="","",IFERROR(_xlfn.TEXTJOIN(", ",TRUE,_xlfn._xlws.FILTER('[1]Environment Conflicts'!$A$9:$A$34,('[1]Environment Conflicts'!$E$9:$E$34=A71)+('[1]Environment Conflicts'!$F$9:$F$34=A71))),"-"))</f>
        <v>-</v>
      </c>
      <c r="R71" s="224" t="str" cm="1">
        <f t="array" ref="R71">IF(O71="","",IFERROR(_xlfn.TEXTJOIN(", ",TRUE,_xlfn._xlws.FILTER(IF('[1]Environment Conflicts'!$E$9:$E$34=A71,'[1]Environment Conflicts'!$F$9:$F$34,'[1]Environment Conflicts'!$E$9:$E$34),('[1]Environment Conflicts'!$E$9:$E$34=A71)+('[1]Environment Conflicts'!$F$9:$F$34=A71))),"-"))</f>
        <v>-</v>
      </c>
      <c r="S71" s="224" t="str" cm="1">
        <f t="array" ref="S71">IF(O71="","",IFERROR(_xlfn.TEXTJOIN(", ",TRUE,_xlfn._xlws.FILTER('[1]Environment Conflicts'!$J$9:$J$34,('[1]Environment Conflicts'!$E$9:$E$34=A71)+('[1]Environment Conflicts'!$F$9:$F$34=A71))),"-"))</f>
        <v>-</v>
      </c>
      <c r="T71" t="s">
        <v>16220</v>
      </c>
      <c r="X71" t="s">
        <v>14485</v>
      </c>
      <c r="Y71" s="37"/>
      <c r="Z71" s="37">
        <v>0.09</v>
      </c>
      <c r="AA71" t="s">
        <v>15768</v>
      </c>
      <c r="AB71" t="s">
        <v>1070</v>
      </c>
      <c r="AC71" t="s">
        <v>16588</v>
      </c>
      <c r="AD71" t="s">
        <v>16737</v>
      </c>
      <c r="AF71" t="s">
        <v>16592</v>
      </c>
      <c r="AG71" t="s">
        <v>14485</v>
      </c>
      <c r="AH71" t="s">
        <v>14485</v>
      </c>
      <c r="AI71" t="s">
        <v>14485</v>
      </c>
      <c r="AJ71" t="s">
        <v>14485</v>
      </c>
      <c r="AK71" t="s">
        <v>14485</v>
      </c>
      <c r="AL71" t="s">
        <v>14485</v>
      </c>
      <c r="AM71" t="s">
        <v>14485</v>
      </c>
      <c r="AN71" t="s">
        <v>14485</v>
      </c>
      <c r="AO71" t="str">
        <f>IF(A71="","",_xlfn.LET(
        _xlpm.rid,A71,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2" spans="1:41" x14ac:dyDescent="0.3">
      <c r="A72" s="224" t="s">
        <v>16325</v>
      </c>
      <c r="B72" s="224" t="s">
        <v>16738</v>
      </c>
      <c r="C72" s="224" t="s">
        <v>14994</v>
      </c>
      <c r="D72" s="224" t="s">
        <v>15557</v>
      </c>
      <c r="E72" s="20" t="s">
        <v>16638</v>
      </c>
      <c r="F72" s="224" t="s">
        <v>1125</v>
      </c>
      <c r="G72" s="224" t="s">
        <v>1125</v>
      </c>
      <c r="H72" s="224" t="s">
        <v>1136</v>
      </c>
      <c r="I72" s="361">
        <v>46483</v>
      </c>
      <c r="J72" s="361">
        <v>46485</v>
      </c>
      <c r="K72" s="361">
        <v>46486</v>
      </c>
      <c r="L72" s="224" t="s">
        <v>16326</v>
      </c>
      <c r="M72" s="224" t="s">
        <v>16120</v>
      </c>
      <c r="N72" s="224" t="s">
        <v>1070</v>
      </c>
      <c r="O72" s="224" t="str">
        <f t="shared" ref="O72:O86" si="1">IF(N72="Cancelled","⚫ N/A",IF(OR(AG72="No",AH72="No",AI72="No",AJ72="No"),"🔴 Critical",IF(OR(AND(U72&lt;&gt;"",U72&lt;&gt;"NA"),ISNUMBER(SEARCH("CONFLICT",P72))),"🔴 Critical",IF(N72="On Hold","🟠 On Hold",IF(AND(OR(AG72="Yes",AG72="NA"),OR(AH72="Yes",AH72="NA"),OR(AI72="Yes",AI72="NA"),OR(AJ72="Yes",AJ72="NA")),"🟢 Go","🟡 Caution")))))</f>
        <v>🔴 Critical</v>
      </c>
      <c r="P72" s="426" t="s">
        <v>16115</v>
      </c>
      <c r="Q72" s="224" t="str" cm="1">
        <f t="array" ref="Q72">IF(O72="","",IFERROR(_xlfn.TEXTJOIN(", ",TRUE,_xlfn._xlws.FILTER('[1]Environment Conflicts'!$A$9:$A$34,('[1]Environment Conflicts'!$E$9:$E$34=A72)+('[1]Environment Conflicts'!$F$9:$F$34=A72))),"-"))</f>
        <v>CNF-0015, CNF-0025</v>
      </c>
      <c r="R72" s="224" t="str" cm="1">
        <f t="array" ref="R72">IF(O72="","",IFERROR(_xlfn.TEXTJOIN(", ",TRUE,_xlfn._xlws.FILTER(IF('[1]Environment Conflicts'!$E$9:$E$34=A72,'[1]Environment Conflicts'!$F$9:$F$34,'[1]Environment Conflicts'!$E$9:$E$34),('[1]Environment Conflicts'!$E$9:$E$34=A72)+('[1]Environment Conflicts'!$F$9:$F$34=A72))),"-"))</f>
        <v>REL-0068, REL-0068</v>
      </c>
      <c r="S72" s="224" t="str" cm="1">
        <f t="array" ref="S72">IF(O72="","",IFERROR(_xlfn.TEXTJOIN(", ",TRUE,_xlfn._xlws.FILTER('[1]Environment Conflicts'!$J$9:$J$34,('[1]Environment Conflicts'!$E$9:$E$34=A72)+('[1]Environment Conflicts'!$F$9:$F$34=A72))),"-"))</f>
        <v>Overlapping Test/UAT window, Overlapping Test/UAT window</v>
      </c>
      <c r="T72" t="s">
        <v>16327</v>
      </c>
      <c r="X72" t="s">
        <v>14485</v>
      </c>
      <c r="Y72" s="37"/>
      <c r="Z72" s="37">
        <v>0.1</v>
      </c>
      <c r="AA72" t="s">
        <v>15772</v>
      </c>
      <c r="AB72" t="s">
        <v>1070</v>
      </c>
      <c r="AC72" t="s">
        <v>16591</v>
      </c>
      <c r="AF72" t="s">
        <v>14600</v>
      </c>
      <c r="AG72" t="s">
        <v>14485</v>
      </c>
      <c r="AH72" t="s">
        <v>14485</v>
      </c>
      <c r="AI72" t="s">
        <v>14485</v>
      </c>
      <c r="AJ72" t="s">
        <v>14485</v>
      </c>
      <c r="AK72" t="s">
        <v>14485</v>
      </c>
      <c r="AL72" t="s">
        <v>14485</v>
      </c>
      <c r="AM72" t="s">
        <v>14485</v>
      </c>
      <c r="AN72" t="s">
        <v>14485</v>
      </c>
      <c r="AO72" t="str">
        <f>IF(A72="","",_xlfn.LET(
        _xlpm.rid,A72,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3" spans="1:41" ht="28.8" x14ac:dyDescent="0.3">
      <c r="A73" s="224" t="s">
        <v>16330</v>
      </c>
      <c r="B73" s="224" t="s">
        <v>16739</v>
      </c>
      <c r="C73" s="224" t="s">
        <v>14993</v>
      </c>
      <c r="D73" s="224" t="s">
        <v>15584</v>
      </c>
      <c r="E73" s="20" t="s">
        <v>16740</v>
      </c>
      <c r="F73" s="224" t="s">
        <v>1128</v>
      </c>
      <c r="G73" s="224" t="s">
        <v>14697</v>
      </c>
      <c r="H73" s="224" t="s">
        <v>1132</v>
      </c>
      <c r="I73" s="361">
        <v>46486</v>
      </c>
      <c r="J73" s="361">
        <v>46489</v>
      </c>
      <c r="K73" s="361">
        <v>46491</v>
      </c>
      <c r="L73" s="224" t="s">
        <v>16283</v>
      </c>
      <c r="M73" s="224" t="s">
        <v>16184</v>
      </c>
      <c r="N73" s="224" t="s">
        <v>1070</v>
      </c>
      <c r="O73" s="224" t="str">
        <f t="shared" si="1"/>
        <v>🟡 Caution</v>
      </c>
      <c r="P73" s="426"/>
      <c r="Q73" s="224" t="str" cm="1">
        <f t="array" ref="Q73">IF(O73="","",IFERROR(_xlfn.TEXTJOIN(", ",TRUE,_xlfn._xlws.FILTER('[1]Environment Conflicts'!$A$9:$A$34,('[1]Environment Conflicts'!$E$9:$E$34=A73)+('[1]Environment Conflicts'!$F$9:$F$34=A73))),"-"))</f>
        <v>-</v>
      </c>
      <c r="R73" s="224" t="str" cm="1">
        <f t="array" ref="R73">IF(O73="","",IFERROR(_xlfn.TEXTJOIN(", ",TRUE,_xlfn._xlws.FILTER(IF('[1]Environment Conflicts'!$E$9:$E$34=A73,'[1]Environment Conflicts'!$F$9:$F$34,'[1]Environment Conflicts'!$E$9:$E$34),('[1]Environment Conflicts'!$E$9:$E$34=A73)+('[1]Environment Conflicts'!$F$9:$F$34=A73))),"-"))</f>
        <v>-</v>
      </c>
      <c r="S73" s="224" t="str" cm="1">
        <f t="array" ref="S73">IF(O73="","",IFERROR(_xlfn.TEXTJOIN(", ",TRUE,_xlfn._xlws.FILTER('[1]Environment Conflicts'!$J$9:$J$34,('[1]Environment Conflicts'!$E$9:$E$34=A73)+('[1]Environment Conflicts'!$F$9:$F$34=A73))),"-"))</f>
        <v>-</v>
      </c>
      <c r="T73" t="s">
        <v>16129</v>
      </c>
      <c r="X73" t="s">
        <v>14485</v>
      </c>
      <c r="Y73" s="37"/>
      <c r="Z73" s="37">
        <v>0.19</v>
      </c>
      <c r="AA73" t="s">
        <v>15775</v>
      </c>
      <c r="AB73" t="s">
        <v>1070</v>
      </c>
      <c r="AC73" t="s">
        <v>16596</v>
      </c>
      <c r="AF73" t="s">
        <v>16592</v>
      </c>
      <c r="AG73" t="s">
        <v>14485</v>
      </c>
      <c r="AH73" t="s">
        <v>14485</v>
      </c>
      <c r="AI73" t="s">
        <v>14485</v>
      </c>
      <c r="AJ73" t="s">
        <v>14485</v>
      </c>
      <c r="AK73" t="s">
        <v>14485</v>
      </c>
      <c r="AL73" t="s">
        <v>14485</v>
      </c>
      <c r="AM73" t="s">
        <v>14485</v>
      </c>
      <c r="AN73" t="s">
        <v>14485</v>
      </c>
      <c r="AO73" t="str">
        <f>IF(A73="","",_xlfn.LET(
        _xlpm.rid,A73,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4" spans="1:41" x14ac:dyDescent="0.3">
      <c r="A74" s="224" t="s">
        <v>16332</v>
      </c>
      <c r="B74" s="224" t="s">
        <v>16741</v>
      </c>
      <c r="C74" s="224" t="s">
        <v>14992</v>
      </c>
      <c r="D74" s="224" t="s">
        <v>15619</v>
      </c>
      <c r="E74" s="20" t="s">
        <v>16742</v>
      </c>
      <c r="F74" s="224" t="s">
        <v>1122</v>
      </c>
      <c r="G74" s="224" t="s">
        <v>14689</v>
      </c>
      <c r="H74" s="224" t="s">
        <v>1138</v>
      </c>
      <c r="I74" s="361">
        <v>46486</v>
      </c>
      <c r="J74" s="361">
        <v>46488</v>
      </c>
      <c r="K74" s="361">
        <v>46488</v>
      </c>
      <c r="L74" s="224" t="s">
        <v>16326</v>
      </c>
      <c r="M74" s="224" t="s">
        <v>16120</v>
      </c>
      <c r="N74" s="224" t="s">
        <v>1070</v>
      </c>
      <c r="O74" s="224" t="str">
        <f t="shared" si="1"/>
        <v>🔴 Critical</v>
      </c>
      <c r="P74" s="426" t="s">
        <v>16115</v>
      </c>
      <c r="Q74" s="224" t="str" cm="1">
        <f t="array" ref="Q74">IF(O74="","",IFERROR(_xlfn.TEXTJOIN(", ",TRUE,_xlfn._xlws.FILTER('[1]Environment Conflicts'!$A$9:$A$34,('[1]Environment Conflicts'!$E$9:$E$34=A74)+('[1]Environment Conflicts'!$F$9:$F$34=A74))),"-"))</f>
        <v>CNF-0015, CNF-0025</v>
      </c>
      <c r="R74" s="224" t="str" cm="1">
        <f t="array" ref="R74">IF(O74="","",IFERROR(_xlfn.TEXTJOIN(", ",TRUE,_xlfn._xlws.FILTER(IF('[1]Environment Conflicts'!$E$9:$E$34=A74,'[1]Environment Conflicts'!$F$9:$F$34,'[1]Environment Conflicts'!$E$9:$E$34),('[1]Environment Conflicts'!$E$9:$E$34=A74)+('[1]Environment Conflicts'!$F$9:$F$34=A74))),"-"))</f>
        <v>REL-0066, REL-0066</v>
      </c>
      <c r="S74" s="224" t="str" cm="1">
        <f t="array" ref="S74">IF(O74="","",IFERROR(_xlfn.TEXTJOIN(", ",TRUE,_xlfn._xlws.FILTER('[1]Environment Conflicts'!$J$9:$J$34,('[1]Environment Conflicts'!$E$9:$E$34=A74)+('[1]Environment Conflicts'!$F$9:$F$34=A74))),"-"))</f>
        <v>Overlapping Test/UAT window, Overlapping Test/UAT window</v>
      </c>
      <c r="T74" t="s">
        <v>16333</v>
      </c>
      <c r="X74" t="s">
        <v>14485</v>
      </c>
      <c r="Y74" s="37"/>
      <c r="Z74" s="37">
        <v>0.18</v>
      </c>
      <c r="AA74" t="s">
        <v>15778</v>
      </c>
      <c r="AB74" t="s">
        <v>1070</v>
      </c>
      <c r="AC74" t="s">
        <v>16600</v>
      </c>
      <c r="AF74" t="s">
        <v>1499</v>
      </c>
      <c r="AG74" t="s">
        <v>14485</v>
      </c>
      <c r="AH74" t="s">
        <v>14485</v>
      </c>
      <c r="AI74" t="s">
        <v>14485</v>
      </c>
      <c r="AJ74" t="s">
        <v>14485</v>
      </c>
      <c r="AK74" t="s">
        <v>14485</v>
      </c>
      <c r="AL74" t="s">
        <v>14485</v>
      </c>
      <c r="AM74" t="s">
        <v>14485</v>
      </c>
      <c r="AN74" t="s">
        <v>14485</v>
      </c>
      <c r="AO74" t="str">
        <f>IF(A74="","",_xlfn.LET(
        _xlpm.rid,A74,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5" spans="1:41" x14ac:dyDescent="0.3">
      <c r="A75" s="224" t="s">
        <v>16335</v>
      </c>
      <c r="B75" s="224" t="s">
        <v>16743</v>
      </c>
      <c r="C75" s="224" t="s">
        <v>14991</v>
      </c>
      <c r="D75" s="224" t="s">
        <v>15646</v>
      </c>
      <c r="E75" s="20" t="s">
        <v>16744</v>
      </c>
      <c r="F75" s="224" t="s">
        <v>1122</v>
      </c>
      <c r="G75" s="224" t="s">
        <v>1125</v>
      </c>
      <c r="H75" s="224" t="s">
        <v>1136</v>
      </c>
      <c r="I75" s="361">
        <v>46495</v>
      </c>
      <c r="J75" s="361">
        <v>46497</v>
      </c>
      <c r="K75" s="361">
        <v>46497</v>
      </c>
      <c r="L75" s="224" t="s">
        <v>16131</v>
      </c>
      <c r="M75" s="224" t="s">
        <v>16132</v>
      </c>
      <c r="N75" s="224" t="s">
        <v>1070</v>
      </c>
      <c r="O75" s="224" t="str">
        <f t="shared" si="1"/>
        <v>🟡 Caution</v>
      </c>
      <c r="P75" s="426"/>
      <c r="Q75" s="224" t="str" cm="1">
        <f t="array" ref="Q75">IF(O75="","",IFERROR(_xlfn.TEXTJOIN(", ",TRUE,_xlfn._xlws.FILTER('[1]Environment Conflicts'!$A$9:$A$34,('[1]Environment Conflicts'!$E$9:$E$34=A75)+('[1]Environment Conflicts'!$F$9:$F$34=A75))),"-"))</f>
        <v>-</v>
      </c>
      <c r="R75" s="224" t="str" cm="1">
        <f t="array" ref="R75">IF(O75="","",IFERROR(_xlfn.TEXTJOIN(", ",TRUE,_xlfn._xlws.FILTER(IF('[1]Environment Conflicts'!$E$9:$E$34=A75,'[1]Environment Conflicts'!$F$9:$F$34,'[1]Environment Conflicts'!$E$9:$E$34),('[1]Environment Conflicts'!$E$9:$E$34=A75)+('[1]Environment Conflicts'!$F$9:$F$34=A75))),"-"))</f>
        <v>-</v>
      </c>
      <c r="S75" s="224" t="str" cm="1">
        <f t="array" ref="S75">IF(O75="","",IFERROR(_xlfn.TEXTJOIN(", ",TRUE,_xlfn._xlws.FILTER('[1]Environment Conflicts'!$J$9:$J$34,('[1]Environment Conflicts'!$E$9:$E$34=A75)+('[1]Environment Conflicts'!$F$9:$F$34=A75))),"-"))</f>
        <v>-</v>
      </c>
      <c r="T75" t="s">
        <v>16294</v>
      </c>
      <c r="X75" t="s">
        <v>14485</v>
      </c>
      <c r="Y75" s="37"/>
      <c r="Z75" s="37">
        <v>0.02</v>
      </c>
      <c r="AA75" t="s">
        <v>15781</v>
      </c>
      <c r="AB75" t="s">
        <v>1070</v>
      </c>
      <c r="AC75" t="s">
        <v>16603</v>
      </c>
      <c r="AD75" t="s">
        <v>16330</v>
      </c>
      <c r="AF75" t="s">
        <v>14600</v>
      </c>
      <c r="AG75" t="s">
        <v>14485</v>
      </c>
      <c r="AH75" t="s">
        <v>14485</v>
      </c>
      <c r="AI75" t="s">
        <v>14485</v>
      </c>
      <c r="AJ75" t="s">
        <v>14485</v>
      </c>
      <c r="AK75" t="s">
        <v>14485</v>
      </c>
      <c r="AL75" t="s">
        <v>14485</v>
      </c>
      <c r="AM75" t="s">
        <v>14485</v>
      </c>
      <c r="AN75" t="s">
        <v>14485</v>
      </c>
      <c r="AO75" t="str">
        <f>IF(A75="","",_xlfn.LET(
        _xlpm.rid,A75,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6" spans="1:41" ht="28.8" x14ac:dyDescent="0.3">
      <c r="A76" s="224" t="s">
        <v>16337</v>
      </c>
      <c r="B76" s="224" t="s">
        <v>16745</v>
      </c>
      <c r="C76" s="224" t="s">
        <v>1159</v>
      </c>
      <c r="D76" s="224" t="s">
        <v>15678</v>
      </c>
      <c r="E76" s="20" t="s">
        <v>16746</v>
      </c>
      <c r="F76" s="224" t="s">
        <v>1125</v>
      </c>
      <c r="G76" s="224" t="s">
        <v>1125</v>
      </c>
      <c r="H76" s="224" t="s">
        <v>1136</v>
      </c>
      <c r="I76" s="361">
        <v>46499</v>
      </c>
      <c r="J76" s="361">
        <v>46501</v>
      </c>
      <c r="K76" s="361">
        <v>46502</v>
      </c>
      <c r="L76" s="224" t="s">
        <v>16223</v>
      </c>
      <c r="M76" s="224" t="s">
        <v>16244</v>
      </c>
      <c r="N76" s="224" t="s">
        <v>1070</v>
      </c>
      <c r="O76" s="224" t="str">
        <f t="shared" si="1"/>
        <v>🟡 Caution</v>
      </c>
      <c r="P76" s="426"/>
      <c r="Q76" s="224" t="str" cm="1">
        <f t="array" ref="Q76">IF(O76="","",IFERROR(_xlfn.TEXTJOIN(", ",TRUE,_xlfn._xlws.FILTER('[1]Environment Conflicts'!$A$9:$A$34,('[1]Environment Conflicts'!$E$9:$E$34=A76)+('[1]Environment Conflicts'!$F$9:$F$34=A76))),"-"))</f>
        <v>-</v>
      </c>
      <c r="R76" s="224" t="str" cm="1">
        <f t="array" ref="R76">IF(O76="","",IFERROR(_xlfn.TEXTJOIN(", ",TRUE,_xlfn._xlws.FILTER(IF('[1]Environment Conflicts'!$E$9:$E$34=A76,'[1]Environment Conflicts'!$F$9:$F$34,'[1]Environment Conflicts'!$E$9:$E$34),('[1]Environment Conflicts'!$E$9:$E$34=A76)+('[1]Environment Conflicts'!$F$9:$F$34=A76))),"-"))</f>
        <v>-</v>
      </c>
      <c r="S76" s="224" t="str" cm="1">
        <f t="array" ref="S76">IF(O76="","",IFERROR(_xlfn.TEXTJOIN(", ",TRUE,_xlfn._xlws.FILTER('[1]Environment Conflicts'!$J$9:$J$34,('[1]Environment Conflicts'!$E$9:$E$34=A76)+('[1]Environment Conflicts'!$F$9:$F$34=A76))),"-"))</f>
        <v>-</v>
      </c>
      <c r="T76" t="s">
        <v>16284</v>
      </c>
      <c r="W76" t="s">
        <v>16693</v>
      </c>
      <c r="X76" t="s">
        <v>14485</v>
      </c>
      <c r="Y76" s="37"/>
      <c r="Z76" s="37">
        <v>0</v>
      </c>
      <c r="AA76" t="s">
        <v>15784</v>
      </c>
      <c r="AB76" t="s">
        <v>1070</v>
      </c>
      <c r="AC76" t="s">
        <v>16606</v>
      </c>
      <c r="AF76" t="s">
        <v>16592</v>
      </c>
      <c r="AG76" t="s">
        <v>14485</v>
      </c>
      <c r="AH76" t="s">
        <v>14485</v>
      </c>
      <c r="AI76" t="s">
        <v>14485</v>
      </c>
      <c r="AJ76" t="s">
        <v>14485</v>
      </c>
      <c r="AK76" t="s">
        <v>14485</v>
      </c>
      <c r="AL76" t="s">
        <v>14485</v>
      </c>
      <c r="AM76" t="s">
        <v>14485</v>
      </c>
      <c r="AN76" t="s">
        <v>14485</v>
      </c>
      <c r="AO76" t="str">
        <f>IF(A76="","",_xlfn.LET(
        _xlpm.rid,A76,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7" spans="1:41" x14ac:dyDescent="0.3">
      <c r="A77" s="224" t="s">
        <v>16339</v>
      </c>
      <c r="B77" s="224" t="s">
        <v>16747</v>
      </c>
      <c r="C77" s="224" t="s">
        <v>14990</v>
      </c>
      <c r="D77" s="224" t="s">
        <v>15723</v>
      </c>
      <c r="E77" s="20" t="s">
        <v>16748</v>
      </c>
      <c r="F77" s="224" t="s">
        <v>1122</v>
      </c>
      <c r="G77" s="224" t="s">
        <v>14689</v>
      </c>
      <c r="H77" s="224" t="s">
        <v>1136</v>
      </c>
      <c r="I77" s="361">
        <v>46505</v>
      </c>
      <c r="J77" s="361">
        <v>46507</v>
      </c>
      <c r="K77" s="361">
        <v>46507</v>
      </c>
      <c r="L77" s="224" t="s">
        <v>16247</v>
      </c>
      <c r="M77" s="224" t="s">
        <v>16248</v>
      </c>
      <c r="N77" s="224" t="s">
        <v>1070</v>
      </c>
      <c r="O77" s="224" t="str">
        <f t="shared" si="1"/>
        <v>🔴 Critical</v>
      </c>
      <c r="P77" s="426" t="s">
        <v>16115</v>
      </c>
      <c r="Q77" s="224" t="str" cm="1">
        <f t="array" ref="Q77">IF(O77="","",IFERROR(_xlfn.TEXTJOIN(", ",TRUE,_xlfn._xlws.FILTER('[1]Environment Conflicts'!$A$9:$A$34,('[1]Environment Conflicts'!$E$9:$E$34=A77)+('[1]Environment Conflicts'!$F$9:$F$34=A77))),"-"))</f>
        <v>CNF-0016, CNF-0026</v>
      </c>
      <c r="R77" s="224" t="str" cm="1">
        <f t="array" ref="R77">IF(O77="","",IFERROR(_xlfn.TEXTJOIN(", ",TRUE,_xlfn._xlws.FILTER(IF('[1]Environment Conflicts'!$E$9:$E$34=A77,'[1]Environment Conflicts'!$F$9:$F$34,'[1]Environment Conflicts'!$E$9:$E$34),('[1]Environment Conflicts'!$E$9:$E$34=A77)+('[1]Environment Conflicts'!$F$9:$F$34=A77))),"-"))</f>
        <v>REL-0073, REL-0073</v>
      </c>
      <c r="S77" s="224" t="str" cm="1">
        <f t="array" ref="S77">IF(O77="","",IFERROR(_xlfn.TEXTJOIN(", ",TRUE,_xlfn._xlws.FILTER('[1]Environment Conflicts'!$J$9:$J$34,('[1]Environment Conflicts'!$E$9:$E$34=A77)+('[1]Environment Conflicts'!$F$9:$F$34=A77))),"-"))</f>
        <v>Overlapping Test/UAT window, Overlapping Test/UAT window</v>
      </c>
      <c r="T77" t="s">
        <v>16340</v>
      </c>
      <c r="X77" t="s">
        <v>14485</v>
      </c>
      <c r="Y77" s="37"/>
      <c r="Z77" s="37">
        <v>0.11</v>
      </c>
      <c r="AA77" t="s">
        <v>15955</v>
      </c>
      <c r="AB77" t="s">
        <v>1070</v>
      </c>
      <c r="AC77" t="s">
        <v>16610</v>
      </c>
      <c r="AF77" t="s">
        <v>1499</v>
      </c>
      <c r="AG77" t="s">
        <v>14485</v>
      </c>
      <c r="AH77" t="s">
        <v>14485</v>
      </c>
      <c r="AI77" t="s">
        <v>14485</v>
      </c>
      <c r="AJ77" t="s">
        <v>14485</v>
      </c>
      <c r="AK77" t="s">
        <v>14485</v>
      </c>
      <c r="AL77" t="s">
        <v>14485</v>
      </c>
      <c r="AM77" t="s">
        <v>14485</v>
      </c>
      <c r="AN77" t="s">
        <v>14485</v>
      </c>
      <c r="AO77" t="str">
        <f>IF(A77="","",_xlfn.LET(
        _xlpm.rid,A77,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8" spans="1:41" x14ac:dyDescent="0.3">
      <c r="A78" s="224" t="s">
        <v>16343</v>
      </c>
      <c r="B78" s="224" t="s">
        <v>16749</v>
      </c>
      <c r="C78" s="224" t="s">
        <v>152</v>
      </c>
      <c r="D78" s="224" t="s">
        <v>15735</v>
      </c>
      <c r="E78" s="20" t="s">
        <v>16750</v>
      </c>
      <c r="F78" s="224" t="s">
        <v>1122</v>
      </c>
      <c r="G78" s="224" t="s">
        <v>14689</v>
      </c>
      <c r="H78" s="224" t="s">
        <v>1136</v>
      </c>
      <c r="I78" s="361">
        <v>46509</v>
      </c>
      <c r="J78" s="361">
        <v>46511</v>
      </c>
      <c r="K78" s="361">
        <v>46511</v>
      </c>
      <c r="L78" s="224" t="s">
        <v>16144</v>
      </c>
      <c r="M78" s="224" t="s">
        <v>16274</v>
      </c>
      <c r="N78" s="224" t="s">
        <v>1070</v>
      </c>
      <c r="O78" s="224" t="str">
        <f t="shared" si="1"/>
        <v>🟡 Caution</v>
      </c>
      <c r="P78" s="426"/>
      <c r="Q78" s="224" t="str" cm="1">
        <f t="array" ref="Q78">IF(O78="","",IFERROR(_xlfn.TEXTJOIN(", ",TRUE,_xlfn._xlws.FILTER('[1]Environment Conflicts'!$A$9:$A$34,('[1]Environment Conflicts'!$E$9:$E$34=A78)+('[1]Environment Conflicts'!$F$9:$F$34=A78))),"-"))</f>
        <v>-</v>
      </c>
      <c r="R78" s="224" t="str" cm="1">
        <f t="array" ref="R78">IF(O78="","",IFERROR(_xlfn.TEXTJOIN(", ",TRUE,_xlfn._xlws.FILTER(IF('[1]Environment Conflicts'!$E$9:$E$34=A78,'[1]Environment Conflicts'!$F$9:$F$34,'[1]Environment Conflicts'!$E$9:$E$34),('[1]Environment Conflicts'!$E$9:$E$34=A78)+('[1]Environment Conflicts'!$F$9:$F$34=A78))),"-"))</f>
        <v>-</v>
      </c>
      <c r="S78" s="224" t="str" cm="1">
        <f t="array" ref="S78">IF(O78="","",IFERROR(_xlfn.TEXTJOIN(", ",TRUE,_xlfn._xlws.FILTER('[1]Environment Conflicts'!$J$9:$J$34,('[1]Environment Conflicts'!$E$9:$E$34=A78)+('[1]Environment Conflicts'!$F$9:$F$34=A78))),"-"))</f>
        <v>-</v>
      </c>
      <c r="T78" t="s">
        <v>16224</v>
      </c>
      <c r="X78" t="s">
        <v>14485</v>
      </c>
      <c r="Y78" s="37"/>
      <c r="Z78" s="37">
        <v>0.18</v>
      </c>
      <c r="AA78" t="s">
        <v>15960</v>
      </c>
      <c r="AB78" t="s">
        <v>1070</v>
      </c>
      <c r="AC78" t="s">
        <v>16613</v>
      </c>
      <c r="AF78" t="s">
        <v>1499</v>
      </c>
      <c r="AG78" t="s">
        <v>14485</v>
      </c>
      <c r="AH78" t="s">
        <v>14485</v>
      </c>
      <c r="AI78" t="s">
        <v>14485</v>
      </c>
      <c r="AJ78" t="s">
        <v>14485</v>
      </c>
      <c r="AK78" t="s">
        <v>14485</v>
      </c>
      <c r="AL78" t="s">
        <v>14485</v>
      </c>
      <c r="AM78" t="s">
        <v>14485</v>
      </c>
      <c r="AN78" t="s">
        <v>14485</v>
      </c>
      <c r="AO78" t="str">
        <f>IF(A78="","",_xlfn.LET(
        _xlpm.rid,A78,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9" spans="1:41" x14ac:dyDescent="0.3">
      <c r="A79" s="224" t="s">
        <v>16345</v>
      </c>
      <c r="B79" s="224" t="s">
        <v>16751</v>
      </c>
      <c r="C79" s="224" t="s">
        <v>1158</v>
      </c>
      <c r="D79" s="224" t="s">
        <v>15467</v>
      </c>
      <c r="E79" s="20" t="s">
        <v>16586</v>
      </c>
      <c r="F79" s="224" t="s">
        <v>1125</v>
      </c>
      <c r="G79" s="224" t="s">
        <v>1125</v>
      </c>
      <c r="H79" s="224" t="s">
        <v>1134</v>
      </c>
      <c r="I79" s="361">
        <v>46508</v>
      </c>
      <c r="J79" s="361">
        <v>46510</v>
      </c>
      <c r="K79" s="361">
        <v>46511</v>
      </c>
      <c r="L79" s="224" t="s">
        <v>16247</v>
      </c>
      <c r="M79" s="224" t="s">
        <v>16248</v>
      </c>
      <c r="N79" s="224" t="s">
        <v>1070</v>
      </c>
      <c r="O79" s="224" t="str">
        <f t="shared" si="1"/>
        <v>🔴 Critical</v>
      </c>
      <c r="P79" s="426" t="s">
        <v>16115</v>
      </c>
      <c r="Q79" s="224" t="str" cm="1">
        <f t="array" ref="Q79">IF(O79="","",IFERROR(_xlfn.TEXTJOIN(", ",TRUE,_xlfn._xlws.FILTER('[1]Environment Conflicts'!$A$9:$A$34,('[1]Environment Conflicts'!$E$9:$E$34=A79)+('[1]Environment Conflicts'!$F$9:$F$34=A79))),"-"))</f>
        <v>CNF-0016, CNF-0026</v>
      </c>
      <c r="R79" s="224" t="str" cm="1">
        <f t="array" ref="R79">IF(O79="","",IFERROR(_xlfn.TEXTJOIN(", ",TRUE,_xlfn._xlws.FILTER(IF('[1]Environment Conflicts'!$E$9:$E$34=A79,'[1]Environment Conflicts'!$F$9:$F$34,'[1]Environment Conflicts'!$E$9:$E$34),('[1]Environment Conflicts'!$E$9:$E$34=A79)+('[1]Environment Conflicts'!$F$9:$F$34=A79))),"-"))</f>
        <v>REL-0071, REL-0071</v>
      </c>
      <c r="S79" s="224" t="str" cm="1">
        <f t="array" ref="S79">IF(O79="","",IFERROR(_xlfn.TEXTJOIN(", ",TRUE,_xlfn._xlws.FILTER('[1]Environment Conflicts'!$J$9:$J$34,('[1]Environment Conflicts'!$E$9:$E$34=A79)+('[1]Environment Conflicts'!$F$9:$F$34=A79))),"-"))</f>
        <v>Overlapping Test/UAT window, Overlapping Test/UAT window</v>
      </c>
      <c r="T79" t="s">
        <v>16346</v>
      </c>
      <c r="X79" t="s">
        <v>14485</v>
      </c>
      <c r="Y79" s="37"/>
      <c r="Z79" s="37">
        <v>0.14000000000000001</v>
      </c>
      <c r="AA79" t="s">
        <v>15963</v>
      </c>
      <c r="AB79" t="s">
        <v>1070</v>
      </c>
      <c r="AC79" t="s">
        <v>16588</v>
      </c>
      <c r="AD79" t="s">
        <v>16752</v>
      </c>
      <c r="AF79" t="s">
        <v>14600</v>
      </c>
      <c r="AG79" t="s">
        <v>14485</v>
      </c>
      <c r="AH79" t="s">
        <v>14485</v>
      </c>
      <c r="AI79" t="s">
        <v>14485</v>
      </c>
      <c r="AJ79" t="s">
        <v>14485</v>
      </c>
      <c r="AK79" t="s">
        <v>14485</v>
      </c>
      <c r="AL79" t="s">
        <v>14485</v>
      </c>
      <c r="AM79" t="s">
        <v>14485</v>
      </c>
      <c r="AN79" t="s">
        <v>14485</v>
      </c>
      <c r="AO79" t="str">
        <f>IF(A79="","",_xlfn.LET(
        _xlpm.rid,A79,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0" spans="1:41" x14ac:dyDescent="0.3">
      <c r="A80" s="224" t="s">
        <v>16348</v>
      </c>
      <c r="B80" s="224" t="s">
        <v>16753</v>
      </c>
      <c r="C80" s="224" t="s">
        <v>14994</v>
      </c>
      <c r="D80" s="224" t="s">
        <v>15557</v>
      </c>
      <c r="E80" s="20" t="s">
        <v>16754</v>
      </c>
      <c r="F80" s="224" t="s">
        <v>1122</v>
      </c>
      <c r="G80" s="224" t="s">
        <v>14689</v>
      </c>
      <c r="H80" s="224" t="s">
        <v>1136</v>
      </c>
      <c r="I80" s="361">
        <v>46517</v>
      </c>
      <c r="J80" s="361">
        <v>46519</v>
      </c>
      <c r="K80" s="361">
        <v>46519</v>
      </c>
      <c r="L80" s="224" t="s">
        <v>16178</v>
      </c>
      <c r="M80" s="224" t="s">
        <v>16179</v>
      </c>
      <c r="N80" s="224" t="s">
        <v>1070</v>
      </c>
      <c r="O80" s="224" t="str">
        <f t="shared" si="1"/>
        <v>🟡 Caution</v>
      </c>
      <c r="P80" s="426"/>
      <c r="Q80" s="224" t="str" cm="1">
        <f t="array" ref="Q80">IF(O80="","",IFERROR(_xlfn.TEXTJOIN(", ",TRUE,_xlfn._xlws.FILTER('[1]Environment Conflicts'!$A$9:$A$34,('[1]Environment Conflicts'!$E$9:$E$34=A80)+('[1]Environment Conflicts'!$F$9:$F$34=A80))),"-"))</f>
        <v>-</v>
      </c>
      <c r="R80" s="224" t="str" cm="1">
        <f t="array" ref="R80">IF(O80="","",IFERROR(_xlfn.TEXTJOIN(", ",TRUE,_xlfn._xlws.FILTER(IF('[1]Environment Conflicts'!$E$9:$E$34=A80,'[1]Environment Conflicts'!$F$9:$F$34,'[1]Environment Conflicts'!$E$9:$E$34),('[1]Environment Conflicts'!$E$9:$E$34=A80)+('[1]Environment Conflicts'!$F$9:$F$34=A80))),"-"))</f>
        <v>-</v>
      </c>
      <c r="S80" s="224" t="str" cm="1">
        <f t="array" ref="S80">IF(O80="","",IFERROR(_xlfn.TEXTJOIN(", ",TRUE,_xlfn._xlws.FILTER('[1]Environment Conflicts'!$J$9:$J$34,('[1]Environment Conflicts'!$E$9:$E$34=A80)+('[1]Environment Conflicts'!$F$9:$F$34=A80))),"-"))</f>
        <v>-</v>
      </c>
      <c r="T80" t="s">
        <v>16224</v>
      </c>
      <c r="X80" t="s">
        <v>14485</v>
      </c>
      <c r="Y80" s="37"/>
      <c r="Z80" s="37">
        <v>0.16</v>
      </c>
      <c r="AA80" t="s">
        <v>15966</v>
      </c>
      <c r="AB80" t="s">
        <v>1070</v>
      </c>
      <c r="AC80" t="s">
        <v>16591</v>
      </c>
      <c r="AF80" t="s">
        <v>1499</v>
      </c>
      <c r="AG80" t="s">
        <v>14485</v>
      </c>
      <c r="AH80" t="s">
        <v>14485</v>
      </c>
      <c r="AI80" t="s">
        <v>14485</v>
      </c>
      <c r="AJ80" t="s">
        <v>14485</v>
      </c>
      <c r="AK80" t="s">
        <v>14485</v>
      </c>
      <c r="AL80" t="s">
        <v>14485</v>
      </c>
      <c r="AM80" t="s">
        <v>14485</v>
      </c>
      <c r="AN80" t="s">
        <v>14485</v>
      </c>
      <c r="AO80" t="str">
        <f>IF(A80="","",_xlfn.LET(
        _xlpm.rid,A80,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1" spans="1:41" ht="28.8" x14ac:dyDescent="0.3">
      <c r="A81" s="224" t="s">
        <v>16350</v>
      </c>
      <c r="B81" s="224" t="s">
        <v>16755</v>
      </c>
      <c r="C81" s="224" t="s">
        <v>14993</v>
      </c>
      <c r="D81" s="224" t="s">
        <v>15596</v>
      </c>
      <c r="E81" s="20" t="s">
        <v>16756</v>
      </c>
      <c r="F81" s="224" t="s">
        <v>1125</v>
      </c>
      <c r="G81" s="224" t="s">
        <v>1125</v>
      </c>
      <c r="H81" s="224" t="s">
        <v>1136</v>
      </c>
      <c r="I81" s="361">
        <v>46521</v>
      </c>
      <c r="J81" s="361">
        <v>46523</v>
      </c>
      <c r="K81" s="361">
        <v>46524</v>
      </c>
      <c r="L81" s="224" t="s">
        <v>16154</v>
      </c>
      <c r="M81" s="224" t="s">
        <v>16184</v>
      </c>
      <c r="N81" s="224" t="s">
        <v>1070</v>
      </c>
      <c r="O81" s="224" t="str">
        <f t="shared" si="1"/>
        <v>🟡 Caution</v>
      </c>
      <c r="P81" s="426"/>
      <c r="Q81" s="224" t="str" cm="1">
        <f t="array" ref="Q81">IF(O81="","",IFERROR(_xlfn.TEXTJOIN(", ",TRUE,_xlfn._xlws.FILTER('[1]Environment Conflicts'!$A$9:$A$34,('[1]Environment Conflicts'!$E$9:$E$34=A81)+('[1]Environment Conflicts'!$F$9:$F$34=A81))),"-"))</f>
        <v>-</v>
      </c>
      <c r="R81" s="224" t="str" cm="1">
        <f t="array" ref="R81">IF(O81="","",IFERROR(_xlfn.TEXTJOIN(", ",TRUE,_xlfn._xlws.FILTER(IF('[1]Environment Conflicts'!$E$9:$E$34=A81,'[1]Environment Conflicts'!$F$9:$F$34,'[1]Environment Conflicts'!$E$9:$E$34),('[1]Environment Conflicts'!$E$9:$E$34=A81)+('[1]Environment Conflicts'!$F$9:$F$34=A81))),"-"))</f>
        <v>-</v>
      </c>
      <c r="S81" s="224" t="str" cm="1">
        <f t="array" ref="S81">IF(O81="","",IFERROR(_xlfn.TEXTJOIN(", ",TRUE,_xlfn._xlws.FILTER('[1]Environment Conflicts'!$J$9:$J$34,('[1]Environment Conflicts'!$E$9:$E$34=A81)+('[1]Environment Conflicts'!$F$9:$F$34=A81))),"-"))</f>
        <v>-</v>
      </c>
      <c r="T81" t="s">
        <v>16220</v>
      </c>
      <c r="X81" t="s">
        <v>14485</v>
      </c>
      <c r="Y81" s="37"/>
      <c r="Z81" s="37">
        <v>0.04</v>
      </c>
      <c r="AA81" t="s">
        <v>15969</v>
      </c>
      <c r="AB81" t="s">
        <v>1070</v>
      </c>
      <c r="AC81" t="s">
        <v>16596</v>
      </c>
      <c r="AF81" t="s">
        <v>16592</v>
      </c>
      <c r="AG81" t="s">
        <v>14485</v>
      </c>
      <c r="AH81" t="s">
        <v>14485</v>
      </c>
      <c r="AI81" t="s">
        <v>14485</v>
      </c>
      <c r="AJ81" t="s">
        <v>14485</v>
      </c>
      <c r="AK81" t="s">
        <v>14485</v>
      </c>
      <c r="AL81" t="s">
        <v>14485</v>
      </c>
      <c r="AM81" t="s">
        <v>14485</v>
      </c>
      <c r="AN81" t="s">
        <v>14485</v>
      </c>
      <c r="AO81" t="str">
        <f>IF(A81="","",_xlfn.LET(
        _xlpm.rid,A81,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2" spans="1:41" x14ac:dyDescent="0.3">
      <c r="A82" s="224" t="s">
        <v>16352</v>
      </c>
      <c r="B82" s="224" t="s">
        <v>16757</v>
      </c>
      <c r="C82" s="224" t="s">
        <v>14992</v>
      </c>
      <c r="D82" s="224" t="s">
        <v>15614</v>
      </c>
      <c r="E82" s="20" t="s">
        <v>16663</v>
      </c>
      <c r="F82" s="224" t="s">
        <v>1122</v>
      </c>
      <c r="G82" s="224" t="s">
        <v>14689</v>
      </c>
      <c r="H82" s="224" t="s">
        <v>1138</v>
      </c>
      <c r="I82" s="361">
        <v>46525</v>
      </c>
      <c r="J82" s="361">
        <v>46527</v>
      </c>
      <c r="K82" s="361">
        <v>46527</v>
      </c>
      <c r="L82" s="224" t="s">
        <v>16263</v>
      </c>
      <c r="M82" s="224" t="s">
        <v>16128</v>
      </c>
      <c r="N82" s="224" t="s">
        <v>1070</v>
      </c>
      <c r="O82" s="224" t="str">
        <f t="shared" si="1"/>
        <v>🟡 Caution</v>
      </c>
      <c r="P82" s="426"/>
      <c r="Q82" s="224" t="str" cm="1">
        <f t="array" ref="Q82">IF(O82="","",IFERROR(_xlfn.TEXTJOIN(", ",TRUE,_xlfn._xlws.FILTER('[1]Environment Conflicts'!$A$9:$A$34,('[1]Environment Conflicts'!$E$9:$E$34=A82)+('[1]Environment Conflicts'!$F$9:$F$34=A82))),"-"))</f>
        <v>-</v>
      </c>
      <c r="R82" s="224" t="str" cm="1">
        <f t="array" ref="R82">IF(O82="","",IFERROR(_xlfn.TEXTJOIN(", ",TRUE,_xlfn._xlws.FILTER(IF('[1]Environment Conflicts'!$E$9:$E$34=A82,'[1]Environment Conflicts'!$F$9:$F$34,'[1]Environment Conflicts'!$E$9:$E$34),('[1]Environment Conflicts'!$E$9:$E$34=A82)+('[1]Environment Conflicts'!$F$9:$F$34=A82))),"-"))</f>
        <v>-</v>
      </c>
      <c r="S82" s="224" t="str" cm="1">
        <f t="array" ref="S82">IF(O82="","",IFERROR(_xlfn.TEXTJOIN(", ",TRUE,_xlfn._xlws.FILTER('[1]Environment Conflicts'!$J$9:$J$34,('[1]Environment Conflicts'!$E$9:$E$34=A82)+('[1]Environment Conflicts'!$F$9:$F$34=A82))),"-"))</f>
        <v>-</v>
      </c>
      <c r="T82" t="s">
        <v>16204</v>
      </c>
      <c r="X82" t="s">
        <v>14485</v>
      </c>
      <c r="Y82" s="37"/>
      <c r="Z82" s="37">
        <v>0.02</v>
      </c>
      <c r="AA82" t="s">
        <v>15972</v>
      </c>
      <c r="AB82" t="s">
        <v>1070</v>
      </c>
      <c r="AC82" t="s">
        <v>16600</v>
      </c>
      <c r="AF82" t="s">
        <v>1499</v>
      </c>
      <c r="AG82" t="s">
        <v>14485</v>
      </c>
      <c r="AH82" t="s">
        <v>14485</v>
      </c>
      <c r="AI82" t="s">
        <v>14485</v>
      </c>
      <c r="AJ82" t="s">
        <v>14485</v>
      </c>
      <c r="AK82" t="s">
        <v>14485</v>
      </c>
      <c r="AL82" t="s">
        <v>14485</v>
      </c>
      <c r="AM82" t="s">
        <v>14485</v>
      </c>
      <c r="AN82" t="s">
        <v>14485</v>
      </c>
      <c r="AO82" t="str">
        <f>IF(A82="","",_xlfn.LET(
        _xlpm.rid,A82,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3" spans="1:41" x14ac:dyDescent="0.3">
      <c r="A83" s="224" t="s">
        <v>16354</v>
      </c>
      <c r="B83" s="224" t="s">
        <v>16758</v>
      </c>
      <c r="C83" s="224" t="s">
        <v>14991</v>
      </c>
      <c r="D83" s="224" t="s">
        <v>15649</v>
      </c>
      <c r="E83" s="20" t="s">
        <v>16759</v>
      </c>
      <c r="F83" s="224" t="s">
        <v>1128</v>
      </c>
      <c r="G83" s="224" t="s">
        <v>14697</v>
      </c>
      <c r="H83" s="224" t="s">
        <v>1134</v>
      </c>
      <c r="I83" s="361">
        <v>46528</v>
      </c>
      <c r="J83" s="361">
        <v>46531</v>
      </c>
      <c r="K83" s="361">
        <v>46533</v>
      </c>
      <c r="L83" s="224" t="s">
        <v>16313</v>
      </c>
      <c r="M83" s="224" t="s">
        <v>16132</v>
      </c>
      <c r="N83" s="224" t="s">
        <v>1070</v>
      </c>
      <c r="O83" s="224" t="str">
        <f t="shared" si="1"/>
        <v>🟡 Caution</v>
      </c>
      <c r="P83" s="426"/>
      <c r="Q83" s="224" t="str" cm="1">
        <f t="array" ref="Q83">IF(O83="","",IFERROR(_xlfn.TEXTJOIN(", ",TRUE,_xlfn._xlws.FILTER('[1]Environment Conflicts'!$A$9:$A$34,('[1]Environment Conflicts'!$E$9:$E$34=A83)+('[1]Environment Conflicts'!$F$9:$F$34=A83))),"-"))</f>
        <v>-</v>
      </c>
      <c r="R83" s="224" t="str" cm="1">
        <f t="array" ref="R83">IF(O83="","",IFERROR(_xlfn.TEXTJOIN(", ",TRUE,_xlfn._xlws.FILTER(IF('[1]Environment Conflicts'!$E$9:$E$34=A83,'[1]Environment Conflicts'!$F$9:$F$34,'[1]Environment Conflicts'!$E$9:$E$34),('[1]Environment Conflicts'!$E$9:$E$34=A83)+('[1]Environment Conflicts'!$F$9:$F$34=A83))),"-"))</f>
        <v>-</v>
      </c>
      <c r="S83" s="224" t="str" cm="1">
        <f t="array" ref="S83">IF(O83="","",IFERROR(_xlfn.TEXTJOIN(", ",TRUE,_xlfn._xlws.FILTER('[1]Environment Conflicts'!$J$9:$J$34,('[1]Environment Conflicts'!$E$9:$E$34=A83)+('[1]Environment Conflicts'!$F$9:$F$34=A83))),"-"))</f>
        <v>-</v>
      </c>
      <c r="T83" t="s">
        <v>16294</v>
      </c>
      <c r="X83" t="s">
        <v>14485</v>
      </c>
      <c r="Y83" s="37"/>
      <c r="Z83" s="37">
        <v>0.02</v>
      </c>
      <c r="AA83" t="s">
        <v>15975</v>
      </c>
      <c r="AB83" t="s">
        <v>1070</v>
      </c>
      <c r="AC83" t="s">
        <v>16603</v>
      </c>
      <c r="AD83" t="s">
        <v>16352</v>
      </c>
      <c r="AF83" t="s">
        <v>16592</v>
      </c>
      <c r="AG83" t="s">
        <v>14485</v>
      </c>
      <c r="AH83" t="s">
        <v>14485</v>
      </c>
      <c r="AI83" t="s">
        <v>14485</v>
      </c>
      <c r="AJ83" t="s">
        <v>14485</v>
      </c>
      <c r="AK83" t="s">
        <v>14485</v>
      </c>
      <c r="AL83" t="s">
        <v>14485</v>
      </c>
      <c r="AM83" t="s">
        <v>14485</v>
      </c>
      <c r="AN83" t="s">
        <v>14485</v>
      </c>
      <c r="AO83" t="str">
        <f>IF(A83="","",_xlfn.LET(
        _xlpm.rid,A83,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4" spans="1:41" x14ac:dyDescent="0.3">
      <c r="A84" s="224" t="s">
        <v>16356</v>
      </c>
      <c r="B84" s="224" t="s">
        <v>16760</v>
      </c>
      <c r="C84" s="224" t="s">
        <v>1159</v>
      </c>
      <c r="D84" s="224" t="s">
        <v>15681</v>
      </c>
      <c r="E84" s="20" t="s">
        <v>16761</v>
      </c>
      <c r="F84" s="224" t="s">
        <v>1125</v>
      </c>
      <c r="G84" s="224" t="s">
        <v>14697</v>
      </c>
      <c r="H84" s="224" t="s">
        <v>1132</v>
      </c>
      <c r="I84" s="361">
        <v>46536</v>
      </c>
      <c r="J84" s="361">
        <v>46538</v>
      </c>
      <c r="K84" s="361">
        <v>46539</v>
      </c>
      <c r="L84" s="224" t="s">
        <v>16269</v>
      </c>
      <c r="M84" s="224" t="s">
        <v>16244</v>
      </c>
      <c r="N84" s="224" t="s">
        <v>1070</v>
      </c>
      <c r="O84" s="224" t="str">
        <f t="shared" si="1"/>
        <v>🟡 Caution</v>
      </c>
      <c r="P84" s="426"/>
      <c r="Q84" s="224" t="str" cm="1">
        <f t="array" ref="Q84">IF(O84="","",IFERROR(_xlfn.TEXTJOIN(", ",TRUE,_xlfn._xlws.FILTER('[1]Environment Conflicts'!$A$9:$A$34,('[1]Environment Conflicts'!$E$9:$E$34=A84)+('[1]Environment Conflicts'!$F$9:$F$34=A84))),"-"))</f>
        <v>-</v>
      </c>
      <c r="R84" s="224" t="str" cm="1">
        <f t="array" ref="R84">IF(O84="","",IFERROR(_xlfn.TEXTJOIN(", ",TRUE,_xlfn._xlws.FILTER(IF('[1]Environment Conflicts'!$E$9:$E$34=A84,'[1]Environment Conflicts'!$F$9:$F$34,'[1]Environment Conflicts'!$E$9:$E$34),('[1]Environment Conflicts'!$E$9:$E$34=A84)+('[1]Environment Conflicts'!$F$9:$F$34=A84))),"-"))</f>
        <v>-</v>
      </c>
      <c r="S84" s="224" t="str" cm="1">
        <f t="array" ref="S84">IF(O84="","",IFERROR(_xlfn.TEXTJOIN(", ",TRUE,_xlfn._xlws.FILTER('[1]Environment Conflicts'!$J$9:$J$34,('[1]Environment Conflicts'!$E$9:$E$34=A84)+('[1]Environment Conflicts'!$F$9:$F$34=A84))),"-"))</f>
        <v>-</v>
      </c>
      <c r="T84" t="s">
        <v>16357</v>
      </c>
      <c r="X84" t="s">
        <v>14485</v>
      </c>
      <c r="Y84" s="37"/>
      <c r="Z84" s="37">
        <v>0.06</v>
      </c>
      <c r="AA84" t="s">
        <v>15978</v>
      </c>
      <c r="AB84" t="s">
        <v>1070</v>
      </c>
      <c r="AC84" t="s">
        <v>16606</v>
      </c>
      <c r="AF84" t="s">
        <v>16592</v>
      </c>
      <c r="AG84" t="s">
        <v>14485</v>
      </c>
      <c r="AH84" t="s">
        <v>14485</v>
      </c>
      <c r="AI84" t="s">
        <v>14485</v>
      </c>
      <c r="AJ84" t="s">
        <v>14485</v>
      </c>
      <c r="AK84" t="s">
        <v>14485</v>
      </c>
      <c r="AL84" t="s">
        <v>14485</v>
      </c>
      <c r="AM84" t="s">
        <v>14485</v>
      </c>
      <c r="AN84" t="s">
        <v>14485</v>
      </c>
      <c r="AO84" t="str">
        <f>IF(A84="","",_xlfn.LET(
        _xlpm.rid,A84,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5" spans="1:41" x14ac:dyDescent="0.3">
      <c r="A85" s="224" t="s">
        <v>16359</v>
      </c>
      <c r="B85" s="224" t="s">
        <v>16762</v>
      </c>
      <c r="C85" s="224" t="s">
        <v>14990</v>
      </c>
      <c r="D85" s="224" t="s">
        <v>15714</v>
      </c>
      <c r="E85" s="20" t="s">
        <v>16763</v>
      </c>
      <c r="F85" s="224" t="s">
        <v>1125</v>
      </c>
      <c r="G85" s="224" t="s">
        <v>14697</v>
      </c>
      <c r="H85" s="224" t="s">
        <v>1134</v>
      </c>
      <c r="I85" s="361">
        <v>46540</v>
      </c>
      <c r="J85" s="361">
        <v>46542</v>
      </c>
      <c r="K85" s="361">
        <v>46543</v>
      </c>
      <c r="L85" s="224" t="s">
        <v>16318</v>
      </c>
      <c r="M85" s="224" t="s">
        <v>16248</v>
      </c>
      <c r="N85" s="224" t="s">
        <v>1070</v>
      </c>
      <c r="O85" s="224" t="str">
        <f t="shared" si="1"/>
        <v>🟡 Caution</v>
      </c>
      <c r="P85" s="426"/>
      <c r="Q85" s="224" t="str" cm="1">
        <f t="array" ref="Q85">IF(O85="","",IFERROR(_xlfn.TEXTJOIN(", ",TRUE,_xlfn._xlws.FILTER('[1]Environment Conflicts'!$A$9:$A$34,('[1]Environment Conflicts'!$E$9:$E$34=A85)+('[1]Environment Conflicts'!$F$9:$F$34=A85))),"-"))</f>
        <v>-</v>
      </c>
      <c r="R85" s="224" t="str" cm="1">
        <f t="array" ref="R85">IF(O85="","",IFERROR(_xlfn.TEXTJOIN(", ",TRUE,_xlfn._xlws.FILTER(IF('[1]Environment Conflicts'!$E$9:$E$34=A85,'[1]Environment Conflicts'!$F$9:$F$34,'[1]Environment Conflicts'!$E$9:$E$34),('[1]Environment Conflicts'!$E$9:$E$34=A85)+('[1]Environment Conflicts'!$F$9:$F$34=A85))),"-"))</f>
        <v>-</v>
      </c>
      <c r="S85" s="224" t="str" cm="1">
        <f t="array" ref="S85">IF(O85="","",IFERROR(_xlfn.TEXTJOIN(", ",TRUE,_xlfn._xlws.FILTER('[1]Environment Conflicts'!$J$9:$J$34,('[1]Environment Conflicts'!$E$9:$E$34=A85)+('[1]Environment Conflicts'!$F$9:$F$34=A85))),"-"))</f>
        <v>-</v>
      </c>
      <c r="T85" t="s">
        <v>16220</v>
      </c>
      <c r="X85" t="s">
        <v>14485</v>
      </c>
      <c r="Y85" s="37"/>
      <c r="Z85" s="37">
        <v>0.08</v>
      </c>
      <c r="AA85" t="s">
        <v>15768</v>
      </c>
      <c r="AB85" t="s">
        <v>1070</v>
      </c>
      <c r="AC85" t="s">
        <v>16610</v>
      </c>
      <c r="AE85" t="s">
        <v>16669</v>
      </c>
      <c r="AF85" t="s">
        <v>14600</v>
      </c>
      <c r="AG85" t="s">
        <v>14485</v>
      </c>
      <c r="AH85" t="s">
        <v>14485</v>
      </c>
      <c r="AI85" t="s">
        <v>14485</v>
      </c>
      <c r="AJ85" t="s">
        <v>14485</v>
      </c>
      <c r="AK85" t="s">
        <v>14485</v>
      </c>
      <c r="AL85" t="s">
        <v>14485</v>
      </c>
      <c r="AM85" t="s">
        <v>14485</v>
      </c>
      <c r="AN85" t="s">
        <v>14485</v>
      </c>
      <c r="AO85" t="str">
        <f>IF(A85="","",_xlfn.LET(
        _xlpm.rid,A85,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6" spans="1:41" ht="28.8" x14ac:dyDescent="0.3">
      <c r="A86" s="224" t="s">
        <v>16361</v>
      </c>
      <c r="B86" s="224" t="s">
        <v>16764</v>
      </c>
      <c r="C86" s="224" t="s">
        <v>152</v>
      </c>
      <c r="D86" s="224" t="s">
        <v>15732</v>
      </c>
      <c r="E86" s="20" t="s">
        <v>16765</v>
      </c>
      <c r="F86" s="224" t="s">
        <v>1125</v>
      </c>
      <c r="G86" s="224" t="s">
        <v>14697</v>
      </c>
      <c r="H86" s="224" t="s">
        <v>1132</v>
      </c>
      <c r="I86" s="361">
        <v>46544</v>
      </c>
      <c r="J86" s="361">
        <v>46546</v>
      </c>
      <c r="K86" s="361">
        <v>46547</v>
      </c>
      <c r="L86" s="224" t="s">
        <v>16251</v>
      </c>
      <c r="M86" s="224" t="s">
        <v>16274</v>
      </c>
      <c r="N86" s="224" t="s">
        <v>1070</v>
      </c>
      <c r="O86" s="224" t="str">
        <f t="shared" si="1"/>
        <v>🟡 Caution</v>
      </c>
      <c r="P86" s="426"/>
      <c r="Q86" s="224" t="str" cm="1">
        <f t="array" ref="Q86">IF(O86="","",IFERROR(_xlfn.TEXTJOIN(", ",TRUE,_xlfn._xlws.FILTER('[1]Environment Conflicts'!$A$9:$A$34,('[1]Environment Conflicts'!$E$9:$E$34=A86)+('[1]Environment Conflicts'!$F$9:$F$34=A86))),"-"))</f>
        <v>-</v>
      </c>
      <c r="R86" s="224" t="str" cm="1">
        <f t="array" ref="R86">IF(O86="","",IFERROR(_xlfn.TEXTJOIN(", ",TRUE,_xlfn._xlws.FILTER(IF('[1]Environment Conflicts'!$E$9:$E$34=A86,'[1]Environment Conflicts'!$F$9:$F$34,'[1]Environment Conflicts'!$E$9:$E$34),('[1]Environment Conflicts'!$E$9:$E$34=A86)+('[1]Environment Conflicts'!$F$9:$F$34=A86))),"-"))</f>
        <v>-</v>
      </c>
      <c r="S86" s="224" t="str" cm="1">
        <f t="array" ref="S86">IF(O86="","",IFERROR(_xlfn.TEXTJOIN(", ",TRUE,_xlfn._xlws.FILTER('[1]Environment Conflicts'!$J$9:$J$34,('[1]Environment Conflicts'!$E$9:$E$34=A86)+('[1]Environment Conflicts'!$F$9:$F$34=A86))),"-"))</f>
        <v>-</v>
      </c>
      <c r="T86" t="s">
        <v>16180</v>
      </c>
      <c r="X86" t="s">
        <v>14485</v>
      </c>
      <c r="Y86" s="37"/>
      <c r="Z86" s="37">
        <v>0.08</v>
      </c>
      <c r="AA86" t="s">
        <v>15772</v>
      </c>
      <c r="AB86" t="s">
        <v>1070</v>
      </c>
      <c r="AC86" t="s">
        <v>16613</v>
      </c>
      <c r="AF86" t="s">
        <v>16592</v>
      </c>
      <c r="AG86" t="s">
        <v>14485</v>
      </c>
      <c r="AH86" t="s">
        <v>14485</v>
      </c>
      <c r="AI86" t="s">
        <v>14485</v>
      </c>
      <c r="AJ86" t="s">
        <v>14485</v>
      </c>
      <c r="AK86" t="s">
        <v>14485</v>
      </c>
      <c r="AL86" t="s">
        <v>14485</v>
      </c>
      <c r="AM86" t="s">
        <v>14485</v>
      </c>
      <c r="AN86" t="s">
        <v>14485</v>
      </c>
      <c r="AO86" t="str">
        <f>IF(A86="","",_xlfn.LET(
        _xlpm.rid,A86,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7" spans="1:41" x14ac:dyDescent="0.3">
      <c r="AO87" t="str">
        <f>IF(A87="","",_xlfn.LET(
        _xlpm.rid,A87,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88" spans="1:41" x14ac:dyDescent="0.3">
      <c r="A88" s="16" t="s">
        <v>16766</v>
      </c>
      <c r="B88" s="16"/>
      <c r="C88" s="16"/>
      <c r="D88" s="16"/>
      <c r="E88" s="16"/>
      <c r="F88" s="16"/>
      <c r="G88" s="16"/>
      <c r="H88" s="16"/>
      <c r="I88" s="16"/>
      <c r="J88" s="16"/>
      <c r="K88" s="16"/>
      <c r="L88" s="16"/>
      <c r="M88" s="16"/>
      <c r="N88" s="16"/>
      <c r="O88" s="16"/>
      <c r="S88" s="16"/>
      <c r="T88" s="16"/>
      <c r="U88" s="16"/>
      <c r="AO88" t="str">
        <f>IF(A88="","",_xlfn.LET(
        _xlpm.rid,A88,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9" spans="1:41" x14ac:dyDescent="0.3">
      <c r="AO89" t="str">
        <f>IF(A89="","",_xlfn.LET(
        _xlpm.rid,A89,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90" spans="1:41" x14ac:dyDescent="0.3">
      <c r="A90" t="s">
        <v>16767</v>
      </c>
      <c r="AO90" t="str">
        <f>IF(A90="","",_xlfn.LET(
        _xlpm.rid,A90,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1" spans="1:41" x14ac:dyDescent="0.3">
      <c r="A91" t="s">
        <v>16768</v>
      </c>
      <c r="AO91" t="str">
        <f>IF(A91="","",_xlfn.LET(
        _xlpm.rid,A91,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2" spans="1:41" x14ac:dyDescent="0.3">
      <c r="A92" t="s">
        <v>16769</v>
      </c>
      <c r="AO92" t="str">
        <f>IF(A92="","",_xlfn.LET(
        _xlpm.rid,A92,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3" spans="1:41" x14ac:dyDescent="0.3">
      <c r="A93" t="s">
        <v>16770</v>
      </c>
      <c r="H93" t="s">
        <v>16771</v>
      </c>
      <c r="AO93" t="str">
        <f>IF(A93="","",_xlfn.LET(
        _xlpm.rid,A93,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4" spans="1:41" x14ac:dyDescent="0.3">
      <c r="A94" t="s">
        <v>16772</v>
      </c>
      <c r="AO94" t="str">
        <f>IF(A94="","",_xlfn.LET(
        _xlpm.rid,A94,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5" spans="1:41" x14ac:dyDescent="0.3">
      <c r="A95" t="s">
        <v>16773</v>
      </c>
      <c r="AO95" t="str">
        <f>IF(A95="","",_xlfn.LET(
        _xlpm.rid,A95,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6" spans="1:41" x14ac:dyDescent="0.3">
      <c r="A96" t="s">
        <v>16774</v>
      </c>
      <c r="AO96" t="str">
        <f>IF(A96="","",_xlfn.LET(
        _xlpm.rid,A96,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7" spans="1:41" x14ac:dyDescent="0.3">
      <c r="AO97" t="str">
        <f>IF(A97="","",_xlfn.LET(
        _xlpm.rid,A97,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98" spans="1:41" x14ac:dyDescent="0.3">
      <c r="A98" t="s">
        <v>16775</v>
      </c>
      <c r="AO98" t="str">
        <f>IF(A98="","",_xlfn.LET(
        _xlpm.rid,A98,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9" spans="1:41" x14ac:dyDescent="0.3">
      <c r="A99" t="s">
        <v>16776</v>
      </c>
      <c r="AO99" t="str">
        <f>IF(A99="","",_xlfn.LET(
        _xlpm.rid,A99,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0" spans="1:41" x14ac:dyDescent="0.3">
      <c r="A100" t="s">
        <v>16777</v>
      </c>
      <c r="AO100" t="str">
        <f>IF(A100="","",_xlfn.LET(
        _xlpm.rid,A100,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1" spans="1:41" x14ac:dyDescent="0.3">
      <c r="A101" t="s">
        <v>16778</v>
      </c>
      <c r="AO101" t="str">
        <f>IF(A101="","",_xlfn.LET(
        _xlpm.rid,A101,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2" spans="1:41" x14ac:dyDescent="0.3">
      <c r="A102" t="s">
        <v>16779</v>
      </c>
      <c r="AO102" t="str">
        <f>IF(A102="","",_xlfn.LET(
        _xlpm.rid,A102,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3" spans="1:41" x14ac:dyDescent="0.3">
      <c r="AO103" t="str">
        <f>IF(A103="","",_xlfn.LET(
        _xlpm.rid,A103,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4" spans="1:41" x14ac:dyDescent="0.3">
      <c r="A104" t="s">
        <v>16780</v>
      </c>
      <c r="AO104" t="str">
        <f>IF(A104="","",_xlfn.LET(
        _xlpm.rid,A104,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5" spans="1:41" x14ac:dyDescent="0.3">
      <c r="AO105" t="str">
        <f>IF(A105="","",_xlfn.LET(
        _xlpm.rid,A105,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6" spans="1:41" x14ac:dyDescent="0.3">
      <c r="A106" t="s">
        <v>16781</v>
      </c>
      <c r="AO106" t="str">
        <f>IF(A106="","",_xlfn.LET(
        _xlpm.rid,A106,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7" spans="1:41" x14ac:dyDescent="0.3">
      <c r="AO107" t="str">
        <f>IF(A107="","",_xlfn.LET(
        _xlpm.rid,A107,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8" spans="1:41" x14ac:dyDescent="0.3">
      <c r="A108" t="s">
        <v>16399</v>
      </c>
      <c r="AO108" t="str">
        <f>IF(A108="","",_xlfn.LET(
        _xlpm.rid,A108,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9" spans="1:41" x14ac:dyDescent="0.3">
      <c r="AO109" t="str">
        <f>IF(A109="","",_xlfn.LET(
        _xlpm.rid,A109,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0" spans="1:41" x14ac:dyDescent="0.3">
      <c r="AO110" t="str">
        <f>IF(A110="","",_xlfn.LET(
        _xlpm.rid,A110,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1" spans="1:41" x14ac:dyDescent="0.3">
      <c r="A111" s="16" t="s">
        <v>16782</v>
      </c>
      <c r="B111" s="16"/>
      <c r="C111" s="16"/>
      <c r="D111" s="16"/>
      <c r="E111" s="16"/>
      <c r="F111" s="16"/>
      <c r="G111" s="16"/>
      <c r="H111" s="16"/>
      <c r="I111" s="16"/>
      <c r="J111" s="16"/>
      <c r="K111" s="16"/>
      <c r="L111" s="16"/>
      <c r="M111" s="16"/>
      <c r="N111" s="16"/>
      <c r="O111" s="16"/>
      <c r="S111" s="16"/>
      <c r="T111" s="16"/>
      <c r="U111" s="16"/>
      <c r="AO111" t="str">
        <f>IF(A111="","",_xlfn.LET(
        _xlpm.rid,A111,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2" spans="1:41" x14ac:dyDescent="0.3">
      <c r="AO112" t="str">
        <f>IF(A112="","",_xlfn.LET(
        _xlpm.rid,A112,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3" spans="1:41" x14ac:dyDescent="0.3">
      <c r="A113" t="s">
        <v>16401</v>
      </c>
      <c r="AO113" t="str">
        <f>IF(A113="","",_xlfn.LET(
        _xlpm.rid,A113,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4" spans="1:41" x14ac:dyDescent="0.3">
      <c r="A114" t="s">
        <v>16783</v>
      </c>
      <c r="AO114" t="str">
        <f>IF(A114="","",_xlfn.LET(
        _xlpm.rid,A114,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5" spans="1:41" x14ac:dyDescent="0.3">
      <c r="A115" t="s">
        <v>16784</v>
      </c>
      <c r="AO115" t="str">
        <f>IF(A115="","",_xlfn.LET(
        _xlpm.rid,A115,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6" spans="1:41" x14ac:dyDescent="0.3">
      <c r="A116" t="s">
        <v>16785</v>
      </c>
      <c r="AO116" t="str">
        <f>IF(A116="","",_xlfn.LET(
        _xlpm.rid,A116,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7" spans="1:41" x14ac:dyDescent="0.3">
      <c r="AO117" t="str">
        <f>IF(A117="","",_xlfn.LET(
        _xlpm.rid,A117,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8" spans="1:41" x14ac:dyDescent="0.3">
      <c r="A118" t="s">
        <v>16786</v>
      </c>
      <c r="AO118" t="str">
        <f>IF(A118="","",_xlfn.LET(
        _xlpm.rid,A118,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9" spans="1:41" x14ac:dyDescent="0.3">
      <c r="AO119" t="str">
        <f>IF(A119="","",_xlfn.LET(
        _xlpm.rid,A119,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20" spans="1:41" x14ac:dyDescent="0.3">
      <c r="A120" t="s">
        <v>16787</v>
      </c>
      <c r="AO120" t="str">
        <f>IF(A120="","",_xlfn.LET(
        _xlpm.rid,A120,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1" spans="1:41" x14ac:dyDescent="0.3">
      <c r="A121" t="s">
        <v>16407</v>
      </c>
      <c r="AO121" t="str">
        <f>IF(A121="","",_xlfn.LET(
        _xlpm.rid,A121,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2" spans="1:41" x14ac:dyDescent="0.3">
      <c r="A122" t="s">
        <v>16788</v>
      </c>
      <c r="AO122" t="str">
        <f>IF(A122="","",_xlfn.LET(
        _xlpm.rid,A122,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3" spans="1:41" x14ac:dyDescent="0.3">
      <c r="A123" t="s">
        <v>16789</v>
      </c>
      <c r="AO123" t="str">
        <f>IF(A123="","",_xlfn.LET(
        _xlpm.rid,A123,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4" spans="1:41" x14ac:dyDescent="0.3">
      <c r="A124" t="s">
        <v>16790</v>
      </c>
      <c r="AO124" t="str">
        <f>IF(A124="","",_xlfn.LET(
        _xlpm.rid,A124,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5" spans="1:41" x14ac:dyDescent="0.3">
      <c r="A125" t="s">
        <v>16791</v>
      </c>
      <c r="AO125" t="str">
        <f>IF(A125="","",_xlfn.LET(
        _xlpm.rid,A125,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6" spans="1:41" x14ac:dyDescent="0.3">
      <c r="A126" t="s">
        <v>16792</v>
      </c>
      <c r="AO126" t="str">
        <f>IF(A126="","",_xlfn.LET(
        _xlpm.rid,A126,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7" spans="1:41" x14ac:dyDescent="0.3">
      <c r="A127" t="s">
        <v>16793</v>
      </c>
      <c r="AO127" t="str">
        <f>IF(A127="","",_xlfn.LET(
        _xlpm.rid,A127,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8" spans="1:41" x14ac:dyDescent="0.3">
      <c r="A128" t="s">
        <v>16794</v>
      </c>
      <c r="AO128" t="str">
        <f>IF(A128="","",_xlfn.LET(
        _xlpm.rid,A128,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9" spans="1:41" x14ac:dyDescent="0.3">
      <c r="A129" t="s">
        <v>16795</v>
      </c>
      <c r="AO129" t="str">
        <f>IF(A129="","",_xlfn.LET(
        _xlpm.rid,A129,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0" spans="1:41" x14ac:dyDescent="0.3">
      <c r="AO130" t="str">
        <f>IF(A130="","",_xlfn.LET(
        _xlpm.rid,A130,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31" spans="1:41" x14ac:dyDescent="0.3">
      <c r="A131" t="s">
        <v>16796</v>
      </c>
      <c r="AO131" t="str">
        <f>IF(A131="","",_xlfn.LET(
        _xlpm.rid,A131,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2" spans="1:41" x14ac:dyDescent="0.3">
      <c r="AO132" t="str">
        <f>IF(A132="","",_xlfn.LET(
        _xlpm.rid,A132,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33" spans="1:41" x14ac:dyDescent="0.3">
      <c r="A133" t="s">
        <v>16797</v>
      </c>
      <c r="AO133" t="str">
        <f>IF(A133="","",_xlfn.LET(
        _xlpm.rid,A133,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4" spans="1:41" x14ac:dyDescent="0.3">
      <c r="A134" t="s">
        <v>16407</v>
      </c>
      <c r="AO134" t="str">
        <f>IF(A134="","",_xlfn.LET(
        _xlpm.rid,A134,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5" spans="1:41" x14ac:dyDescent="0.3">
      <c r="A135" t="s">
        <v>16798</v>
      </c>
      <c r="AO135" t="str">
        <f>IF(A135="","",_xlfn.LET(
        _xlpm.rid,A135,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6" spans="1:41" x14ac:dyDescent="0.3">
      <c r="A136" t="s">
        <v>16799</v>
      </c>
      <c r="AO136" t="str">
        <f>IF(A136="","",_xlfn.LET(
        _xlpm.rid,A136,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7" spans="1:41" x14ac:dyDescent="0.3">
      <c r="A137" t="s">
        <v>16800</v>
      </c>
      <c r="AO137" t="str">
        <f>IF(A137="","",_xlfn.LET(
        _xlpm.rid,A137,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8" spans="1:41" x14ac:dyDescent="0.3">
      <c r="A138" t="s">
        <v>16801</v>
      </c>
      <c r="AO138" t="str">
        <f>IF(A138="","",_xlfn.LET(
        _xlpm.rid,A138,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9" spans="1:41" x14ac:dyDescent="0.3">
      <c r="AO139" t="str">
        <f>IF(A139="","",_xlfn.LET(
        _xlpm.rid,A139,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40" spans="1:41" x14ac:dyDescent="0.3">
      <c r="A140" t="s">
        <v>16431</v>
      </c>
      <c r="AO140" t="str">
        <f>IF(A140="","",_xlfn.LET(
        _xlpm.rid,A140,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1" spans="1:41" x14ac:dyDescent="0.3">
      <c r="AO141" t="str">
        <f>IF(A141="","",_xlfn.LET(
        _xlpm.rid,A141,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42" spans="1:41" x14ac:dyDescent="0.3">
      <c r="A142" t="s">
        <v>16802</v>
      </c>
      <c r="AO142" t="str">
        <f>IF(A142="","",_xlfn.LET(
        _xlpm.rid,A142,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3" spans="1:41" x14ac:dyDescent="0.3">
      <c r="A143" t="s">
        <v>16803</v>
      </c>
      <c r="AO143" t="str">
        <f>IF(A143="","",_xlfn.LET(
        _xlpm.rid,A143,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4" spans="1:41" x14ac:dyDescent="0.3">
      <c r="A144" t="s">
        <v>16804</v>
      </c>
      <c r="AO144" t="str">
        <f>IF(A144="","",_xlfn.LET(
        _xlpm.rid,A144,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5" spans="1:41" x14ac:dyDescent="0.3">
      <c r="A145" t="s">
        <v>16805</v>
      </c>
      <c r="AO145" t="str">
        <f>IF(A145="","",_xlfn.LET(
        _xlpm.rid,A145,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6" spans="1:41" x14ac:dyDescent="0.3">
      <c r="A146" t="s">
        <v>16806</v>
      </c>
      <c r="AO146" t="str">
        <f>IF(A146="","",_xlfn.LET(
        _xlpm.rid,A146,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7" spans="1:41" x14ac:dyDescent="0.3">
      <c r="A147" t="s">
        <v>16807</v>
      </c>
      <c r="AO147" t="str">
        <f>IF(A147="","",_xlfn.LET(
        _xlpm.rid,A147,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8" spans="1:41" x14ac:dyDescent="0.3">
      <c r="A148" t="s">
        <v>16808</v>
      </c>
      <c r="AO148" t="str">
        <f>IF(A148="","",_xlfn.LET(
        _xlpm.rid,A148,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9" spans="1:41" x14ac:dyDescent="0.3">
      <c r="A149" t="s">
        <v>16809</v>
      </c>
      <c r="AO149" t="str">
        <f>IF(A149="","",_xlfn.LET(
        _xlpm.rid,A149,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0" spans="1:41" x14ac:dyDescent="0.3">
      <c r="A150" t="s">
        <v>16810</v>
      </c>
      <c r="AO150" t="str">
        <f>IF(A150="","",_xlfn.LET(
        _xlpm.rid,A150,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1" spans="1:41" x14ac:dyDescent="0.3">
      <c r="A151" t="s">
        <v>16811</v>
      </c>
      <c r="AO151" t="str">
        <f>IF(A151="","",_xlfn.LET(
        _xlpm.rid,A151,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2" spans="1:41" x14ac:dyDescent="0.3">
      <c r="A152" t="s">
        <v>16812</v>
      </c>
      <c r="AO152" t="str">
        <f>IF(A152="","",_xlfn.LET(
        _xlpm.rid,A152,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3" spans="1:41" x14ac:dyDescent="0.3">
      <c r="A153" t="s">
        <v>16813</v>
      </c>
      <c r="AO153" t="str">
        <f>IF(A153="","",_xlfn.LET(
        _xlpm.rid,A153,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4" spans="1:41" x14ac:dyDescent="0.3">
      <c r="A154" t="s">
        <v>16814</v>
      </c>
      <c r="AO154" t="str">
        <f>IF(A154="","",_xlfn.LET(
        _xlpm.rid,A154,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5" spans="1:41" x14ac:dyDescent="0.3">
      <c r="A155" t="s">
        <v>16815</v>
      </c>
      <c r="AO155" t="str">
        <f>IF(A155="","",_xlfn.LET(
        _xlpm.rid,A155,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6" spans="1:41" x14ac:dyDescent="0.3">
      <c r="AO156" t="str">
        <f>IF(A156="","",_xlfn.LET(
        _xlpm.rid,A156,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57" spans="1:41" x14ac:dyDescent="0.3">
      <c r="A157" t="s">
        <v>16419</v>
      </c>
      <c r="AO157" t="str">
        <f>IF(A157="","",_xlfn.LET(
        _xlpm.rid,A157,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8" spans="1:41" x14ac:dyDescent="0.3">
      <c r="AO158" t="str">
        <f>IF(A158="","",_xlfn.LET(
        _xlpm.rid,A158,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59" spans="1:41" x14ac:dyDescent="0.3">
      <c r="A159" t="s">
        <v>16816</v>
      </c>
      <c r="AO159" t="str">
        <f>IF(A159="","",_xlfn.LET(
        _xlpm.rid,A159,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0" spans="1:41" x14ac:dyDescent="0.3">
      <c r="A160" t="s">
        <v>16817</v>
      </c>
      <c r="AO160" t="str">
        <f>IF(A160="","",_xlfn.LET(
        _xlpm.rid,A160,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1" spans="1:41" x14ac:dyDescent="0.3">
      <c r="A161" t="s">
        <v>16818</v>
      </c>
      <c r="AO161" t="str">
        <f>IF(A161="","",_xlfn.LET(
        _xlpm.rid,A161,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2" spans="1:41" x14ac:dyDescent="0.3">
      <c r="A162" t="s">
        <v>16819</v>
      </c>
      <c r="AO162" t="str">
        <f>IF(A162="","",_xlfn.LET(
        _xlpm.rid,A162,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3" spans="1:41" x14ac:dyDescent="0.3">
      <c r="AO163" t="str">
        <f>IF(A163="","",_xlfn.LET(
        _xlpm.rid,A163,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64" spans="1:41" x14ac:dyDescent="0.3">
      <c r="A164" t="s">
        <v>16820</v>
      </c>
      <c r="AO164" t="str">
        <f>IF(A164="","",_xlfn.LET(
        _xlpm.rid,A164,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5" spans="1:41" x14ac:dyDescent="0.3">
      <c r="A165" t="s">
        <v>16821</v>
      </c>
      <c r="AO165" t="str">
        <f>IF(A165="","",_xlfn.LET(
        _xlpm.rid,A165,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6" spans="1:41" x14ac:dyDescent="0.3">
      <c r="A166" t="s">
        <v>16822</v>
      </c>
      <c r="AO166" t="str">
        <f>IF(A166="","",_xlfn.LET(
        _xlpm.rid,A166,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7" spans="1:41" x14ac:dyDescent="0.3">
      <c r="A167" t="s">
        <v>16823</v>
      </c>
      <c r="AO167" t="str">
        <f>IF(A167="","",_xlfn.LET(
        _xlpm.rid,A167,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8" spans="1:41" x14ac:dyDescent="0.3">
      <c r="A168" t="s">
        <v>16824</v>
      </c>
      <c r="AO168" t="str">
        <f>IF(A168="","",_xlfn.LET(
        _xlpm.rid,A168,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9" spans="1:41" x14ac:dyDescent="0.3">
      <c r="AO169" t="str">
        <f>IF(A169="","",_xlfn.LET(
        _xlpm.rid,A169,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0" spans="1:41" x14ac:dyDescent="0.3">
      <c r="A170" t="s">
        <v>15424</v>
      </c>
      <c r="AO170" t="str">
        <f>IF(A170="","",_xlfn.LET(
        _xlpm.rid,A170,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1" spans="1:41" x14ac:dyDescent="0.3">
      <c r="AO171" t="str">
        <f>IF(A171="","",_xlfn.LET(
        _xlpm.rid,A171,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2" spans="1:41" x14ac:dyDescent="0.3">
      <c r="A172" t="s">
        <v>16825</v>
      </c>
      <c r="AO172" t="str">
        <f>IF(A172="","",_xlfn.LET(
        _xlpm.rid,A172,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3" spans="1:41" x14ac:dyDescent="0.3">
      <c r="A173" t="s">
        <v>16826</v>
      </c>
      <c r="AO173" t="str">
        <f>IF(A173="","",_xlfn.LET(
        _xlpm.rid,A173,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4" spans="1:41" x14ac:dyDescent="0.3">
      <c r="A174" t="s">
        <v>16827</v>
      </c>
      <c r="AO174" t="str">
        <f>IF(A174="","",_xlfn.LET(
        _xlpm.rid,A174,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5" spans="1:41" x14ac:dyDescent="0.3">
      <c r="A175" t="s">
        <v>16828</v>
      </c>
      <c r="AO175" t="str">
        <f>IF(A175="","",_xlfn.LET(
        _xlpm.rid,A175,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6" spans="1:41" x14ac:dyDescent="0.3">
      <c r="A176" t="s">
        <v>16829</v>
      </c>
      <c r="AO176" t="str">
        <f>IF(A176="","",_xlfn.LET(
        _xlpm.rid,A176,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7" spans="1:41" x14ac:dyDescent="0.3">
      <c r="A177" t="s">
        <v>16830</v>
      </c>
      <c r="AO177" t="str">
        <f>IF(A177="","",_xlfn.LET(
        _xlpm.rid,A177,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8" spans="1:41" x14ac:dyDescent="0.3">
      <c r="AO178" t="str">
        <f>IF(A178="","",_xlfn.LET(
        _xlpm.rid,A178,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9" spans="1:41" x14ac:dyDescent="0.3">
      <c r="A179" t="s">
        <v>16831</v>
      </c>
      <c r="AO179" t="str">
        <f>IF(A179="","",_xlfn.LET(
        _xlpm.rid,A179,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80" spans="1:41" x14ac:dyDescent="0.3">
      <c r="A180" t="s">
        <v>16832</v>
      </c>
      <c r="AO180" t="str">
        <f>IF(A180="","",_xlfn.LET(
        _xlpm.rid,A180,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sheetData>
  <autoFilter ref="A6:AE86" xr:uid="{2858773E-1641-478D-A1BA-53A189351204}"/>
  <conditionalFormatting sqref="A7:AE86">
    <cfRule type="expression" dxfId="75" priority="38">
      <formula>#REF!=FALSE</formula>
    </cfRule>
    <cfRule type="expression" dxfId="74" priority="39">
      <formula>#REF!=TRUE</formula>
    </cfRule>
  </conditionalFormatting>
  <conditionalFormatting sqref="F7:F86">
    <cfRule type="containsText" dxfId="73" priority="6" operator="containsText" text="Large">
      <formula>NOT(ISERROR(SEARCH("Large",F7)))</formula>
    </cfRule>
  </conditionalFormatting>
  <conditionalFormatting sqref="G7:G86">
    <cfRule type="containsText" dxfId="72" priority="2" operator="containsText" text="High">
      <formula>NOT(ISERROR(SEARCH("High",G7)))</formula>
    </cfRule>
    <cfRule type="containsText" dxfId="71" priority="3" operator="containsText" text="Medium">
      <formula>NOT(ISERROR(SEARCH("Medium",G7)))</formula>
    </cfRule>
  </conditionalFormatting>
  <conditionalFormatting sqref="H7:I86">
    <cfRule type="containsText" dxfId="70" priority="4" operator="containsText" text="P1">
      <formula>NOT(ISERROR(SEARCH("P1",H7)))</formula>
    </cfRule>
    <cfRule type="containsText" dxfId="69" priority="5" operator="containsText" text="P2">
      <formula>NOT(ISERROR(SEARCH("P2",H7)))</formula>
    </cfRule>
  </conditionalFormatting>
  <conditionalFormatting sqref="N7:N86">
    <cfRule type="containsText" dxfId="68" priority="15" operator="containsText" text="Draft">
      <formula>NOT(ISERROR(SEARCH("Draft",N7)))</formula>
    </cfRule>
    <cfRule type="containsText" dxfId="67" priority="16" operator="containsText" text="Planning">
      <formula>NOT(ISERROR(SEARCH("Planning",N7)))</formula>
    </cfRule>
    <cfRule type="containsText" dxfId="66" priority="17" operator="containsText" text="Testing">
      <formula>NOT(ISERROR(SEARCH("Testing",N7)))</formula>
    </cfRule>
    <cfRule type="containsText" dxfId="65" priority="18" operator="containsText" text="Pending CAB">
      <formula>NOT(ISERROR(SEARCH("Pending CAB",N7)))</formula>
    </cfRule>
    <cfRule type="containsText" dxfId="64" priority="19" operator="containsText" text="Approved">
      <formula>NOT(ISERROR(SEARCH("Approved",N7)))</formula>
    </cfRule>
    <cfRule type="containsText" dxfId="63" priority="20" operator="containsText" text="In Progress">
      <formula>NOT(ISERROR(SEARCH("In Progress",N7)))</formula>
    </cfRule>
    <cfRule type="containsText" dxfId="62" priority="21" operator="containsText" text="Deployed">
      <formula>NOT(ISERROR(SEARCH("Deployed",N7)))</formula>
    </cfRule>
    <cfRule type="containsText" dxfId="61" priority="22" operator="containsText" text="Blocked">
      <formula>NOT(ISERROR(SEARCH("Blocked",N7)))</formula>
    </cfRule>
    <cfRule type="containsText" dxfId="60" priority="23" operator="containsText" text="Closed">
      <formula>NOT(ISERROR(SEARCH("Closed",N7)))</formula>
    </cfRule>
  </conditionalFormatting>
  <conditionalFormatting sqref="O7:R86">
    <cfRule type="containsText" dxfId="59" priority="1" operator="containsText" text="CONFLICT">
      <formula>NOT(ISERROR(SEARCH("CONFLICT",O7)))</formula>
    </cfRule>
  </conditionalFormatting>
  <conditionalFormatting sqref="T7:T86">
    <cfRule type="cellIs" dxfId="58" priority="7" operator="lessThan">
      <formula>0.5</formula>
    </cfRule>
    <cfRule type="cellIs" dxfId="57" priority="8" operator="between">
      <formula>0.5</formula>
      <formula>0.75</formula>
    </cfRule>
    <cfRule type="cellIs" dxfId="56" priority="9" operator="between">
      <formula>0.75</formula>
      <formula>0.9</formula>
    </cfRule>
    <cfRule type="cellIs" dxfId="55" priority="10" operator="greaterThanOrEqual">
      <formula>0.9</formula>
    </cfRule>
  </conditionalFormatting>
  <conditionalFormatting sqref="U7:U86">
    <cfRule type="expression" dxfId="54" priority="11">
      <formula>LEN($U7)&gt;0</formula>
    </cfRule>
  </conditionalFormatting>
  <conditionalFormatting sqref="V7:V86">
    <cfRule type="expression" dxfId="53" priority="12">
      <formula>LEN($V7)&gt;0</formula>
    </cfRule>
  </conditionalFormatting>
  <conditionalFormatting sqref="W7:W86">
    <cfRule type="expression" dxfId="52" priority="13">
      <formula>LEN($W7)&gt;0</formula>
    </cfRule>
  </conditionalFormatting>
  <conditionalFormatting sqref="X7:X86">
    <cfRule type="expression" dxfId="51" priority="14">
      <formula>LEN($X7)&gt;0</formula>
    </cfRule>
  </conditionalFormatting>
  <conditionalFormatting sqref="Z7:Z86">
    <cfRule type="containsText" dxfId="50" priority="24" operator="containsText" text="Draft">
      <formula>NOT(ISERROR(SEARCH("Draft",Z7)))</formula>
    </cfRule>
    <cfRule type="containsText" dxfId="49" priority="25" operator="containsText" text="Planning">
      <formula>NOT(ISERROR(SEARCH("Planning",Z7)))</formula>
    </cfRule>
    <cfRule type="containsText" dxfId="48" priority="26" operator="containsText" text="Testing">
      <formula>NOT(ISERROR(SEARCH("Testing",Z7)))</formula>
    </cfRule>
    <cfRule type="containsText" dxfId="47" priority="27" operator="containsText" text="CAB Submitted">
      <formula>NOT(ISERROR(SEARCH("CAB Submitted",Z7)))</formula>
    </cfRule>
    <cfRule type="containsText" dxfId="46" priority="28" operator="containsText" text="CAB Approved">
      <formula>NOT(ISERROR(SEARCH("CAB Approved",Z7)))</formula>
    </cfRule>
    <cfRule type="containsText" dxfId="45" priority="29" operator="containsText" text="Deploying">
      <formula>NOT(ISERROR(SEARCH("Deploying",Z7)))</formula>
    </cfRule>
    <cfRule type="containsText" dxfId="44" priority="30" operator="containsText" text="Deployed">
      <formula>NOT(ISERROR(SEARCH("Deployed",Z7)))</formula>
    </cfRule>
    <cfRule type="containsText" dxfId="43" priority="31" operator="containsText" text="PIR Complete">
      <formula>NOT(ISERROR(SEARCH("PIR Complete",Z7)))</formula>
    </cfRule>
    <cfRule type="containsText" dxfId="42" priority="32" operator="containsText" text="On Hold">
      <formula>NOT(ISERROR(SEARCH("On Hold",Z7)))</formula>
    </cfRule>
    <cfRule type="containsText" dxfId="41" priority="33" operator="containsText" text="Closed">
      <formula>NOT(ISERROR(SEARCH("Closed",Z7)))</formula>
    </cfRule>
  </conditionalFormatting>
  <conditionalFormatting sqref="AB7:AB86">
    <cfRule type="containsText" dxfId="40" priority="34" operator="containsText" text="Ready">
      <formula>NOT(ISERROR(SEARCH("Ready",AB7)))</formula>
    </cfRule>
    <cfRule type="containsText" dxfId="39" priority="35" operator="containsText" text="In Progress">
      <formula>NOT(ISERROR(SEARCH("In Progress",AB7)))</formula>
    </cfRule>
    <cfRule type="containsText" dxfId="38" priority="36" operator="containsText" text="Not Started">
      <formula>NOT(ISERROR(SEARCH("Not Started",AB7)))</formula>
    </cfRule>
    <cfRule type="containsText" dxfId="37" priority="37" operator="containsText" text="At Risk">
      <formula>NOT(ISERROR(SEARCH("At Risk",AB7)))</formula>
    </cfRule>
  </conditionalFormatting>
  <dataValidations count="5">
    <dataValidation type="list" allowBlank="1" showInputMessage="1" showErrorMessage="1" sqref="D4" xr:uid="{F23D2890-836C-4982-8E4B-3D117BE2BB70}">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 type="list" allowBlank="1" showInputMessage="1" showErrorMessage="1" sqref="J4" xr:uid="{C2E9C999-43EE-4A63-8842-CECC9E468CBC}">
      <formula1>"All,Has Conflict,No Conflict"</formula1>
    </dataValidation>
    <dataValidation type="list" allowBlank="1" showInputMessage="1" showErrorMessage="1" sqref="F4" xr:uid="{33AF24E0-3BFE-4036-A18E-64B26C4E5D29}">
      <formula1>"All Time,Today,This Week,This Month,This Year"</formula1>
    </dataValidation>
    <dataValidation type="list" allowBlank="1" showInputMessage="1" showErrorMessage="1" sqref="H4" xr:uid="{39799E0F-C5F4-448D-8798-6B011CC012CD}">
      <formula1>"All,Approved,Blocked,Draft,Pending CAB,Planning,Testing"</formula1>
    </dataValidation>
    <dataValidation type="list" allowBlank="1" showInputMessage="1" showErrorMessage="1" sqref="B4" xr:uid="{8C10AF26-76E3-4A7C-8822-3E901F28CCE2}">
      <formula1>"All,CRM,Finance,HR,IT,Legal,Logistics,Manufacturing,Security"</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C6A76-5DF5-4CEC-9749-813014E04F7D}">
  <dimension ref="A1:O21"/>
  <sheetViews>
    <sheetView workbookViewId="0"/>
  </sheetViews>
  <sheetFormatPr defaultRowHeight="14.4" x14ac:dyDescent="0.3"/>
  <cols>
    <col min="1" max="1" width="14.77734375" customWidth="1"/>
    <col min="2" max="2" width="10.44140625" bestFit="1" customWidth="1"/>
    <col min="3" max="3" width="35.44140625" bestFit="1" customWidth="1"/>
    <col min="4" max="4" width="25.109375" bestFit="1" customWidth="1"/>
    <col min="5" max="5" width="13.5546875" bestFit="1" customWidth="1"/>
    <col min="6" max="6" width="11.6640625" bestFit="1" customWidth="1"/>
    <col min="7" max="7" width="48.109375" customWidth="1"/>
    <col min="8" max="8" width="8.21875" bestFit="1" customWidth="1"/>
    <col min="9" max="9" width="8.33203125" bestFit="1" customWidth="1"/>
    <col min="10" max="10" width="10.5546875" bestFit="1" customWidth="1"/>
    <col min="11" max="11" width="15" bestFit="1" customWidth="1"/>
    <col min="12" max="12" width="9" bestFit="1" customWidth="1"/>
    <col min="13" max="13" width="7.77734375" bestFit="1" customWidth="1"/>
    <col min="14" max="14" width="12.77734375" bestFit="1" customWidth="1"/>
    <col min="15" max="15" width="40.77734375" customWidth="1"/>
  </cols>
  <sheetData>
    <row r="1" spans="1:15" ht="18" x14ac:dyDescent="0.35">
      <c r="A1" s="17" t="s">
        <v>19548</v>
      </c>
    </row>
    <row r="2" spans="1:15" x14ac:dyDescent="0.3">
      <c r="A2" t="s">
        <v>19549</v>
      </c>
    </row>
    <row r="4" spans="1:15" x14ac:dyDescent="0.3">
      <c r="A4" s="252" t="s">
        <v>19550</v>
      </c>
      <c r="B4" s="252" t="s">
        <v>1537</v>
      </c>
      <c r="C4" s="252" t="s">
        <v>1541</v>
      </c>
      <c r="D4" s="252" t="s">
        <v>1542</v>
      </c>
      <c r="E4" s="252" t="s">
        <v>15432</v>
      </c>
      <c r="F4" s="252" t="s">
        <v>1397</v>
      </c>
      <c r="G4" s="252" t="s">
        <v>1</v>
      </c>
      <c r="H4" s="252" t="s">
        <v>275</v>
      </c>
      <c r="I4" s="252" t="s">
        <v>16381</v>
      </c>
      <c r="J4" s="252" t="s">
        <v>1068</v>
      </c>
      <c r="K4" s="252" t="s">
        <v>13593</v>
      </c>
      <c r="L4" s="252" t="s">
        <v>19551</v>
      </c>
      <c r="M4" s="252" t="s">
        <v>19546</v>
      </c>
      <c r="N4" s="252" t="s">
        <v>577</v>
      </c>
      <c r="O4" s="252" t="s">
        <v>1245</v>
      </c>
    </row>
    <row r="5" spans="1:15" x14ac:dyDescent="0.3">
      <c r="A5" t="s">
        <v>19552</v>
      </c>
      <c r="B5" t="s">
        <v>15290</v>
      </c>
      <c r="C5" t="s">
        <v>15291</v>
      </c>
      <c r="D5" t="s">
        <v>15467</v>
      </c>
      <c r="E5" t="s">
        <v>1158</v>
      </c>
      <c r="F5" t="s">
        <v>1140</v>
      </c>
      <c r="G5" t="s">
        <v>16587</v>
      </c>
      <c r="H5" t="s">
        <v>14697</v>
      </c>
      <c r="I5" t="s">
        <v>14903</v>
      </c>
      <c r="J5" t="s">
        <v>1220</v>
      </c>
      <c r="K5" t="s">
        <v>17659</v>
      </c>
      <c r="L5" t="s">
        <v>15955</v>
      </c>
      <c r="M5" t="s">
        <v>19547</v>
      </c>
      <c r="N5">
        <v>46238</v>
      </c>
      <c r="O5" t="s">
        <v>19553</v>
      </c>
    </row>
    <row r="6" spans="1:15" x14ac:dyDescent="0.3">
      <c r="A6" t="s">
        <v>19554</v>
      </c>
      <c r="B6" t="s">
        <v>15294</v>
      </c>
      <c r="C6" t="s">
        <v>16593</v>
      </c>
      <c r="D6" t="s">
        <v>15608</v>
      </c>
      <c r="E6" t="s">
        <v>14993</v>
      </c>
      <c r="F6" t="s">
        <v>1140</v>
      </c>
      <c r="G6" t="s">
        <v>16595</v>
      </c>
      <c r="H6" t="s">
        <v>1125</v>
      </c>
      <c r="I6" t="s">
        <v>14828</v>
      </c>
      <c r="J6" t="s">
        <v>1224</v>
      </c>
      <c r="K6" t="s">
        <v>17659</v>
      </c>
      <c r="L6" t="s">
        <v>15955</v>
      </c>
      <c r="M6" t="s">
        <v>19547</v>
      </c>
      <c r="N6">
        <v>46239</v>
      </c>
    </row>
    <row r="7" spans="1:15" x14ac:dyDescent="0.3">
      <c r="A7" t="s">
        <v>19555</v>
      </c>
      <c r="B7" t="s">
        <v>15302</v>
      </c>
      <c r="C7" t="s">
        <v>16607</v>
      </c>
      <c r="D7" t="s">
        <v>15705</v>
      </c>
      <c r="E7" t="s">
        <v>14990</v>
      </c>
      <c r="F7" t="s">
        <v>65</v>
      </c>
      <c r="G7" t="s">
        <v>16609</v>
      </c>
      <c r="H7" t="s">
        <v>1125</v>
      </c>
      <c r="I7" t="s">
        <v>14828</v>
      </c>
      <c r="J7" t="s">
        <v>1224</v>
      </c>
      <c r="K7" t="s">
        <v>17663</v>
      </c>
      <c r="L7" t="s">
        <v>15960</v>
      </c>
      <c r="M7" t="s">
        <v>19110</v>
      </c>
      <c r="N7">
        <v>46240</v>
      </c>
      <c r="O7" t="s">
        <v>19556</v>
      </c>
    </row>
    <row r="8" spans="1:15" x14ac:dyDescent="0.3">
      <c r="A8" t="s">
        <v>19557</v>
      </c>
      <c r="B8" t="s">
        <v>16168</v>
      </c>
      <c r="C8" t="s">
        <v>16627</v>
      </c>
      <c r="D8" t="s">
        <v>15717</v>
      </c>
      <c r="E8" t="s">
        <v>14990</v>
      </c>
      <c r="F8" t="s">
        <v>14905</v>
      </c>
      <c r="G8" t="s">
        <v>16629</v>
      </c>
      <c r="H8" t="s">
        <v>14697</v>
      </c>
      <c r="I8" t="s">
        <v>14903</v>
      </c>
      <c r="J8" t="s">
        <v>1220</v>
      </c>
      <c r="K8" t="s">
        <v>18972</v>
      </c>
      <c r="L8" t="s">
        <v>16048</v>
      </c>
      <c r="M8" t="s">
        <v>19547</v>
      </c>
      <c r="N8">
        <v>46241</v>
      </c>
    </row>
    <row r="9" spans="1:15" x14ac:dyDescent="0.3">
      <c r="A9" t="s">
        <v>19558</v>
      </c>
      <c r="B9" t="s">
        <v>16171</v>
      </c>
      <c r="C9" t="s">
        <v>16630</v>
      </c>
      <c r="D9" t="s">
        <v>15747</v>
      </c>
      <c r="E9" t="s">
        <v>152</v>
      </c>
      <c r="F9" t="s">
        <v>14905</v>
      </c>
      <c r="G9" t="s">
        <v>16631</v>
      </c>
      <c r="H9" t="s">
        <v>14588</v>
      </c>
      <c r="I9" t="s">
        <v>14903</v>
      </c>
      <c r="J9" t="s">
        <v>1224</v>
      </c>
      <c r="K9" t="s">
        <v>15769</v>
      </c>
      <c r="L9" t="s">
        <v>15768</v>
      </c>
      <c r="M9" t="s">
        <v>19547</v>
      </c>
      <c r="N9">
        <v>46242</v>
      </c>
      <c r="O9" t="s">
        <v>19559</v>
      </c>
    </row>
    <row r="10" spans="1:15" x14ac:dyDescent="0.3">
      <c r="A10" t="s">
        <v>19560</v>
      </c>
      <c r="B10" t="s">
        <v>16174</v>
      </c>
      <c r="C10" t="s">
        <v>16633</v>
      </c>
      <c r="D10" t="s">
        <v>15548</v>
      </c>
      <c r="E10" t="s">
        <v>1158</v>
      </c>
      <c r="F10" t="s">
        <v>1140</v>
      </c>
      <c r="G10" t="s">
        <v>16635</v>
      </c>
      <c r="H10" t="s">
        <v>1125</v>
      </c>
      <c r="I10" t="s">
        <v>14903</v>
      </c>
      <c r="J10" t="s">
        <v>1220</v>
      </c>
      <c r="K10" t="s">
        <v>17659</v>
      </c>
      <c r="L10" t="s">
        <v>15955</v>
      </c>
      <c r="M10" t="s">
        <v>19547</v>
      </c>
      <c r="N10">
        <v>46243</v>
      </c>
    </row>
    <row r="11" spans="1:15" x14ac:dyDescent="0.3">
      <c r="A11" t="s">
        <v>19561</v>
      </c>
      <c r="B11" t="s">
        <v>16194</v>
      </c>
      <c r="C11" t="s">
        <v>16645</v>
      </c>
      <c r="D11" t="s">
        <v>15678</v>
      </c>
      <c r="E11" t="s">
        <v>1159</v>
      </c>
      <c r="F11" t="s">
        <v>67</v>
      </c>
      <c r="G11" t="s">
        <v>16647</v>
      </c>
      <c r="H11" t="s">
        <v>14689</v>
      </c>
      <c r="I11" t="s">
        <v>14828</v>
      </c>
      <c r="J11" t="s">
        <v>1220</v>
      </c>
      <c r="K11" t="s">
        <v>18975</v>
      </c>
      <c r="L11" t="s">
        <v>15993</v>
      </c>
      <c r="M11" t="s">
        <v>19547</v>
      </c>
      <c r="N11">
        <v>46244</v>
      </c>
    </row>
    <row r="12" spans="1:15" x14ac:dyDescent="0.3">
      <c r="A12" t="s">
        <v>19562</v>
      </c>
      <c r="B12" t="s">
        <v>16197</v>
      </c>
      <c r="C12" t="s">
        <v>16648</v>
      </c>
      <c r="D12" t="s">
        <v>15717</v>
      </c>
      <c r="E12" t="s">
        <v>14990</v>
      </c>
      <c r="F12" t="s">
        <v>17259</v>
      </c>
      <c r="G12" t="s">
        <v>16650</v>
      </c>
      <c r="H12" t="s">
        <v>14697</v>
      </c>
      <c r="I12" t="s">
        <v>14903</v>
      </c>
      <c r="J12" t="s">
        <v>1228</v>
      </c>
      <c r="K12" t="s">
        <v>18975</v>
      </c>
      <c r="L12" t="s">
        <v>15993</v>
      </c>
      <c r="M12" t="s">
        <v>19547</v>
      </c>
      <c r="N12">
        <v>46245</v>
      </c>
    </row>
    <row r="13" spans="1:15" x14ac:dyDescent="0.3">
      <c r="A13" t="s">
        <v>19563</v>
      </c>
      <c r="B13" t="s">
        <v>16206</v>
      </c>
      <c r="C13" t="s">
        <v>16653</v>
      </c>
      <c r="D13" t="s">
        <v>15476</v>
      </c>
      <c r="E13" t="s">
        <v>1158</v>
      </c>
      <c r="F13" t="s">
        <v>17234</v>
      </c>
      <c r="G13" t="s">
        <v>16655</v>
      </c>
      <c r="H13" t="s">
        <v>1125</v>
      </c>
      <c r="I13" t="s">
        <v>14828</v>
      </c>
      <c r="J13" t="s">
        <v>1224</v>
      </c>
      <c r="K13" t="s">
        <v>17663</v>
      </c>
      <c r="L13" t="s">
        <v>15960</v>
      </c>
      <c r="M13" t="s">
        <v>19110</v>
      </c>
      <c r="N13">
        <v>46246</v>
      </c>
      <c r="O13" t="s">
        <v>19564</v>
      </c>
    </row>
    <row r="14" spans="1:15" x14ac:dyDescent="0.3">
      <c r="A14" t="s">
        <v>19565</v>
      </c>
      <c r="B14" t="s">
        <v>16231</v>
      </c>
      <c r="C14" t="s">
        <v>16671</v>
      </c>
      <c r="D14" t="s">
        <v>15458</v>
      </c>
      <c r="E14" t="s">
        <v>1158</v>
      </c>
      <c r="F14" t="s">
        <v>65</v>
      </c>
      <c r="G14" t="s">
        <v>16672</v>
      </c>
      <c r="H14" t="s">
        <v>14697</v>
      </c>
      <c r="I14" t="s">
        <v>14903</v>
      </c>
      <c r="J14" t="s">
        <v>1220</v>
      </c>
      <c r="K14" t="s">
        <v>17659</v>
      </c>
      <c r="L14" t="s">
        <v>15955</v>
      </c>
      <c r="M14" t="s">
        <v>19547</v>
      </c>
      <c r="N14">
        <v>46247</v>
      </c>
    </row>
    <row r="15" spans="1:15" x14ac:dyDescent="0.3">
      <c r="A15" t="s">
        <v>19566</v>
      </c>
      <c r="B15" t="s">
        <v>16233</v>
      </c>
      <c r="C15" t="s">
        <v>16674</v>
      </c>
      <c r="D15" t="s">
        <v>15563</v>
      </c>
      <c r="E15" t="s">
        <v>14994</v>
      </c>
      <c r="F15" t="s">
        <v>17234</v>
      </c>
      <c r="G15" t="s">
        <v>16676</v>
      </c>
      <c r="H15" t="s">
        <v>1125</v>
      </c>
      <c r="I15" t="s">
        <v>14828</v>
      </c>
      <c r="J15" t="s">
        <v>1220</v>
      </c>
      <c r="K15" t="s">
        <v>17663</v>
      </c>
      <c r="L15" t="s">
        <v>15960</v>
      </c>
      <c r="M15" t="s">
        <v>19110</v>
      </c>
      <c r="N15">
        <v>46248</v>
      </c>
      <c r="O15" t="s">
        <v>19567</v>
      </c>
    </row>
    <row r="16" spans="1:15" x14ac:dyDescent="0.3">
      <c r="A16" t="s">
        <v>19568</v>
      </c>
      <c r="B16" t="s">
        <v>15296</v>
      </c>
      <c r="C16" t="s">
        <v>16597</v>
      </c>
      <c r="D16" t="s">
        <v>15622</v>
      </c>
      <c r="E16" t="s">
        <v>14992</v>
      </c>
      <c r="F16" t="s">
        <v>17234</v>
      </c>
      <c r="G16" t="s">
        <v>19569</v>
      </c>
      <c r="H16" t="s">
        <v>14697</v>
      </c>
      <c r="I16" t="s">
        <v>14903</v>
      </c>
      <c r="J16" t="s">
        <v>1232</v>
      </c>
      <c r="K16" t="s">
        <v>17663</v>
      </c>
      <c r="L16" t="s">
        <v>15960</v>
      </c>
      <c r="M16" t="s">
        <v>19110</v>
      </c>
      <c r="N16">
        <v>46200</v>
      </c>
      <c r="O16" t="s">
        <v>19570</v>
      </c>
    </row>
    <row r="17" spans="1:15" x14ac:dyDescent="0.3">
      <c r="A17" t="s">
        <v>19571</v>
      </c>
      <c r="B17" t="s">
        <v>15300</v>
      </c>
      <c r="C17" t="s">
        <v>16604</v>
      </c>
      <c r="D17" t="s">
        <v>15676</v>
      </c>
      <c r="E17" t="s">
        <v>1159</v>
      </c>
      <c r="F17" t="s">
        <v>14905</v>
      </c>
      <c r="G17" t="s">
        <v>19572</v>
      </c>
      <c r="H17" t="s">
        <v>1125</v>
      </c>
      <c r="I17" t="s">
        <v>14903</v>
      </c>
      <c r="J17" t="s">
        <v>1232</v>
      </c>
      <c r="K17" t="s">
        <v>15769</v>
      </c>
      <c r="L17" t="s">
        <v>15768</v>
      </c>
      <c r="M17" t="s">
        <v>19547</v>
      </c>
      <c r="N17">
        <v>46219</v>
      </c>
      <c r="O17" t="s">
        <v>19573</v>
      </c>
    </row>
    <row r="18" spans="1:15" x14ac:dyDescent="0.3">
      <c r="A18" t="s">
        <v>19574</v>
      </c>
      <c r="B18" t="s">
        <v>15306</v>
      </c>
      <c r="C18" t="s">
        <v>16614</v>
      </c>
      <c r="D18" t="s">
        <v>15458</v>
      </c>
      <c r="E18" t="s">
        <v>1158</v>
      </c>
      <c r="F18" t="s">
        <v>14853</v>
      </c>
      <c r="G18" t="s">
        <v>16616</v>
      </c>
      <c r="H18" t="s">
        <v>1125</v>
      </c>
      <c r="I18" t="s">
        <v>14828</v>
      </c>
      <c r="J18" t="s">
        <v>1100</v>
      </c>
      <c r="K18" t="s">
        <v>17659</v>
      </c>
      <c r="L18" t="s">
        <v>15955</v>
      </c>
      <c r="M18" t="s">
        <v>19547</v>
      </c>
      <c r="N18">
        <v>46234</v>
      </c>
      <c r="O18" t="s">
        <v>19575</v>
      </c>
    </row>
    <row r="19" spans="1:15" x14ac:dyDescent="0.3">
      <c r="A19" t="s">
        <v>19576</v>
      </c>
      <c r="B19" t="s">
        <v>16171</v>
      </c>
      <c r="C19" t="s">
        <v>16630</v>
      </c>
      <c r="D19" t="s">
        <v>15747</v>
      </c>
      <c r="E19" t="s">
        <v>152</v>
      </c>
      <c r="F19" t="s">
        <v>17259</v>
      </c>
      <c r="G19" t="s">
        <v>19577</v>
      </c>
      <c r="H19" t="s">
        <v>14588</v>
      </c>
      <c r="I19" t="s">
        <v>14903</v>
      </c>
      <c r="J19" t="s">
        <v>1228</v>
      </c>
      <c r="K19" t="s">
        <v>18975</v>
      </c>
      <c r="L19" t="s">
        <v>15993</v>
      </c>
      <c r="M19" t="s">
        <v>19547</v>
      </c>
      <c r="N19">
        <v>46242</v>
      </c>
      <c r="O19" t="s">
        <v>19578</v>
      </c>
    </row>
    <row r="20" spans="1:15" x14ac:dyDescent="0.3">
      <c r="A20" t="s">
        <v>19734</v>
      </c>
      <c r="B20" t="s">
        <v>16177</v>
      </c>
      <c r="C20" t="s">
        <v>16637</v>
      </c>
      <c r="D20" t="s">
        <v>15557</v>
      </c>
      <c r="E20" t="s">
        <v>14994</v>
      </c>
      <c r="F20" t="s">
        <v>17234</v>
      </c>
      <c r="G20" t="s">
        <v>19735</v>
      </c>
      <c r="H20" t="s">
        <v>14689</v>
      </c>
      <c r="I20" t="s">
        <v>14828</v>
      </c>
      <c r="J20" t="s">
        <v>1220</v>
      </c>
      <c r="K20" t="s">
        <v>17663</v>
      </c>
      <c r="L20" t="s">
        <v>15960</v>
      </c>
      <c r="M20" t="s">
        <v>19110</v>
      </c>
      <c r="N20">
        <v>46272</v>
      </c>
      <c r="O20" t="s">
        <v>19736</v>
      </c>
    </row>
    <row r="21" spans="1:15" x14ac:dyDescent="0.3">
      <c r="A21" t="s">
        <v>19737</v>
      </c>
      <c r="B21" t="s">
        <v>16177</v>
      </c>
      <c r="C21" t="s">
        <v>16637</v>
      </c>
      <c r="D21" t="s">
        <v>15557</v>
      </c>
      <c r="E21" t="s">
        <v>14994</v>
      </c>
      <c r="F21" t="s">
        <v>14905</v>
      </c>
      <c r="G21" t="s">
        <v>19738</v>
      </c>
      <c r="H21" t="s">
        <v>14689</v>
      </c>
      <c r="I21" t="s">
        <v>14903</v>
      </c>
      <c r="J21" t="s">
        <v>1220</v>
      </c>
      <c r="K21" t="s">
        <v>15769</v>
      </c>
      <c r="L21" t="s">
        <v>15768</v>
      </c>
      <c r="M21" t="s">
        <v>19547</v>
      </c>
      <c r="N21">
        <v>46273</v>
      </c>
      <c r="O21" t="s">
        <v>19739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A63B-2E4F-4878-B210-ABB54F4D3A0B}">
  <dimension ref="A1:J8"/>
  <sheetViews>
    <sheetView workbookViewId="0"/>
  </sheetViews>
  <sheetFormatPr defaultRowHeight="14.4" x14ac:dyDescent="0.3"/>
  <cols>
    <col min="1" max="1" width="16.6640625" customWidth="1"/>
    <col min="7" max="7" width="27.77734375" customWidth="1"/>
    <col min="8" max="8" width="59.21875" customWidth="1"/>
    <col min="10" max="10" width="37" customWidth="1"/>
  </cols>
  <sheetData>
    <row r="1" spans="1:10" ht="18" x14ac:dyDescent="0.35">
      <c r="A1" s="17" t="s">
        <v>19745</v>
      </c>
    </row>
    <row r="2" spans="1:10" x14ac:dyDescent="0.3">
      <c r="A2" t="s">
        <v>19746</v>
      </c>
    </row>
    <row r="4" spans="1:10" x14ac:dyDescent="0.3">
      <c r="A4" s="252" t="s">
        <v>19747</v>
      </c>
      <c r="B4" s="252" t="s">
        <v>18665</v>
      </c>
      <c r="C4" s="252" t="s">
        <v>19229</v>
      </c>
      <c r="D4" s="252" t="s">
        <v>19748</v>
      </c>
      <c r="E4" s="252" t="s">
        <v>1537</v>
      </c>
      <c r="F4" s="252" t="s">
        <v>270</v>
      </c>
      <c r="G4" s="252" t="s">
        <v>19749</v>
      </c>
      <c r="H4" s="252" t="s">
        <v>13673</v>
      </c>
      <c r="I4" s="252" t="s">
        <v>19750</v>
      </c>
      <c r="J4" s="252" t="s">
        <v>19751</v>
      </c>
    </row>
    <row r="5" spans="1:10" x14ac:dyDescent="0.3">
      <c r="A5" t="s">
        <v>19752</v>
      </c>
      <c r="B5">
        <v>46273</v>
      </c>
      <c r="C5" t="s">
        <v>17659</v>
      </c>
      <c r="D5" t="s">
        <v>14628</v>
      </c>
      <c r="E5" t="s">
        <v>16177</v>
      </c>
      <c r="F5" t="s">
        <v>34</v>
      </c>
      <c r="G5" t="s">
        <v>379</v>
      </c>
      <c r="H5" t="s">
        <v>19753</v>
      </c>
      <c r="I5" t="s">
        <v>13673</v>
      </c>
      <c r="J5" t="s">
        <v>19754</v>
      </c>
    </row>
    <row r="6" spans="1:10" x14ac:dyDescent="0.3">
      <c r="A6" t="s">
        <v>19755</v>
      </c>
      <c r="B6">
        <v>46284</v>
      </c>
      <c r="C6" t="s">
        <v>15779</v>
      </c>
      <c r="D6" t="s">
        <v>14628</v>
      </c>
      <c r="E6" t="s">
        <v>16188</v>
      </c>
      <c r="F6" t="s">
        <v>37</v>
      </c>
      <c r="G6" t="s">
        <v>411</v>
      </c>
      <c r="H6" t="s">
        <v>19756</v>
      </c>
      <c r="I6" t="s">
        <v>19757</v>
      </c>
      <c r="J6" t="s">
        <v>19754</v>
      </c>
    </row>
    <row r="7" spans="1:10" x14ac:dyDescent="0.3">
      <c r="A7" t="s">
        <v>19758</v>
      </c>
      <c r="B7">
        <v>46200</v>
      </c>
      <c r="C7" t="s">
        <v>19759</v>
      </c>
      <c r="D7" t="s">
        <v>19357</v>
      </c>
      <c r="E7" t="s">
        <v>19760</v>
      </c>
      <c r="F7" t="s">
        <v>34</v>
      </c>
      <c r="G7" t="s">
        <v>19761</v>
      </c>
      <c r="H7" t="s">
        <v>19762</v>
      </c>
      <c r="I7" t="s">
        <v>19763</v>
      </c>
      <c r="J7" t="s">
        <v>19764</v>
      </c>
    </row>
    <row r="8" spans="1:10" x14ac:dyDescent="0.3">
      <c r="A8" t="s">
        <v>19765</v>
      </c>
      <c r="B8">
        <v>46242</v>
      </c>
      <c r="C8" t="s">
        <v>19766</v>
      </c>
      <c r="D8" t="s">
        <v>14867</v>
      </c>
      <c r="E8" t="s">
        <v>16171</v>
      </c>
      <c r="F8" t="s">
        <v>1823</v>
      </c>
      <c r="G8" t="s">
        <v>1824</v>
      </c>
      <c r="H8" t="s">
        <v>19767</v>
      </c>
      <c r="I8" t="s">
        <v>989</v>
      </c>
      <c r="J8" t="s">
        <v>19768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2268-F435-4C6C-ADBC-6BC54F67D71E}">
  <sheetPr>
    <tabColor theme="5"/>
  </sheetPr>
  <dimension ref="A1:O96"/>
  <sheetViews>
    <sheetView topLeftCell="A30" workbookViewId="0">
      <selection activeCell="A6" sqref="A6"/>
    </sheetView>
  </sheetViews>
  <sheetFormatPr defaultRowHeight="14.4" x14ac:dyDescent="0.3"/>
  <cols>
    <col min="1" max="2" width="14.77734375" customWidth="1"/>
    <col min="3" max="5" width="33.33203125" customWidth="1"/>
    <col min="6" max="6" width="18.5546875" customWidth="1"/>
    <col min="7" max="7" width="14.77734375" customWidth="1"/>
    <col min="8" max="9" width="22.21875" customWidth="1"/>
    <col min="10" max="11" width="18.5546875" customWidth="1"/>
    <col min="12" max="12" width="14.77734375" customWidth="1"/>
    <col min="13" max="13" width="37" customWidth="1"/>
    <col min="14" max="14" width="18.5546875" customWidth="1"/>
  </cols>
  <sheetData>
    <row r="1" spans="1:15" ht="21" x14ac:dyDescent="0.4">
      <c r="A1" s="459" t="s">
        <v>17647</v>
      </c>
      <c r="B1" s="429"/>
      <c r="C1" s="429"/>
      <c r="D1" s="429"/>
      <c r="E1" s="429"/>
      <c r="F1" s="429"/>
      <c r="G1" s="429"/>
      <c r="H1" s="429"/>
      <c r="I1" s="429"/>
      <c r="J1" s="429"/>
      <c r="K1" s="429"/>
      <c r="L1" s="429"/>
      <c r="M1" s="429"/>
      <c r="N1" s="429"/>
    </row>
    <row r="2" spans="1:15" x14ac:dyDescent="0.3">
      <c r="A2" s="226" t="s">
        <v>17648</v>
      </c>
    </row>
    <row r="3" spans="1:15" x14ac:dyDescent="0.3">
      <c r="A3" s="38" t="s">
        <v>17649</v>
      </c>
      <c r="B3" s="38" t="s">
        <v>1537</v>
      </c>
      <c r="C3" s="38" t="s">
        <v>1541</v>
      </c>
      <c r="D3" s="38" t="s">
        <v>1542</v>
      </c>
      <c r="E3" s="38" t="s">
        <v>15432</v>
      </c>
      <c r="F3" s="38" t="s">
        <v>17650</v>
      </c>
      <c r="G3" s="38" t="s">
        <v>17651</v>
      </c>
      <c r="H3" s="38" t="s">
        <v>17652</v>
      </c>
      <c r="I3" s="38" t="s">
        <v>14913</v>
      </c>
      <c r="J3" s="38" t="s">
        <v>17653</v>
      </c>
      <c r="K3" s="38" t="s">
        <v>17654</v>
      </c>
      <c r="L3" s="38" t="s">
        <v>17655</v>
      </c>
      <c r="M3" s="38" t="s">
        <v>17656</v>
      </c>
      <c r="N3" s="38" t="s">
        <v>17657</v>
      </c>
      <c r="O3" s="38" t="s">
        <v>19546</v>
      </c>
    </row>
    <row r="4" spans="1:15" x14ac:dyDescent="0.3">
      <c r="A4" t="s">
        <v>17658</v>
      </c>
      <c r="B4" t="s">
        <v>15292</v>
      </c>
      <c r="C4" t="s">
        <v>16589</v>
      </c>
      <c r="D4" t="s">
        <v>15560</v>
      </c>
      <c r="E4" t="s">
        <v>14994</v>
      </c>
      <c r="F4" t="s">
        <v>14910</v>
      </c>
      <c r="G4" t="s">
        <v>15955</v>
      </c>
      <c r="H4" t="s">
        <v>17659</v>
      </c>
      <c r="I4" t="s">
        <v>14628</v>
      </c>
      <c r="J4" s="403">
        <v>46222</v>
      </c>
      <c r="K4" s="403">
        <v>46223</v>
      </c>
      <c r="L4" t="s">
        <v>1087</v>
      </c>
      <c r="M4" t="s">
        <v>17660</v>
      </c>
      <c r="N4" t="s">
        <v>17661</v>
      </c>
      <c r="O4" t="s">
        <v>19547</v>
      </c>
    </row>
    <row r="5" spans="1:15" x14ac:dyDescent="0.3">
      <c r="A5" t="s">
        <v>17662</v>
      </c>
      <c r="B5" t="s">
        <v>15292</v>
      </c>
      <c r="C5" t="s">
        <v>16589</v>
      </c>
      <c r="D5" t="s">
        <v>15560</v>
      </c>
      <c r="E5" t="s">
        <v>14994</v>
      </c>
      <c r="F5" t="s">
        <v>14907</v>
      </c>
      <c r="G5" t="s">
        <v>15960</v>
      </c>
      <c r="H5" t="s">
        <v>17663</v>
      </c>
      <c r="I5" t="s">
        <v>14628</v>
      </c>
      <c r="J5" s="403">
        <v>46222</v>
      </c>
      <c r="K5" s="403">
        <v>46223</v>
      </c>
      <c r="L5" t="s">
        <v>1087</v>
      </c>
      <c r="M5" t="s">
        <v>17664</v>
      </c>
      <c r="N5" t="s">
        <v>17661</v>
      </c>
      <c r="O5" t="s">
        <v>19547</v>
      </c>
    </row>
    <row r="6" spans="1:15" x14ac:dyDescent="0.3">
      <c r="A6" t="s">
        <v>17665</v>
      </c>
      <c r="B6" t="s">
        <v>15294</v>
      </c>
      <c r="C6" t="s">
        <v>16593</v>
      </c>
      <c r="D6" t="s">
        <v>15608</v>
      </c>
      <c r="E6" t="s">
        <v>14993</v>
      </c>
      <c r="F6" t="s">
        <v>14910</v>
      </c>
      <c r="G6" t="s">
        <v>15955</v>
      </c>
      <c r="H6" t="s">
        <v>17659</v>
      </c>
      <c r="I6" t="s">
        <v>14628</v>
      </c>
      <c r="J6" s="403">
        <v>46220</v>
      </c>
      <c r="K6" s="403">
        <v>46221</v>
      </c>
      <c r="L6" t="s">
        <v>1087</v>
      </c>
      <c r="M6" t="s">
        <v>17660</v>
      </c>
      <c r="N6" t="s">
        <v>17661</v>
      </c>
      <c r="O6" t="s">
        <v>19547</v>
      </c>
    </row>
    <row r="7" spans="1:15" x14ac:dyDescent="0.3">
      <c r="A7" t="s">
        <v>17666</v>
      </c>
      <c r="B7" t="s">
        <v>15294</v>
      </c>
      <c r="C7" t="s">
        <v>16593</v>
      </c>
      <c r="D7" t="s">
        <v>15608</v>
      </c>
      <c r="E7" t="s">
        <v>14993</v>
      </c>
      <c r="F7" t="s">
        <v>14907</v>
      </c>
      <c r="G7" t="s">
        <v>15960</v>
      </c>
      <c r="H7" t="s">
        <v>17663</v>
      </c>
      <c r="I7" t="s">
        <v>14628</v>
      </c>
      <c r="J7" s="403">
        <v>46220</v>
      </c>
      <c r="K7" s="403">
        <v>46221</v>
      </c>
      <c r="L7" t="s">
        <v>1087</v>
      </c>
      <c r="M7" t="s">
        <v>17664</v>
      </c>
      <c r="N7" t="s">
        <v>17661</v>
      </c>
      <c r="O7" t="s">
        <v>19547</v>
      </c>
    </row>
    <row r="8" spans="1:15" x14ac:dyDescent="0.3">
      <c r="A8" t="s">
        <v>17667</v>
      </c>
      <c r="B8" t="s">
        <v>15296</v>
      </c>
      <c r="C8" t="s">
        <v>16597</v>
      </c>
      <c r="D8" t="s">
        <v>15622</v>
      </c>
      <c r="E8" t="s">
        <v>14992</v>
      </c>
      <c r="F8" t="s">
        <v>14910</v>
      </c>
      <c r="G8" t="s">
        <v>15955</v>
      </c>
      <c r="H8" t="s">
        <v>17659</v>
      </c>
      <c r="I8" t="s">
        <v>14628</v>
      </c>
      <c r="J8" s="403">
        <v>46213</v>
      </c>
      <c r="K8" s="403">
        <v>46214</v>
      </c>
      <c r="L8" t="s">
        <v>1087</v>
      </c>
      <c r="M8" t="s">
        <v>17668</v>
      </c>
      <c r="N8" t="s">
        <v>17669</v>
      </c>
      <c r="O8" t="s">
        <v>19547</v>
      </c>
    </row>
    <row r="9" spans="1:15" x14ac:dyDescent="0.3">
      <c r="A9" t="s">
        <v>17670</v>
      </c>
      <c r="B9" t="s">
        <v>15302</v>
      </c>
      <c r="C9" t="s">
        <v>16607</v>
      </c>
      <c r="D9" t="s">
        <v>15705</v>
      </c>
      <c r="E9" t="s">
        <v>14990</v>
      </c>
      <c r="F9" t="s">
        <v>14910</v>
      </c>
      <c r="G9" t="s">
        <v>15955</v>
      </c>
      <c r="H9" t="s">
        <v>17659</v>
      </c>
      <c r="I9" t="s">
        <v>14628</v>
      </c>
      <c r="J9" s="403">
        <v>46223</v>
      </c>
      <c r="K9" s="403">
        <v>46224</v>
      </c>
      <c r="L9" t="s">
        <v>1087</v>
      </c>
      <c r="M9" t="s">
        <v>17660</v>
      </c>
      <c r="N9" t="s">
        <v>17661</v>
      </c>
      <c r="O9" t="s">
        <v>19547</v>
      </c>
    </row>
    <row r="10" spans="1:15" x14ac:dyDescent="0.3">
      <c r="A10" t="s">
        <v>17671</v>
      </c>
      <c r="B10" t="s">
        <v>15302</v>
      </c>
      <c r="C10" t="s">
        <v>16607</v>
      </c>
      <c r="D10" t="s">
        <v>15705</v>
      </c>
      <c r="E10" t="s">
        <v>14990</v>
      </c>
      <c r="F10" t="s">
        <v>14907</v>
      </c>
      <c r="G10" t="s">
        <v>15960</v>
      </c>
      <c r="H10" t="s">
        <v>17663</v>
      </c>
      <c r="I10" t="s">
        <v>14628</v>
      </c>
      <c r="J10" s="403">
        <v>46223</v>
      </c>
      <c r="K10" s="403">
        <v>46224</v>
      </c>
      <c r="L10" t="s">
        <v>1087</v>
      </c>
      <c r="M10" t="s">
        <v>17664</v>
      </c>
      <c r="N10" t="s">
        <v>17661</v>
      </c>
      <c r="O10" t="s">
        <v>19547</v>
      </c>
    </row>
    <row r="11" spans="1:15" x14ac:dyDescent="0.3">
      <c r="A11" t="s">
        <v>17672</v>
      </c>
      <c r="B11" t="s">
        <v>15312</v>
      </c>
      <c r="C11" t="s">
        <v>16621</v>
      </c>
      <c r="D11" t="s">
        <v>15631</v>
      </c>
      <c r="E11" t="s">
        <v>14992</v>
      </c>
      <c r="F11" t="s">
        <v>14910</v>
      </c>
      <c r="G11" t="s">
        <v>15955</v>
      </c>
      <c r="H11" t="s">
        <v>17659</v>
      </c>
      <c r="I11" t="s">
        <v>14628</v>
      </c>
      <c r="J11" s="403">
        <v>46221</v>
      </c>
      <c r="K11" s="403">
        <v>46222</v>
      </c>
      <c r="L11" t="s">
        <v>1087</v>
      </c>
      <c r="M11" t="s">
        <v>17660</v>
      </c>
      <c r="N11" t="s">
        <v>17669</v>
      </c>
      <c r="O11" t="s">
        <v>19547</v>
      </c>
    </row>
    <row r="12" spans="1:15" x14ac:dyDescent="0.3">
      <c r="A12" t="s">
        <v>19486</v>
      </c>
      <c r="B12" t="s">
        <v>15296</v>
      </c>
      <c r="C12" t="s">
        <v>16597</v>
      </c>
      <c r="D12" t="s">
        <v>15622</v>
      </c>
      <c r="E12" t="s">
        <v>14992</v>
      </c>
      <c r="F12" t="s">
        <v>14907</v>
      </c>
      <c r="G12" t="s">
        <v>15960</v>
      </c>
      <c r="H12" t="s">
        <v>17663</v>
      </c>
      <c r="I12" t="s">
        <v>14628</v>
      </c>
      <c r="J12" s="403">
        <v>46213</v>
      </c>
      <c r="K12" s="403">
        <v>46214</v>
      </c>
      <c r="L12" t="s">
        <v>1087</v>
      </c>
      <c r="M12" t="s">
        <v>17664</v>
      </c>
      <c r="N12" t="s">
        <v>17669</v>
      </c>
      <c r="O12" t="s">
        <v>19547</v>
      </c>
    </row>
    <row r="13" spans="1:15" x14ac:dyDescent="0.3">
      <c r="A13" t="s">
        <v>17673</v>
      </c>
      <c r="B13" t="s">
        <v>15312</v>
      </c>
      <c r="C13" t="s">
        <v>16621</v>
      </c>
      <c r="D13" t="s">
        <v>15631</v>
      </c>
      <c r="E13" t="s">
        <v>14992</v>
      </c>
      <c r="F13" t="s">
        <v>14907</v>
      </c>
      <c r="G13" t="s">
        <v>15960</v>
      </c>
      <c r="H13" t="s">
        <v>17663</v>
      </c>
      <c r="I13" t="s">
        <v>14628</v>
      </c>
      <c r="J13" s="403">
        <v>46221</v>
      </c>
      <c r="K13" s="403">
        <v>46222</v>
      </c>
      <c r="L13" t="s">
        <v>1087</v>
      </c>
      <c r="M13" t="s">
        <v>17664</v>
      </c>
      <c r="N13" t="s">
        <v>17669</v>
      </c>
      <c r="O13" t="s">
        <v>19547</v>
      </c>
    </row>
    <row r="14" spans="1:15" x14ac:dyDescent="0.3">
      <c r="A14" t="s">
        <v>19487</v>
      </c>
      <c r="B14" t="s">
        <v>15298</v>
      </c>
      <c r="C14" t="s">
        <v>16601</v>
      </c>
      <c r="D14" t="s">
        <v>15664</v>
      </c>
      <c r="E14" t="s">
        <v>14991</v>
      </c>
      <c r="F14" t="s">
        <v>14910</v>
      </c>
      <c r="G14" t="s">
        <v>15955</v>
      </c>
      <c r="H14" t="s">
        <v>17659</v>
      </c>
      <c r="I14" t="s">
        <v>14628</v>
      </c>
      <c r="J14" s="403">
        <v>46216</v>
      </c>
      <c r="K14" s="403">
        <v>46217</v>
      </c>
      <c r="L14" t="s">
        <v>1087</v>
      </c>
      <c r="M14" t="s">
        <v>17660</v>
      </c>
      <c r="N14" t="s">
        <v>19443</v>
      </c>
      <c r="O14" t="s">
        <v>19547</v>
      </c>
    </row>
    <row r="15" spans="1:15" x14ac:dyDescent="0.3">
      <c r="A15" t="s">
        <v>19488</v>
      </c>
      <c r="B15" t="s">
        <v>15298</v>
      </c>
      <c r="C15" t="s">
        <v>16601</v>
      </c>
      <c r="D15" t="s">
        <v>15664</v>
      </c>
      <c r="E15" t="s">
        <v>14991</v>
      </c>
      <c r="F15" t="s">
        <v>14907</v>
      </c>
      <c r="G15" t="s">
        <v>15960</v>
      </c>
      <c r="H15" t="s">
        <v>17663</v>
      </c>
      <c r="I15" t="s">
        <v>14628</v>
      </c>
      <c r="J15" s="403">
        <v>46216</v>
      </c>
      <c r="K15" s="403">
        <v>46217</v>
      </c>
      <c r="L15" t="s">
        <v>1087</v>
      </c>
      <c r="M15" t="s">
        <v>17664</v>
      </c>
      <c r="N15" t="s">
        <v>19443</v>
      </c>
      <c r="O15" t="s">
        <v>19547</v>
      </c>
    </row>
    <row r="16" spans="1:15" x14ac:dyDescent="0.3">
      <c r="A16" t="s">
        <v>19489</v>
      </c>
      <c r="B16" t="s">
        <v>15300</v>
      </c>
      <c r="C16" t="s">
        <v>16604</v>
      </c>
      <c r="D16" t="s">
        <v>15676</v>
      </c>
      <c r="E16" t="s">
        <v>1159</v>
      </c>
      <c r="F16" t="s">
        <v>14910</v>
      </c>
      <c r="G16" t="s">
        <v>15955</v>
      </c>
      <c r="H16" t="s">
        <v>17659</v>
      </c>
      <c r="I16" t="s">
        <v>14628</v>
      </c>
      <c r="J16" s="403">
        <v>46220</v>
      </c>
      <c r="K16" s="403">
        <v>46221</v>
      </c>
      <c r="L16" t="s">
        <v>1087</v>
      </c>
      <c r="M16" t="s">
        <v>17660</v>
      </c>
      <c r="N16" t="s">
        <v>19443</v>
      </c>
      <c r="O16" t="s">
        <v>19547</v>
      </c>
    </row>
    <row r="17" spans="1:15" x14ac:dyDescent="0.3">
      <c r="A17" t="s">
        <v>19490</v>
      </c>
      <c r="B17" t="s">
        <v>15300</v>
      </c>
      <c r="C17" t="s">
        <v>16604</v>
      </c>
      <c r="D17" t="s">
        <v>15676</v>
      </c>
      <c r="E17" t="s">
        <v>1159</v>
      </c>
      <c r="F17" t="s">
        <v>14907</v>
      </c>
      <c r="G17" t="s">
        <v>15960</v>
      </c>
      <c r="H17" t="s">
        <v>17663</v>
      </c>
      <c r="I17" t="s">
        <v>14628</v>
      </c>
      <c r="J17" s="403">
        <v>46220</v>
      </c>
      <c r="K17" s="403">
        <v>46221</v>
      </c>
      <c r="L17" t="s">
        <v>1087</v>
      </c>
      <c r="M17" t="s">
        <v>17664</v>
      </c>
      <c r="N17" t="s">
        <v>19443</v>
      </c>
      <c r="O17" t="s">
        <v>19547</v>
      </c>
    </row>
    <row r="18" spans="1:15" x14ac:dyDescent="0.3">
      <c r="A18" t="s">
        <v>19491</v>
      </c>
      <c r="B18" t="s">
        <v>15304</v>
      </c>
      <c r="C18" t="s">
        <v>16611</v>
      </c>
      <c r="D18" t="s">
        <v>15732</v>
      </c>
      <c r="E18" t="s">
        <v>152</v>
      </c>
      <c r="F18" t="s">
        <v>14910</v>
      </c>
      <c r="G18" t="s">
        <v>15955</v>
      </c>
      <c r="H18" t="s">
        <v>17659</v>
      </c>
      <c r="I18" t="s">
        <v>14628</v>
      </c>
      <c r="J18" s="403">
        <v>46231</v>
      </c>
      <c r="K18" s="403">
        <v>46232</v>
      </c>
      <c r="L18" t="s">
        <v>1087</v>
      </c>
      <c r="M18" t="s">
        <v>17660</v>
      </c>
      <c r="N18" t="s">
        <v>19443</v>
      </c>
      <c r="O18" t="s">
        <v>19547</v>
      </c>
    </row>
    <row r="19" spans="1:15" x14ac:dyDescent="0.3">
      <c r="A19" t="s">
        <v>19492</v>
      </c>
      <c r="B19" t="s">
        <v>15304</v>
      </c>
      <c r="C19" t="s">
        <v>16611</v>
      </c>
      <c r="D19" t="s">
        <v>15732</v>
      </c>
      <c r="E19" t="s">
        <v>152</v>
      </c>
      <c r="F19" t="s">
        <v>14907</v>
      </c>
      <c r="G19" t="s">
        <v>15960</v>
      </c>
      <c r="H19" t="s">
        <v>17663</v>
      </c>
      <c r="I19" t="s">
        <v>14628</v>
      </c>
      <c r="J19" s="403">
        <v>46231</v>
      </c>
      <c r="K19" s="403">
        <v>46232</v>
      </c>
      <c r="L19" t="s">
        <v>1087</v>
      </c>
      <c r="M19" t="s">
        <v>17664</v>
      </c>
      <c r="N19" t="s">
        <v>19443</v>
      </c>
      <c r="O19" t="s">
        <v>19547</v>
      </c>
    </row>
    <row r="20" spans="1:15" x14ac:dyDescent="0.3">
      <c r="A20" t="s">
        <v>19493</v>
      </c>
      <c r="B20" t="s">
        <v>15306</v>
      </c>
      <c r="C20" t="s">
        <v>16614</v>
      </c>
      <c r="D20" t="s">
        <v>15458</v>
      </c>
      <c r="E20" t="s">
        <v>1158</v>
      </c>
      <c r="F20" t="s">
        <v>14910</v>
      </c>
      <c r="G20" t="s">
        <v>15955</v>
      </c>
      <c r="H20" t="s">
        <v>17659</v>
      </c>
      <c r="I20" t="s">
        <v>14628</v>
      </c>
      <c r="J20" s="403">
        <v>46235</v>
      </c>
      <c r="K20" s="403">
        <v>46236</v>
      </c>
      <c r="L20" t="s">
        <v>1087</v>
      </c>
      <c r="M20" t="s">
        <v>17660</v>
      </c>
      <c r="N20" t="s">
        <v>19443</v>
      </c>
      <c r="O20" t="s">
        <v>19547</v>
      </c>
    </row>
    <row r="21" spans="1:15" x14ac:dyDescent="0.3">
      <c r="A21" t="s">
        <v>19494</v>
      </c>
      <c r="B21" t="s">
        <v>15306</v>
      </c>
      <c r="C21" t="s">
        <v>16614</v>
      </c>
      <c r="D21" t="s">
        <v>15458</v>
      </c>
      <c r="E21" t="s">
        <v>1158</v>
      </c>
      <c r="F21" t="s">
        <v>14907</v>
      </c>
      <c r="G21" t="s">
        <v>15960</v>
      </c>
      <c r="H21" t="s">
        <v>17663</v>
      </c>
      <c r="I21" t="s">
        <v>14628</v>
      </c>
      <c r="J21" s="403">
        <v>46235</v>
      </c>
      <c r="K21" s="403">
        <v>46236</v>
      </c>
      <c r="L21" t="s">
        <v>1087</v>
      </c>
      <c r="M21" t="s">
        <v>17664</v>
      </c>
      <c r="N21" t="s">
        <v>19443</v>
      </c>
      <c r="O21" t="s">
        <v>19547</v>
      </c>
    </row>
    <row r="22" spans="1:15" x14ac:dyDescent="0.3">
      <c r="A22" t="s">
        <v>19495</v>
      </c>
      <c r="B22" t="s">
        <v>15308</v>
      </c>
      <c r="C22" t="s">
        <v>16617</v>
      </c>
      <c r="D22" t="s">
        <v>15563</v>
      </c>
      <c r="E22" t="s">
        <v>14994</v>
      </c>
      <c r="F22" t="s">
        <v>14910</v>
      </c>
      <c r="G22" t="s">
        <v>15955</v>
      </c>
      <c r="H22" t="s">
        <v>17659</v>
      </c>
      <c r="I22" t="s">
        <v>14628</v>
      </c>
      <c r="J22" s="403">
        <v>46217</v>
      </c>
      <c r="K22" s="403">
        <v>46218</v>
      </c>
      <c r="L22" t="s">
        <v>1087</v>
      </c>
      <c r="M22" t="s">
        <v>17660</v>
      </c>
      <c r="N22" t="s">
        <v>19443</v>
      </c>
      <c r="O22" t="s">
        <v>19547</v>
      </c>
    </row>
    <row r="23" spans="1:15" x14ac:dyDescent="0.3">
      <c r="A23" t="s">
        <v>19496</v>
      </c>
      <c r="B23" t="s">
        <v>15308</v>
      </c>
      <c r="C23" t="s">
        <v>16617</v>
      </c>
      <c r="D23" t="s">
        <v>15563</v>
      </c>
      <c r="E23" t="s">
        <v>14994</v>
      </c>
      <c r="F23" t="s">
        <v>14907</v>
      </c>
      <c r="G23" t="s">
        <v>15960</v>
      </c>
      <c r="H23" t="s">
        <v>17663</v>
      </c>
      <c r="I23" t="s">
        <v>14628</v>
      </c>
      <c r="J23" s="403">
        <v>46217</v>
      </c>
      <c r="K23" s="403">
        <v>46218</v>
      </c>
      <c r="L23" t="s">
        <v>1087</v>
      </c>
      <c r="M23" t="s">
        <v>17664</v>
      </c>
      <c r="N23" t="s">
        <v>19443</v>
      </c>
      <c r="O23" t="s">
        <v>19547</v>
      </c>
    </row>
    <row r="24" spans="1:15" x14ac:dyDescent="0.3">
      <c r="A24" t="s">
        <v>19497</v>
      </c>
      <c r="B24" t="s">
        <v>16177</v>
      </c>
      <c r="C24" t="s">
        <v>16637</v>
      </c>
      <c r="D24" t="s">
        <v>15557</v>
      </c>
      <c r="E24" t="s">
        <v>14994</v>
      </c>
      <c r="F24" t="s">
        <v>14910</v>
      </c>
      <c r="G24" t="s">
        <v>15955</v>
      </c>
      <c r="H24" t="s">
        <v>17659</v>
      </c>
      <c r="I24" t="s">
        <v>14628</v>
      </c>
      <c r="J24" s="403">
        <v>46273</v>
      </c>
      <c r="K24" s="403">
        <v>46274</v>
      </c>
      <c r="L24" t="s">
        <v>1087</v>
      </c>
      <c r="M24" t="s">
        <v>17660</v>
      </c>
      <c r="N24" t="s">
        <v>19443</v>
      </c>
      <c r="O24" t="s">
        <v>19547</v>
      </c>
    </row>
    <row r="25" spans="1:15" x14ac:dyDescent="0.3">
      <c r="A25" t="s">
        <v>19498</v>
      </c>
      <c r="B25" t="s">
        <v>16177</v>
      </c>
      <c r="C25" t="s">
        <v>16637</v>
      </c>
      <c r="D25" t="s">
        <v>15557</v>
      </c>
      <c r="E25" t="s">
        <v>14994</v>
      </c>
      <c r="F25" t="s">
        <v>14907</v>
      </c>
      <c r="G25" t="s">
        <v>15960</v>
      </c>
      <c r="H25" t="s">
        <v>17663</v>
      </c>
      <c r="I25" t="s">
        <v>14628</v>
      </c>
      <c r="J25" s="403">
        <v>46273</v>
      </c>
      <c r="K25" s="403">
        <v>46274</v>
      </c>
      <c r="L25" t="s">
        <v>1087</v>
      </c>
      <c r="M25" t="s">
        <v>17664</v>
      </c>
      <c r="N25" t="s">
        <v>19443</v>
      </c>
      <c r="O25" t="s">
        <v>19547</v>
      </c>
    </row>
    <row r="26" spans="1:15" x14ac:dyDescent="0.3">
      <c r="A26" t="s">
        <v>19499</v>
      </c>
      <c r="B26" t="s">
        <v>16188</v>
      </c>
      <c r="C26" t="s">
        <v>16641</v>
      </c>
      <c r="D26" t="s">
        <v>15619</v>
      </c>
      <c r="E26" t="s">
        <v>14992</v>
      </c>
      <c r="F26" t="s">
        <v>14910</v>
      </c>
      <c r="G26" t="s">
        <v>15955</v>
      </c>
      <c r="H26" t="s">
        <v>17659</v>
      </c>
      <c r="I26" t="s">
        <v>14628</v>
      </c>
      <c r="J26" s="403">
        <v>46230</v>
      </c>
      <c r="K26" s="403">
        <v>46231</v>
      </c>
      <c r="L26" t="s">
        <v>1087</v>
      </c>
      <c r="M26" t="s">
        <v>17660</v>
      </c>
      <c r="N26" t="s">
        <v>19443</v>
      </c>
      <c r="O26" t="s">
        <v>19547</v>
      </c>
    </row>
    <row r="27" spans="1:15" x14ac:dyDescent="0.3">
      <c r="A27" t="s">
        <v>19500</v>
      </c>
      <c r="B27" t="s">
        <v>16188</v>
      </c>
      <c r="C27" t="s">
        <v>16641</v>
      </c>
      <c r="D27" t="s">
        <v>15619</v>
      </c>
      <c r="E27" t="s">
        <v>14992</v>
      </c>
      <c r="F27" t="s">
        <v>14907</v>
      </c>
      <c r="G27" t="s">
        <v>15960</v>
      </c>
      <c r="H27" t="s">
        <v>17663</v>
      </c>
      <c r="I27" t="s">
        <v>14628</v>
      </c>
      <c r="J27" s="403">
        <v>46230</v>
      </c>
      <c r="K27" s="403">
        <v>46231</v>
      </c>
      <c r="L27" t="s">
        <v>1087</v>
      </c>
      <c r="M27" t="s">
        <v>17664</v>
      </c>
      <c r="N27" t="s">
        <v>19443</v>
      </c>
      <c r="O27" t="s">
        <v>19547</v>
      </c>
    </row>
    <row r="28" spans="1:15" x14ac:dyDescent="0.3">
      <c r="A28" t="s">
        <v>19501</v>
      </c>
      <c r="B28" t="s">
        <v>16203</v>
      </c>
      <c r="C28" t="s">
        <v>16651</v>
      </c>
      <c r="D28" t="s">
        <v>15744</v>
      </c>
      <c r="E28" t="s">
        <v>152</v>
      </c>
      <c r="F28" t="s">
        <v>14910</v>
      </c>
      <c r="G28" t="s">
        <v>15955</v>
      </c>
      <c r="H28" t="s">
        <v>17659</v>
      </c>
      <c r="I28" t="s">
        <v>14628</v>
      </c>
      <c r="J28" s="403">
        <v>46213</v>
      </c>
      <c r="K28" s="403">
        <v>46214</v>
      </c>
      <c r="L28" t="s">
        <v>1087</v>
      </c>
      <c r="M28" t="s">
        <v>17660</v>
      </c>
      <c r="N28" t="s">
        <v>19443</v>
      </c>
      <c r="O28" t="s">
        <v>19547</v>
      </c>
    </row>
    <row r="29" spans="1:15" x14ac:dyDescent="0.3">
      <c r="A29" t="s">
        <v>19502</v>
      </c>
      <c r="B29" t="s">
        <v>16203</v>
      </c>
      <c r="C29" t="s">
        <v>16651</v>
      </c>
      <c r="D29" t="s">
        <v>15744</v>
      </c>
      <c r="E29" t="s">
        <v>152</v>
      </c>
      <c r="F29" t="s">
        <v>14907</v>
      </c>
      <c r="G29" t="s">
        <v>15960</v>
      </c>
      <c r="H29" t="s">
        <v>17663</v>
      </c>
      <c r="I29" t="s">
        <v>14628</v>
      </c>
      <c r="J29" s="403">
        <v>46213</v>
      </c>
      <c r="K29" s="403">
        <v>46214</v>
      </c>
      <c r="L29" t="s">
        <v>1087</v>
      </c>
      <c r="M29" t="s">
        <v>17664</v>
      </c>
      <c r="N29" t="s">
        <v>19443</v>
      </c>
      <c r="O29" t="s">
        <v>19547</v>
      </c>
    </row>
    <row r="30" spans="1:15" x14ac:dyDescent="0.3">
      <c r="A30" t="s">
        <v>19503</v>
      </c>
      <c r="B30" t="s">
        <v>16216</v>
      </c>
      <c r="C30" t="s">
        <v>16662</v>
      </c>
      <c r="D30" t="s">
        <v>15614</v>
      </c>
      <c r="E30" t="s">
        <v>14992</v>
      </c>
      <c r="F30" t="s">
        <v>14910</v>
      </c>
      <c r="G30" t="s">
        <v>15955</v>
      </c>
      <c r="H30" t="s">
        <v>17659</v>
      </c>
      <c r="I30" t="s">
        <v>14628</v>
      </c>
      <c r="J30" s="403">
        <v>46233</v>
      </c>
      <c r="K30" s="403">
        <v>46235</v>
      </c>
      <c r="L30" t="s">
        <v>1113</v>
      </c>
      <c r="M30" t="s">
        <v>19504</v>
      </c>
      <c r="N30" t="s">
        <v>19443</v>
      </c>
      <c r="O30" t="s">
        <v>19547</v>
      </c>
    </row>
    <row r="31" spans="1:15" x14ac:dyDescent="0.3">
      <c r="A31" t="s">
        <v>19505</v>
      </c>
      <c r="B31" t="s">
        <v>16222</v>
      </c>
      <c r="C31" t="s">
        <v>16666</v>
      </c>
      <c r="D31" t="s">
        <v>15693</v>
      </c>
      <c r="E31" t="s">
        <v>1159</v>
      </c>
      <c r="F31" t="s">
        <v>14910</v>
      </c>
      <c r="G31" t="s">
        <v>15955</v>
      </c>
      <c r="H31" t="s">
        <v>17659</v>
      </c>
      <c r="I31" t="s">
        <v>14628</v>
      </c>
      <c r="J31" s="403">
        <v>46235</v>
      </c>
      <c r="K31" s="403">
        <v>46237</v>
      </c>
      <c r="L31" t="s">
        <v>1116</v>
      </c>
      <c r="M31" t="s">
        <v>19506</v>
      </c>
      <c r="N31" t="s">
        <v>19443</v>
      </c>
      <c r="O31" t="s">
        <v>19547</v>
      </c>
    </row>
    <row r="32" spans="1:15" x14ac:dyDescent="0.3">
      <c r="D32" t="str">
        <f>IFERROR(VLOOKUP(B32,[1]Releases!$A$7:$D$102,4,FALSE),"")</f>
        <v/>
      </c>
      <c r="E32" t="str">
        <f>IFERROR(VLOOKUP(B32,[1]Releases!$A$7:$C$102,3,FALSE),"")</f>
        <v/>
      </c>
    </row>
    <row r="33" spans="1:14" x14ac:dyDescent="0.3">
      <c r="D33" t="str">
        <f>IFERROR(VLOOKUP(B33,[1]Releases!$A$7:$D$102,4,FALSE),"")</f>
        <v/>
      </c>
      <c r="E33" t="str">
        <f>IFERROR(VLOOKUP(B33,[1]Releases!$A$7:$C$102,3,FALSE),"")</f>
        <v/>
      </c>
    </row>
    <row r="34" spans="1:14" ht="18" x14ac:dyDescent="0.35">
      <c r="A34" s="378" t="s">
        <v>17674</v>
      </c>
      <c r="B34" s="378"/>
      <c r="C34" s="378"/>
      <c r="D34" s="378"/>
      <c r="E34" s="378"/>
      <c r="F34" s="378"/>
      <c r="G34" s="378"/>
      <c r="H34" s="378"/>
      <c r="I34" s="378"/>
      <c r="J34" s="378"/>
      <c r="K34" s="378"/>
      <c r="L34" s="378"/>
      <c r="M34" s="378"/>
      <c r="N34" s="84"/>
    </row>
    <row r="35" spans="1:14" x14ac:dyDescent="0.3">
      <c r="A35" s="379"/>
      <c r="B35" s="379"/>
      <c r="C35" s="379"/>
      <c r="D35" s="379" t="str">
        <f>IFERROR(VLOOKUP(B35,[1]Releases!$A$7:$D$102,4,FALSE),"")</f>
        <v/>
      </c>
      <c r="E35" s="379" t="str">
        <f>IFERROR(VLOOKUP(B35,[1]Releases!$A$7:$C$102,3,FALSE),"")</f>
        <v/>
      </c>
      <c r="F35" s="379"/>
      <c r="G35" s="379"/>
      <c r="H35" s="379"/>
      <c r="I35" s="379"/>
      <c r="J35" s="379"/>
      <c r="K35" s="379"/>
      <c r="L35" s="379"/>
      <c r="M35" s="379"/>
    </row>
    <row r="36" spans="1:14" x14ac:dyDescent="0.3">
      <c r="A36" s="379" t="s">
        <v>17675</v>
      </c>
      <c r="B36" s="379"/>
      <c r="C36" s="379"/>
      <c r="D36" s="379" t="str">
        <f>IFERROR(VLOOKUP(B36,[1]Releases!$A$7:$D$102,4,FALSE),"")</f>
        <v/>
      </c>
      <c r="E36" s="379" t="str">
        <f>IFERROR(VLOOKUP(B36,[1]Releases!$A$7:$C$102,3,FALSE),"")</f>
        <v/>
      </c>
      <c r="F36" s="379"/>
      <c r="G36" s="379"/>
      <c r="H36" s="379"/>
      <c r="I36" s="379"/>
      <c r="J36" s="379"/>
      <c r="K36" s="379"/>
      <c r="L36" s="379"/>
      <c r="M36" s="379"/>
      <c r="N36" s="381"/>
    </row>
    <row r="37" spans="1:14" x14ac:dyDescent="0.3">
      <c r="A37" s="379"/>
      <c r="B37" s="379"/>
      <c r="C37" s="379"/>
      <c r="D37" s="379" t="str">
        <f>IFERROR(VLOOKUP(B37,[1]Releases!$A$7:$D$102,4,FALSE),"")</f>
        <v/>
      </c>
      <c r="E37" s="379" t="str">
        <f>IFERROR(VLOOKUP(B37,[1]Releases!$A$7:$C$102,3,FALSE),"")</f>
        <v/>
      </c>
      <c r="F37" s="379"/>
      <c r="G37" s="379"/>
      <c r="H37" s="379"/>
      <c r="I37" s="379"/>
      <c r="J37" s="379"/>
      <c r="K37" s="379"/>
      <c r="L37" s="379"/>
      <c r="M37" s="379"/>
      <c r="N37" s="381"/>
    </row>
    <row r="38" spans="1:14" x14ac:dyDescent="0.3">
      <c r="A38" s="379" t="s">
        <v>17676</v>
      </c>
      <c r="B38" s="379"/>
      <c r="C38" s="379"/>
      <c r="D38" s="379" t="str">
        <f>IFERROR(VLOOKUP(B38,[1]Releases!$A$7:$D$102,4,FALSE),"")</f>
        <v/>
      </c>
      <c r="E38" s="379" t="str">
        <f>IFERROR(VLOOKUP(B38,[1]Releases!$A$7:$C$102,3,FALSE),"")</f>
        <v/>
      </c>
      <c r="F38" s="379"/>
      <c r="G38" s="379"/>
      <c r="H38" s="379"/>
      <c r="I38" s="379"/>
      <c r="J38" s="379"/>
      <c r="K38" s="379"/>
      <c r="L38" s="379"/>
      <c r="M38" s="379"/>
      <c r="N38" s="381"/>
    </row>
    <row r="39" spans="1:14" x14ac:dyDescent="0.3">
      <c r="A39" s="379"/>
      <c r="B39" s="379"/>
      <c r="C39" s="379"/>
      <c r="D39" s="379" t="str">
        <f>IFERROR(VLOOKUP(B39,[1]Releases!$A$7:$D$102,4,FALSE),"")</f>
        <v/>
      </c>
      <c r="E39" s="379" t="str">
        <f>IFERROR(VLOOKUP(B39,[1]Releases!$A$7:$C$102,3,FALSE),"")</f>
        <v/>
      </c>
      <c r="F39" s="379"/>
      <c r="G39" s="379"/>
      <c r="H39" s="379"/>
      <c r="I39" s="379"/>
      <c r="J39" s="379"/>
      <c r="K39" s="379"/>
      <c r="L39" s="379"/>
      <c r="M39" s="379"/>
      <c r="N39" s="381"/>
    </row>
    <row r="40" spans="1:14" x14ac:dyDescent="0.3">
      <c r="A40" s="379" t="s">
        <v>17677</v>
      </c>
      <c r="B40" s="379"/>
      <c r="C40" s="379"/>
      <c r="D40" s="379" t="str">
        <f>IFERROR(VLOOKUP(B40,[1]Releases!$A$7:$D$102,4,FALSE),"")</f>
        <v/>
      </c>
      <c r="E40" s="379" t="str">
        <f>IFERROR(VLOOKUP(B40,[1]Releases!$A$7:$C$102,3,FALSE),"")</f>
        <v/>
      </c>
      <c r="F40" s="379"/>
      <c r="G40" s="379"/>
      <c r="H40" s="379"/>
      <c r="I40" s="379"/>
      <c r="J40" s="379"/>
      <c r="K40" s="379"/>
      <c r="L40" s="379"/>
      <c r="M40" s="379"/>
      <c r="N40" s="381"/>
    </row>
    <row r="41" spans="1:14" x14ac:dyDescent="0.3">
      <c r="A41" s="379"/>
      <c r="B41" s="379"/>
      <c r="C41" s="379"/>
      <c r="D41" s="379" t="str">
        <f>IFERROR(VLOOKUP(B41,[1]Releases!$A$7:$D$102,4,FALSE),"")</f>
        <v/>
      </c>
      <c r="E41" s="379" t="str">
        <f>IFERROR(VLOOKUP(B41,[1]Releases!$A$7:$C$102,3,FALSE),"")</f>
        <v/>
      </c>
      <c r="F41" s="379"/>
      <c r="G41" s="379"/>
      <c r="H41" s="379"/>
      <c r="I41" s="379"/>
      <c r="J41" s="379"/>
      <c r="K41" s="379"/>
      <c r="L41" s="379"/>
      <c r="M41" s="379"/>
      <c r="N41" s="381"/>
    </row>
    <row r="42" spans="1:14" x14ac:dyDescent="0.3">
      <c r="A42" s="379" t="s">
        <v>17502</v>
      </c>
      <c r="B42" s="379"/>
      <c r="C42" s="379"/>
      <c r="D42" s="379" t="str">
        <f>IFERROR(VLOOKUP(B42,[1]Releases!$A$7:$D$102,4,FALSE),"")</f>
        <v/>
      </c>
      <c r="E42" s="379" t="str">
        <f>IFERROR(VLOOKUP(B42,[1]Releases!$A$7:$C$102,3,FALSE),"")</f>
        <v/>
      </c>
      <c r="F42" s="379"/>
      <c r="G42" s="379"/>
      <c r="H42" s="379"/>
      <c r="I42" s="379"/>
      <c r="J42" s="379"/>
      <c r="K42" s="379"/>
      <c r="L42" s="379"/>
      <c r="M42" s="379"/>
      <c r="N42" s="381"/>
    </row>
    <row r="43" spans="1:14" x14ac:dyDescent="0.3">
      <c r="D43" t="str">
        <f>IFERROR(VLOOKUP(B43,[1]Releases!$A$7:$D$102,4,FALSE),"")</f>
        <v/>
      </c>
      <c r="E43" t="str">
        <f>IFERROR(VLOOKUP(B43,[1]Releases!$A$7:$C$102,3,FALSE),"")</f>
        <v/>
      </c>
      <c r="N43" s="381"/>
    </row>
    <row r="44" spans="1:14" ht="18" x14ac:dyDescent="0.35">
      <c r="A44" s="84" t="s">
        <v>17678</v>
      </c>
      <c r="B44" s="84"/>
      <c r="C44" s="84"/>
      <c r="D44" s="84" t="str">
        <f>IFERROR(VLOOKUP(B44,[1]Releases!$A$7:$D$102,4,FALSE),"")</f>
        <v/>
      </c>
      <c r="E44" s="84" t="str">
        <f>IFERROR(VLOOKUP(B44,[1]Releases!$A$7:$C$102,3,FALSE),"")</f>
        <v/>
      </c>
      <c r="F44" s="84"/>
      <c r="G44" s="84"/>
      <c r="H44" s="84"/>
      <c r="I44" s="84"/>
      <c r="J44" s="84"/>
      <c r="K44" s="84"/>
      <c r="L44" s="84"/>
      <c r="M44" s="84"/>
      <c r="N44" s="381"/>
    </row>
    <row r="45" spans="1:14" x14ac:dyDescent="0.3">
      <c r="D45" t="str">
        <f>IFERROR(VLOOKUP(B45,[1]Releases!$A$7:$D$102,4,FALSE),"")</f>
        <v/>
      </c>
      <c r="E45" t="str">
        <f>IFERROR(VLOOKUP(B45,[1]Releases!$A$7:$C$102,3,FALSE),"")</f>
        <v/>
      </c>
      <c r="N45" s="381"/>
    </row>
    <row r="46" spans="1:14" ht="15.6" x14ac:dyDescent="0.3">
      <c r="A46" s="380" t="s">
        <v>17679</v>
      </c>
      <c r="B46" s="381"/>
      <c r="C46" s="381"/>
      <c r="D46" s="381" t="str">
        <f>IFERROR(VLOOKUP(B46,[1]Releases!$A$7:$D$102,4,FALSE),"")</f>
        <v/>
      </c>
      <c r="E46" s="381" t="str">
        <f>IFERROR(VLOOKUP(B46,[1]Releases!$A$7:$C$102,3,FALSE),"")</f>
        <v/>
      </c>
      <c r="F46" s="381"/>
      <c r="G46" s="381"/>
      <c r="H46" s="381"/>
      <c r="I46" s="381"/>
      <c r="J46" s="381"/>
      <c r="K46" s="381"/>
      <c r="L46" s="381"/>
      <c r="M46" s="381"/>
      <c r="N46" s="381"/>
    </row>
    <row r="47" spans="1:14" x14ac:dyDescent="0.3">
      <c r="A47" s="381" t="s">
        <v>17680</v>
      </c>
      <c r="B47" s="381"/>
      <c r="C47" s="381"/>
      <c r="D47" s="381" t="str">
        <f>IFERROR(VLOOKUP(B47,[1]Releases!$A$7:$D$102,4,FALSE),"")</f>
        <v/>
      </c>
      <c r="E47" s="381" t="str">
        <f>IFERROR(VLOOKUP(B47,[1]Releases!$A$7:$C$102,3,FALSE),"")</f>
        <v/>
      </c>
      <c r="F47" s="381"/>
      <c r="G47" s="381"/>
      <c r="H47" s="381"/>
      <c r="I47" s="381"/>
      <c r="J47" s="381"/>
      <c r="K47" s="381"/>
      <c r="L47" s="381"/>
      <c r="M47" s="381"/>
      <c r="N47" s="381"/>
    </row>
    <row r="48" spans="1:14" x14ac:dyDescent="0.3">
      <c r="A48" s="381" t="s">
        <v>17681</v>
      </c>
      <c r="B48" s="381"/>
      <c r="C48" s="381"/>
      <c r="D48" s="381" t="str">
        <f>IFERROR(VLOOKUP(B48,[1]Releases!$A$7:$D$102,4,FALSE),"")</f>
        <v/>
      </c>
      <c r="E48" s="381" t="str">
        <f>IFERROR(VLOOKUP(B48,[1]Releases!$A$7:$C$102,3,FALSE),"")</f>
        <v/>
      </c>
      <c r="F48" s="381"/>
      <c r="G48" s="381"/>
      <c r="H48" s="381"/>
      <c r="I48" s="381"/>
      <c r="J48" s="381"/>
      <c r="K48" s="381"/>
      <c r="L48" s="381"/>
      <c r="M48" s="381"/>
      <c r="N48" s="381"/>
    </row>
    <row r="49" spans="1:14" x14ac:dyDescent="0.3">
      <c r="A49" s="381"/>
      <c r="B49" s="381"/>
      <c r="C49" s="381"/>
      <c r="D49" s="381" t="str">
        <f>IFERROR(VLOOKUP(B49,[1]Releases!$A$7:$D$102,4,FALSE),"")</f>
        <v/>
      </c>
      <c r="E49" s="381" t="str">
        <f>IFERROR(VLOOKUP(B49,[1]Releases!$A$7:$C$102,3,FALSE),"")</f>
        <v/>
      </c>
      <c r="F49" s="381"/>
      <c r="G49" s="381"/>
      <c r="H49" s="381"/>
      <c r="I49" s="381"/>
      <c r="J49" s="381"/>
      <c r="K49" s="381"/>
      <c r="L49" s="381"/>
      <c r="M49" s="381"/>
      <c r="N49" s="381"/>
    </row>
    <row r="50" spans="1:14" x14ac:dyDescent="0.3">
      <c r="A50" s="381" t="s">
        <v>17682</v>
      </c>
      <c r="B50" s="381"/>
      <c r="C50" s="381"/>
      <c r="D50" s="381" t="str">
        <f>IFERROR(VLOOKUP(B50,[1]Releases!$A$7:$D$102,4,FALSE),"")</f>
        <v/>
      </c>
      <c r="E50" s="381" t="str">
        <f>IFERROR(VLOOKUP(B50,[1]Releases!$A$7:$C$102,3,FALSE),"")</f>
        <v/>
      </c>
      <c r="F50" s="381"/>
      <c r="G50" s="381"/>
      <c r="H50" s="381"/>
      <c r="I50" s="381"/>
      <c r="J50" s="381"/>
      <c r="K50" s="381"/>
      <c r="L50" s="381"/>
      <c r="M50" s="381"/>
      <c r="N50" s="381"/>
    </row>
    <row r="51" spans="1:14" x14ac:dyDescent="0.3">
      <c r="A51" s="381" t="s">
        <v>17683</v>
      </c>
      <c r="B51" s="381"/>
      <c r="C51" s="381"/>
      <c r="D51" s="381" t="str">
        <f>IFERROR(VLOOKUP(B51,[1]Releases!$A$7:$D$102,4,FALSE),"")</f>
        <v/>
      </c>
      <c r="E51" s="381" t="str">
        <f>IFERROR(VLOOKUP(B51,[1]Releases!$A$7:$C$102,3,FALSE),"")</f>
        <v/>
      </c>
      <c r="F51" s="381"/>
      <c r="G51" s="381"/>
      <c r="H51" s="381"/>
      <c r="I51" s="381"/>
      <c r="J51" s="381"/>
      <c r="K51" s="381"/>
      <c r="L51" s="381"/>
      <c r="M51" s="381"/>
      <c r="N51" s="381"/>
    </row>
    <row r="52" spans="1:14" x14ac:dyDescent="0.3">
      <c r="A52" s="381" t="s">
        <v>17684</v>
      </c>
      <c r="B52" s="381"/>
      <c r="C52" s="381"/>
      <c r="D52" s="381" t="str">
        <f>IFERROR(VLOOKUP(B52,[1]Releases!$A$7:$D$102,4,FALSE),"")</f>
        <v/>
      </c>
      <c r="E52" s="381" t="str">
        <f>IFERROR(VLOOKUP(B52,[1]Releases!$A$7:$C$102,3,FALSE),"")</f>
        <v/>
      </c>
      <c r="F52" s="381"/>
      <c r="G52" s="381"/>
      <c r="H52" s="381"/>
      <c r="I52" s="381"/>
      <c r="J52" s="381"/>
      <c r="K52" s="381"/>
      <c r="L52" s="381"/>
      <c r="M52" s="381"/>
      <c r="N52" s="381"/>
    </row>
    <row r="53" spans="1:14" x14ac:dyDescent="0.3">
      <c r="A53" s="381" t="s">
        <v>17685</v>
      </c>
      <c r="B53" s="381"/>
      <c r="C53" s="381"/>
      <c r="D53" s="381" t="str">
        <f>IFERROR(VLOOKUP(B53,[1]Releases!$A$7:$D$102,4,FALSE),"")</f>
        <v/>
      </c>
      <c r="E53" s="381" t="str">
        <f>IFERROR(VLOOKUP(B53,[1]Releases!$A$7:$C$102,3,FALSE),"")</f>
        <v/>
      </c>
      <c r="F53" s="381"/>
      <c r="G53" s="381"/>
      <c r="H53" s="381"/>
      <c r="I53" s="381"/>
      <c r="J53" s="381"/>
      <c r="K53" s="381"/>
      <c r="L53" s="381"/>
      <c r="M53" s="381"/>
      <c r="N53" s="381"/>
    </row>
    <row r="54" spans="1:14" x14ac:dyDescent="0.3">
      <c r="A54" s="381" t="s">
        <v>17686</v>
      </c>
      <c r="B54" s="381"/>
      <c r="C54" s="381"/>
      <c r="D54" s="381" t="str">
        <f>IFERROR(VLOOKUP(B54,[1]Releases!$A$7:$D$102,4,FALSE),"")</f>
        <v/>
      </c>
      <c r="E54" s="381" t="str">
        <f>IFERROR(VLOOKUP(B54,[1]Releases!$A$7:$C$102,3,FALSE),"")</f>
        <v/>
      </c>
      <c r="F54" s="381"/>
      <c r="G54" s="381"/>
      <c r="H54" s="381"/>
      <c r="I54" s="381"/>
      <c r="J54" s="381"/>
      <c r="K54" s="381"/>
      <c r="L54" s="381"/>
      <c r="M54" s="381"/>
      <c r="N54" s="381"/>
    </row>
    <row r="55" spans="1:14" x14ac:dyDescent="0.3">
      <c r="A55" s="381"/>
      <c r="B55" s="381"/>
      <c r="C55" s="381"/>
      <c r="D55" s="381" t="str">
        <f>IFERROR(VLOOKUP(B55,[1]Releases!$A$7:$D$102,4,FALSE),"")</f>
        <v/>
      </c>
      <c r="E55" s="381" t="str">
        <f>IFERROR(VLOOKUP(B55,[1]Releases!$A$7:$C$102,3,FALSE),"")</f>
        <v/>
      </c>
      <c r="F55" s="381"/>
      <c r="G55" s="381"/>
      <c r="H55" s="381"/>
      <c r="I55" s="381"/>
      <c r="J55" s="381"/>
      <c r="K55" s="381"/>
      <c r="L55" s="381"/>
      <c r="M55" s="381"/>
      <c r="N55" s="381"/>
    </row>
    <row r="56" spans="1:14" ht="15.6" x14ac:dyDescent="0.3">
      <c r="A56" s="380" t="s">
        <v>17687</v>
      </c>
      <c r="B56" s="381"/>
      <c r="C56" s="381"/>
      <c r="D56" s="381" t="str">
        <f>IFERROR(VLOOKUP(B56,[1]Releases!$A$7:$D$102,4,FALSE),"")</f>
        <v/>
      </c>
      <c r="E56" s="381" t="str">
        <f>IFERROR(VLOOKUP(B56,[1]Releases!$A$7:$C$102,3,FALSE),"")</f>
        <v/>
      </c>
      <c r="F56" s="381"/>
      <c r="G56" s="381"/>
      <c r="H56" s="381"/>
      <c r="I56" s="381"/>
      <c r="J56" s="381"/>
      <c r="K56" s="381"/>
      <c r="L56" s="381"/>
      <c r="M56" s="381"/>
      <c r="N56" s="381"/>
    </row>
    <row r="57" spans="1:14" x14ac:dyDescent="0.3">
      <c r="A57" s="381"/>
      <c r="B57" s="381"/>
      <c r="C57" s="381"/>
      <c r="D57" s="381" t="str">
        <f>IFERROR(VLOOKUP(B57,[1]Releases!$A$7:$D$102,4,FALSE),"")</f>
        <v/>
      </c>
      <c r="E57" s="381" t="str">
        <f>IFERROR(VLOOKUP(B57,[1]Releases!$A$7:$C$102,3,FALSE),"")</f>
        <v/>
      </c>
      <c r="F57" s="381"/>
      <c r="G57" s="381"/>
      <c r="H57" s="381"/>
      <c r="I57" s="381"/>
      <c r="J57" s="381"/>
      <c r="K57" s="381"/>
      <c r="L57" s="381"/>
      <c r="M57" s="381"/>
      <c r="N57" s="381"/>
    </row>
    <row r="58" spans="1:14" x14ac:dyDescent="0.3">
      <c r="A58" s="382" t="s">
        <v>2</v>
      </c>
      <c r="B58" s="382" t="s">
        <v>17688</v>
      </c>
      <c r="C58" s="382" t="s">
        <v>17689</v>
      </c>
      <c r="D58" s="382" t="str">
        <f>IFERROR(VLOOKUP(B58,[1]Releases!$A$7:$D$102,4,FALSE),"")</f>
        <v/>
      </c>
      <c r="E58" s="382" t="str">
        <f>IFERROR(VLOOKUP(B58,[1]Releases!$A$7:$C$102,3,FALSE),"")</f>
        <v/>
      </c>
      <c r="F58" s="381"/>
      <c r="G58" s="381"/>
      <c r="H58" s="381"/>
      <c r="I58" s="381"/>
      <c r="J58" s="381"/>
      <c r="K58" s="381"/>
      <c r="L58" s="381"/>
      <c r="M58" s="381"/>
      <c r="N58" s="381"/>
    </row>
    <row r="59" spans="1:14" x14ac:dyDescent="0.3">
      <c r="A59" s="381" t="s">
        <v>17690</v>
      </c>
      <c r="B59" s="381" t="s">
        <v>16055</v>
      </c>
      <c r="C59" s="381" t="s">
        <v>17691</v>
      </c>
      <c r="D59" s="381" t="str">
        <f>IFERROR(VLOOKUP(B59,[1]Releases!$A$7:$D$102,4,FALSE),"")</f>
        <v/>
      </c>
      <c r="E59" s="381" t="str">
        <f>IFERROR(VLOOKUP(B59,[1]Releases!$A$7:$C$102,3,FALSE),"")</f>
        <v/>
      </c>
      <c r="F59" s="381"/>
      <c r="G59" s="381"/>
      <c r="H59" s="381"/>
      <c r="I59" s="381"/>
      <c r="J59" s="381"/>
      <c r="K59" s="381"/>
      <c r="L59" s="381"/>
      <c r="M59" s="381"/>
      <c r="N59" s="381"/>
    </row>
    <row r="60" spans="1:14" x14ac:dyDescent="0.3">
      <c r="A60" s="381" t="s">
        <v>14918</v>
      </c>
      <c r="B60" s="381" t="s">
        <v>14635</v>
      </c>
      <c r="C60" s="381" t="s">
        <v>17692</v>
      </c>
      <c r="D60" s="381" t="str">
        <f>IFERROR(VLOOKUP(B60,[1]Releases!$A$7:$D$102,4,FALSE),"")</f>
        <v/>
      </c>
      <c r="E60" s="381" t="str">
        <f>IFERROR(VLOOKUP(B60,[1]Releases!$A$7:$C$102,3,FALSE),"")</f>
        <v/>
      </c>
      <c r="F60" s="381"/>
      <c r="G60" s="381"/>
      <c r="H60" s="381"/>
      <c r="I60" s="381"/>
      <c r="J60" s="381"/>
      <c r="K60" s="381"/>
      <c r="L60" s="381"/>
      <c r="M60" s="381"/>
      <c r="N60" s="381"/>
    </row>
    <row r="61" spans="1:14" x14ac:dyDescent="0.3">
      <c r="A61" s="381" t="s">
        <v>14917</v>
      </c>
      <c r="B61" s="381" t="s">
        <v>1548</v>
      </c>
      <c r="C61" s="381" t="s">
        <v>17693</v>
      </c>
      <c r="D61" s="381" t="str">
        <f>IFERROR(VLOOKUP(B61,[1]Releases!$A$7:$D$102,4,FALSE),"")</f>
        <v/>
      </c>
      <c r="E61" s="381" t="str">
        <f>IFERROR(VLOOKUP(B61,[1]Releases!$A$7:$C$102,3,FALSE),"")</f>
        <v/>
      </c>
      <c r="F61" s="381"/>
      <c r="G61" s="381"/>
      <c r="H61" s="381"/>
      <c r="I61" s="381"/>
      <c r="J61" s="381"/>
      <c r="K61" s="381"/>
      <c r="L61" s="381"/>
      <c r="M61" s="381"/>
      <c r="N61" s="381"/>
    </row>
    <row r="62" spans="1:14" x14ac:dyDescent="0.3">
      <c r="A62" s="381" t="s">
        <v>14910</v>
      </c>
      <c r="B62" s="381" t="s">
        <v>14628</v>
      </c>
      <c r="C62" s="381" t="s">
        <v>17694</v>
      </c>
      <c r="D62" s="381" t="str">
        <f>IFERROR(VLOOKUP(B62,[1]Releases!$A$7:$D$102,4,FALSE),"")</f>
        <v/>
      </c>
      <c r="E62" s="381" t="str">
        <f>IFERROR(VLOOKUP(B62,[1]Releases!$A$7:$C$102,3,FALSE),"")</f>
        <v/>
      </c>
      <c r="F62" s="381"/>
      <c r="G62" s="381"/>
      <c r="H62" s="381"/>
      <c r="I62" s="381"/>
      <c r="J62" s="381"/>
      <c r="K62" s="381"/>
      <c r="L62" s="381"/>
      <c r="M62" s="381"/>
      <c r="N62" s="381"/>
    </row>
    <row r="63" spans="1:14" x14ac:dyDescent="0.3">
      <c r="A63" s="381"/>
      <c r="B63" s="381"/>
      <c r="C63" s="381"/>
      <c r="D63" s="381" t="str">
        <f>IFERROR(VLOOKUP(B63,[1]Releases!$A$7:$D$102,4,FALSE),"")</f>
        <v/>
      </c>
      <c r="E63" s="381" t="str">
        <f>IFERROR(VLOOKUP(B63,[1]Releases!$A$7:$C$102,3,FALSE),"")</f>
        <v/>
      </c>
      <c r="F63" s="381"/>
      <c r="G63" s="381"/>
      <c r="H63" s="381"/>
      <c r="I63" s="381"/>
      <c r="J63" s="381"/>
      <c r="K63" s="381"/>
      <c r="L63" s="381"/>
      <c r="M63" s="381"/>
      <c r="N63" s="381"/>
    </row>
    <row r="64" spans="1:14" ht="15.6" x14ac:dyDescent="0.3">
      <c r="A64" s="380" t="s">
        <v>17695</v>
      </c>
      <c r="B64" s="381"/>
      <c r="C64" s="381"/>
      <c r="D64" s="381" t="str">
        <f>IFERROR(VLOOKUP(B64,[1]Releases!$A$7:$D$102,4,FALSE),"")</f>
        <v/>
      </c>
      <c r="E64" s="381" t="str">
        <f>IFERROR(VLOOKUP(B64,[1]Releases!$A$7:$C$102,3,FALSE),"")</f>
        <v/>
      </c>
      <c r="F64" s="381"/>
      <c r="G64" s="381"/>
      <c r="H64" s="381"/>
      <c r="I64" s="381"/>
      <c r="J64" s="381"/>
      <c r="K64" s="381"/>
      <c r="L64" s="381"/>
      <c r="M64" s="381"/>
      <c r="N64" s="381"/>
    </row>
    <row r="65" spans="1:14" x14ac:dyDescent="0.3">
      <c r="A65" s="381"/>
      <c r="B65" s="381"/>
      <c r="C65" s="381"/>
      <c r="D65" s="381" t="str">
        <f>IFERROR(VLOOKUP(B65,[1]Releases!$A$7:$D$102,4,FALSE),"")</f>
        <v/>
      </c>
      <c r="E65" s="381" t="str">
        <f>IFERROR(VLOOKUP(B65,[1]Releases!$A$7:$C$102,3,FALSE),"")</f>
        <v/>
      </c>
      <c r="F65" s="381"/>
      <c r="G65" s="381"/>
      <c r="H65" s="381"/>
      <c r="I65" s="381"/>
      <c r="J65" s="381"/>
      <c r="K65" s="381"/>
      <c r="L65" s="381"/>
      <c r="M65" s="381"/>
      <c r="N65" s="381"/>
    </row>
    <row r="66" spans="1:14" x14ac:dyDescent="0.3">
      <c r="A66" s="381" t="s">
        <v>17696</v>
      </c>
      <c r="B66" s="381"/>
      <c r="C66" s="381"/>
      <c r="D66" s="381" t="str">
        <f>IFERROR(VLOOKUP(B66,[1]Releases!$A$7:$D$102,4,FALSE),"")</f>
        <v/>
      </c>
      <c r="E66" s="381" t="str">
        <f>IFERROR(VLOOKUP(B66,[1]Releases!$A$7:$C$102,3,FALSE),"")</f>
        <v/>
      </c>
      <c r="F66" s="381"/>
      <c r="G66" s="381"/>
      <c r="H66" s="381"/>
      <c r="I66" s="381"/>
      <c r="J66" s="381"/>
      <c r="K66" s="381"/>
      <c r="L66" s="381"/>
      <c r="M66" s="381"/>
      <c r="N66" s="381"/>
    </row>
    <row r="67" spans="1:14" x14ac:dyDescent="0.3">
      <c r="A67" s="381" t="s">
        <v>17697</v>
      </c>
      <c r="B67" s="381"/>
      <c r="C67" s="381"/>
      <c r="D67" s="381" t="str">
        <f>IFERROR(VLOOKUP(B67,[1]Releases!$A$7:$D$102,4,FALSE),"")</f>
        <v/>
      </c>
      <c r="E67" s="381" t="str">
        <f>IFERROR(VLOOKUP(B67,[1]Releases!$A$7:$C$102,3,FALSE),"")</f>
        <v/>
      </c>
      <c r="F67" s="381"/>
      <c r="G67" s="381"/>
      <c r="H67" s="381"/>
      <c r="I67" s="381"/>
      <c r="J67" s="381"/>
      <c r="K67" s="381"/>
      <c r="L67" s="381"/>
      <c r="M67" s="381"/>
      <c r="N67" s="381"/>
    </row>
    <row r="68" spans="1:14" x14ac:dyDescent="0.3">
      <c r="A68" s="381" t="s">
        <v>17698</v>
      </c>
      <c r="B68" s="381"/>
      <c r="C68" s="381"/>
      <c r="D68" s="381" t="str">
        <f>IFERROR(VLOOKUP(B68,[1]Releases!$A$7:$D$102,4,FALSE),"")</f>
        <v/>
      </c>
      <c r="E68" s="381" t="str">
        <f>IFERROR(VLOOKUP(B68,[1]Releases!$A$7:$C$102,3,FALSE),"")</f>
        <v/>
      </c>
      <c r="F68" s="381"/>
      <c r="G68" s="381"/>
      <c r="H68" s="381"/>
      <c r="I68" s="381"/>
      <c r="J68" s="381"/>
      <c r="K68" s="381"/>
      <c r="L68" s="381"/>
      <c r="M68" s="381"/>
      <c r="N68" s="381"/>
    </row>
    <row r="69" spans="1:14" x14ac:dyDescent="0.3">
      <c r="A69" s="381" t="s">
        <v>17699</v>
      </c>
      <c r="B69" s="381"/>
      <c r="C69" s="381"/>
      <c r="D69" s="381" t="str">
        <f>IFERROR(VLOOKUP(B69,[1]Releases!$A$7:$D$102,4,FALSE),"")</f>
        <v/>
      </c>
      <c r="E69" s="381" t="str">
        <f>IFERROR(VLOOKUP(B69,[1]Releases!$A$7:$C$102,3,FALSE),"")</f>
        <v/>
      </c>
      <c r="F69" s="381"/>
      <c r="G69" s="381"/>
      <c r="H69" s="381"/>
      <c r="I69" s="381"/>
      <c r="J69" s="381"/>
      <c r="K69" s="381"/>
      <c r="L69" s="381"/>
      <c r="M69" s="381"/>
      <c r="N69" s="381"/>
    </row>
    <row r="70" spans="1:14" x14ac:dyDescent="0.3">
      <c r="A70" s="381" t="s">
        <v>17700</v>
      </c>
      <c r="B70" s="381"/>
      <c r="C70" s="381"/>
      <c r="D70" s="381" t="str">
        <f>IFERROR(VLOOKUP(B70,[1]Releases!$A$7:$D$102,4,FALSE),"")</f>
        <v/>
      </c>
      <c r="E70" s="381" t="str">
        <f>IFERROR(VLOOKUP(B70,[1]Releases!$A$7:$C$102,3,FALSE),"")</f>
        <v/>
      </c>
      <c r="F70" s="381"/>
      <c r="G70" s="381"/>
      <c r="H70" s="381"/>
      <c r="I70" s="381"/>
      <c r="J70" s="381"/>
      <c r="K70" s="381"/>
      <c r="L70" s="381"/>
      <c r="M70" s="381"/>
      <c r="N70" s="381"/>
    </row>
    <row r="71" spans="1:14" x14ac:dyDescent="0.3">
      <c r="A71" s="381"/>
      <c r="B71" s="381"/>
      <c r="C71" s="381"/>
      <c r="D71" s="381" t="str">
        <f>IFERROR(VLOOKUP(B71,[1]Releases!$A$7:$D$102,4,FALSE),"")</f>
        <v/>
      </c>
      <c r="E71" s="381" t="str">
        <f>IFERROR(VLOOKUP(B71,[1]Releases!$A$7:$C$102,3,FALSE),"")</f>
        <v/>
      </c>
      <c r="F71" s="381"/>
      <c r="G71" s="381"/>
      <c r="H71" s="381"/>
      <c r="I71" s="381"/>
      <c r="J71" s="381"/>
      <c r="K71" s="381"/>
      <c r="L71" s="381"/>
      <c r="M71" s="381"/>
      <c r="N71" s="381"/>
    </row>
    <row r="72" spans="1:14" ht="15.6" x14ac:dyDescent="0.3">
      <c r="A72" s="380" t="s">
        <v>17629</v>
      </c>
      <c r="B72" s="381"/>
      <c r="C72" s="381"/>
      <c r="D72" s="381" t="str">
        <f>IFERROR(VLOOKUP(B72,[1]Releases!$A$7:$D$102,4,FALSE),"")</f>
        <v/>
      </c>
      <c r="E72" s="381" t="str">
        <f>IFERROR(VLOOKUP(B72,[1]Releases!$A$7:$C$102,3,FALSE),"")</f>
        <v/>
      </c>
      <c r="F72" s="381"/>
      <c r="G72" s="381"/>
      <c r="H72" s="381"/>
      <c r="I72" s="381"/>
      <c r="J72" s="381"/>
      <c r="K72" s="381"/>
      <c r="L72" s="381"/>
      <c r="M72" s="381"/>
      <c r="N72" s="381"/>
    </row>
    <row r="73" spans="1:14" x14ac:dyDescent="0.3">
      <c r="A73" s="381"/>
      <c r="B73" s="381"/>
      <c r="C73" s="381"/>
      <c r="D73" s="381" t="str">
        <f>IFERROR(VLOOKUP(B73,[1]Releases!$A$7:$D$102,4,FALSE),"")</f>
        <v/>
      </c>
      <c r="E73" s="381" t="str">
        <f>IFERROR(VLOOKUP(B73,[1]Releases!$A$7:$C$102,3,FALSE),"")</f>
        <v/>
      </c>
      <c r="F73" s="381"/>
      <c r="G73" s="381"/>
      <c r="H73" s="381"/>
      <c r="I73" s="381"/>
      <c r="J73" s="381"/>
      <c r="K73" s="381"/>
      <c r="L73" s="381"/>
      <c r="M73" s="381"/>
      <c r="N73" s="381"/>
    </row>
    <row r="74" spans="1:14" x14ac:dyDescent="0.3">
      <c r="A74" s="381" t="s">
        <v>17701</v>
      </c>
      <c r="B74" s="381"/>
      <c r="C74" s="381"/>
      <c r="D74" s="381" t="str">
        <f>IFERROR(VLOOKUP(B74,[1]Releases!$A$7:$D$102,4,FALSE),"")</f>
        <v/>
      </c>
      <c r="E74" s="381" t="str">
        <f>IFERROR(VLOOKUP(B74,[1]Releases!$A$7:$C$102,3,FALSE),"")</f>
        <v/>
      </c>
      <c r="F74" s="381"/>
      <c r="G74" s="381"/>
      <c r="H74" s="381"/>
      <c r="I74" s="381"/>
      <c r="J74" s="381"/>
      <c r="K74" s="381"/>
      <c r="L74" s="381"/>
      <c r="M74" s="381"/>
      <c r="N74" s="381"/>
    </row>
    <row r="75" spans="1:14" x14ac:dyDescent="0.3">
      <c r="A75" s="381" t="s">
        <v>17702</v>
      </c>
      <c r="B75" s="381"/>
      <c r="C75" s="381"/>
      <c r="D75" s="381" t="str">
        <f>IFERROR(VLOOKUP(B75,[1]Releases!$A$7:$D$102,4,FALSE),"")</f>
        <v/>
      </c>
      <c r="E75" s="381" t="str">
        <f>IFERROR(VLOOKUP(B75,[1]Releases!$A$7:$C$102,3,FALSE),"")</f>
        <v/>
      </c>
      <c r="F75" s="381"/>
      <c r="G75" s="381"/>
      <c r="H75" s="381"/>
      <c r="I75" s="381"/>
      <c r="J75" s="381"/>
      <c r="K75" s="381"/>
      <c r="L75" s="381"/>
      <c r="M75" s="381"/>
      <c r="N75" s="381"/>
    </row>
    <row r="76" spans="1:14" x14ac:dyDescent="0.3">
      <c r="A76" s="381" t="s">
        <v>17703</v>
      </c>
      <c r="B76" s="381"/>
      <c r="C76" s="381"/>
      <c r="D76" s="381" t="str">
        <f>IFERROR(VLOOKUP(B76,[1]Releases!$A$7:$D$102,4,FALSE),"")</f>
        <v/>
      </c>
      <c r="E76" s="381" t="str">
        <f>IFERROR(VLOOKUP(B76,[1]Releases!$A$7:$C$102,3,FALSE),"")</f>
        <v/>
      </c>
      <c r="F76" s="381"/>
      <c r="G76" s="381"/>
      <c r="H76" s="381"/>
      <c r="I76" s="381"/>
      <c r="J76" s="381"/>
      <c r="K76" s="381"/>
      <c r="L76" s="381"/>
      <c r="M76" s="381"/>
      <c r="N76" s="381"/>
    </row>
    <row r="77" spans="1:14" x14ac:dyDescent="0.3">
      <c r="A77" s="381" t="s">
        <v>17704</v>
      </c>
      <c r="B77" s="381"/>
      <c r="C77" s="381"/>
      <c r="D77" s="381" t="str">
        <f>IFERROR(VLOOKUP(B77,[1]Releases!$A$7:$D$102,4,FALSE),"")</f>
        <v/>
      </c>
      <c r="E77" s="381" t="str">
        <f>IFERROR(VLOOKUP(B77,[1]Releases!$A$7:$C$102,3,FALSE),"")</f>
        <v/>
      </c>
      <c r="F77" s="381"/>
      <c r="G77" s="381"/>
      <c r="H77" s="381"/>
      <c r="I77" s="381"/>
      <c r="J77" s="381"/>
      <c r="K77" s="381"/>
      <c r="L77" s="381"/>
      <c r="M77" s="381"/>
      <c r="N77" s="381"/>
    </row>
    <row r="78" spans="1:14" x14ac:dyDescent="0.3">
      <c r="A78" s="381"/>
      <c r="B78" s="381"/>
      <c r="C78" s="381"/>
      <c r="D78" s="381"/>
      <c r="E78" s="381"/>
      <c r="F78" s="381"/>
      <c r="G78" s="381"/>
      <c r="H78" s="381"/>
      <c r="I78" s="381"/>
      <c r="J78" s="381"/>
      <c r="K78" s="381"/>
      <c r="L78" s="381"/>
      <c r="M78" s="381"/>
      <c r="N78" s="381"/>
    </row>
    <row r="79" spans="1:14" x14ac:dyDescent="0.3">
      <c r="A79" s="381" t="s">
        <v>17705</v>
      </c>
      <c r="B79" s="381"/>
      <c r="C79" s="381"/>
      <c r="D79" s="381"/>
      <c r="E79" s="381"/>
      <c r="F79" s="381"/>
      <c r="G79" s="381"/>
      <c r="H79" s="381"/>
      <c r="I79" s="381"/>
      <c r="J79" s="381"/>
      <c r="K79" s="381"/>
      <c r="L79" s="381"/>
      <c r="M79" s="381"/>
      <c r="N79" s="381"/>
    </row>
    <row r="80" spans="1:14" x14ac:dyDescent="0.3">
      <c r="A80" s="381" t="s">
        <v>17706</v>
      </c>
      <c r="B80" s="381"/>
      <c r="C80" s="381"/>
      <c r="D80" s="381"/>
      <c r="E80" s="381"/>
      <c r="F80" s="381"/>
      <c r="G80" s="381"/>
      <c r="H80" s="381"/>
      <c r="I80" s="381"/>
      <c r="J80" s="381"/>
      <c r="K80" s="381"/>
      <c r="L80" s="381"/>
      <c r="M80" s="381"/>
      <c r="N80" s="381"/>
    </row>
    <row r="81" spans="1:14" x14ac:dyDescent="0.3">
      <c r="A81" s="381" t="s">
        <v>17707</v>
      </c>
      <c r="B81" s="381"/>
      <c r="C81" s="381"/>
      <c r="D81" s="381"/>
      <c r="E81" s="381"/>
      <c r="F81" s="381"/>
      <c r="G81" s="381"/>
      <c r="H81" s="381"/>
      <c r="I81" s="381"/>
      <c r="J81" s="381"/>
      <c r="K81" s="381"/>
      <c r="L81" s="381"/>
      <c r="M81" s="381"/>
      <c r="N81" s="381"/>
    </row>
    <row r="82" spans="1:14" x14ac:dyDescent="0.3">
      <c r="A82" s="381" t="s">
        <v>17708</v>
      </c>
      <c r="B82" s="381"/>
      <c r="C82" s="381"/>
      <c r="D82" s="381"/>
      <c r="E82" s="381"/>
      <c r="F82" s="381"/>
      <c r="G82" s="381"/>
      <c r="H82" s="381"/>
      <c r="I82" s="381"/>
      <c r="J82" s="381"/>
      <c r="K82" s="381"/>
      <c r="L82" s="381"/>
      <c r="M82" s="381"/>
      <c r="N82" s="381"/>
    </row>
    <row r="83" spans="1:14" x14ac:dyDescent="0.3">
      <c r="A83" s="381"/>
      <c r="B83" s="381"/>
      <c r="C83" s="381"/>
      <c r="D83" s="381"/>
      <c r="E83" s="381"/>
      <c r="F83" s="381"/>
      <c r="G83" s="381"/>
      <c r="H83" s="381"/>
      <c r="I83" s="381"/>
      <c r="J83" s="381"/>
      <c r="K83" s="381"/>
      <c r="L83" s="381"/>
      <c r="M83" s="381"/>
      <c r="N83" s="381"/>
    </row>
    <row r="84" spans="1:14" x14ac:dyDescent="0.3">
      <c r="A84" s="381" t="s">
        <v>17709</v>
      </c>
      <c r="B84" s="381"/>
      <c r="C84" s="381"/>
      <c r="D84" s="381"/>
      <c r="E84" s="381"/>
      <c r="F84" s="381"/>
      <c r="G84" s="381"/>
      <c r="H84" s="381"/>
      <c r="I84" s="381"/>
      <c r="J84" s="381"/>
      <c r="K84" s="381"/>
      <c r="L84" s="381"/>
      <c r="M84" s="381"/>
      <c r="N84" s="381"/>
    </row>
    <row r="85" spans="1:14" x14ac:dyDescent="0.3">
      <c r="A85" s="381" t="s">
        <v>17710</v>
      </c>
      <c r="B85" s="381"/>
      <c r="C85" s="381"/>
      <c r="D85" s="381"/>
      <c r="E85" s="381"/>
      <c r="F85" s="381"/>
      <c r="G85" s="381"/>
      <c r="H85" s="381"/>
      <c r="I85" s="381"/>
      <c r="J85" s="381"/>
      <c r="K85" s="381"/>
      <c r="L85" s="381"/>
      <c r="M85" s="381"/>
      <c r="N85" s="381"/>
    </row>
    <row r="86" spans="1:14" x14ac:dyDescent="0.3">
      <c r="A86" s="381" t="s">
        <v>17711</v>
      </c>
      <c r="B86" s="381"/>
      <c r="C86" s="381"/>
      <c r="D86" s="381"/>
      <c r="E86" s="381"/>
      <c r="F86" s="381"/>
      <c r="G86" s="381"/>
      <c r="H86" s="381"/>
      <c r="I86" s="381"/>
      <c r="J86" s="381"/>
      <c r="K86" s="381"/>
      <c r="L86" s="381"/>
      <c r="M86" s="381"/>
      <c r="N86" s="381"/>
    </row>
    <row r="87" spans="1:14" x14ac:dyDescent="0.3">
      <c r="A87" s="381" t="s">
        <v>17712</v>
      </c>
      <c r="B87" s="381"/>
      <c r="C87" s="381"/>
      <c r="D87" s="381"/>
      <c r="E87" s="381"/>
      <c r="F87" s="381"/>
      <c r="G87" s="381"/>
      <c r="H87" s="381"/>
      <c r="I87" s="381"/>
      <c r="J87" s="381"/>
      <c r="K87" s="381"/>
      <c r="L87" s="381"/>
      <c r="M87" s="381"/>
    </row>
    <row r="88" spans="1:14" x14ac:dyDescent="0.3">
      <c r="A88" s="381"/>
      <c r="B88" s="381"/>
      <c r="C88" s="381"/>
      <c r="D88" s="381"/>
      <c r="E88" s="381"/>
      <c r="F88" s="381"/>
      <c r="G88" s="381"/>
      <c r="H88" s="381"/>
      <c r="I88" s="381"/>
      <c r="J88" s="381"/>
      <c r="K88" s="381"/>
      <c r="L88" s="381"/>
      <c r="M88" s="381"/>
    </row>
    <row r="89" spans="1:14" x14ac:dyDescent="0.3">
      <c r="A89" s="458" t="s">
        <v>17541</v>
      </c>
      <c r="B89" s="381"/>
      <c r="C89" s="381"/>
      <c r="D89" s="381"/>
      <c r="E89" s="381"/>
      <c r="F89" s="381"/>
      <c r="G89" s="381"/>
      <c r="H89" s="381"/>
      <c r="I89" s="381"/>
      <c r="J89" s="381"/>
      <c r="K89" s="381"/>
      <c r="L89" s="381"/>
      <c r="M89" s="381"/>
    </row>
    <row r="90" spans="1:14" x14ac:dyDescent="0.3">
      <c r="A90" s="381"/>
      <c r="B90" s="381"/>
      <c r="C90" s="381"/>
      <c r="D90" s="381"/>
      <c r="E90" s="381"/>
      <c r="F90" s="381"/>
      <c r="G90" s="381"/>
      <c r="H90" s="381"/>
      <c r="I90" s="381"/>
      <c r="J90" s="381"/>
      <c r="K90" s="381"/>
      <c r="L90" s="381"/>
      <c r="M90" s="381"/>
    </row>
    <row r="91" spans="1:14" x14ac:dyDescent="0.3">
      <c r="A91" s="381" t="s">
        <v>17713</v>
      </c>
      <c r="B91" s="381"/>
      <c r="C91" s="381"/>
      <c r="D91" s="381"/>
      <c r="E91" s="381"/>
      <c r="F91" s="381"/>
      <c r="G91" s="381"/>
      <c r="H91" s="381"/>
      <c r="I91" s="381"/>
      <c r="J91" s="381"/>
      <c r="K91" s="381"/>
      <c r="L91" s="381"/>
      <c r="M91" s="381"/>
    </row>
    <row r="92" spans="1:14" x14ac:dyDescent="0.3">
      <c r="A92" s="381" t="s">
        <v>17714</v>
      </c>
      <c r="B92" s="381"/>
      <c r="C92" s="381"/>
      <c r="D92" s="381"/>
      <c r="E92" s="381"/>
      <c r="F92" s="381"/>
      <c r="G92" s="381"/>
      <c r="H92" s="381"/>
      <c r="I92" s="381"/>
      <c r="J92" s="381"/>
      <c r="K92" s="381"/>
      <c r="L92" s="381"/>
      <c r="M92" s="381"/>
    </row>
    <row r="93" spans="1:14" x14ac:dyDescent="0.3">
      <c r="A93" s="381" t="s">
        <v>17715</v>
      </c>
      <c r="B93" s="381"/>
      <c r="C93" s="381"/>
      <c r="D93" s="381"/>
      <c r="E93" s="381"/>
      <c r="F93" s="381"/>
      <c r="G93" s="381"/>
      <c r="H93" s="381"/>
      <c r="I93" s="381"/>
      <c r="J93" s="381"/>
      <c r="K93" s="381"/>
      <c r="L93" s="381"/>
      <c r="M93" s="381"/>
    </row>
    <row r="94" spans="1:14" x14ac:dyDescent="0.3">
      <c r="A94" s="381" t="s">
        <v>17716</v>
      </c>
      <c r="B94" s="381"/>
      <c r="C94" s="381"/>
      <c r="D94" s="381"/>
      <c r="E94" s="381"/>
      <c r="F94" s="381"/>
      <c r="G94" s="381"/>
      <c r="H94" s="381"/>
      <c r="I94" s="381"/>
      <c r="J94" s="381"/>
      <c r="K94" s="381"/>
      <c r="L94" s="381"/>
      <c r="M94" s="381"/>
    </row>
    <row r="95" spans="1:14" x14ac:dyDescent="0.3">
      <c r="A95" s="381" t="s">
        <v>17717</v>
      </c>
      <c r="B95" s="381"/>
      <c r="C95" s="381"/>
      <c r="D95" s="381"/>
      <c r="E95" s="381"/>
      <c r="F95" s="381"/>
      <c r="G95" s="381"/>
      <c r="H95" s="381"/>
      <c r="I95" s="381"/>
      <c r="J95" s="381"/>
      <c r="K95" s="381"/>
      <c r="L95" s="381"/>
      <c r="M95" s="381"/>
    </row>
    <row r="96" spans="1:14" x14ac:dyDescent="0.3">
      <c r="A96" s="381" t="s">
        <v>17718</v>
      </c>
      <c r="B96" s="381"/>
      <c r="C96" s="381"/>
      <c r="D96" s="381"/>
      <c r="E96" s="381"/>
      <c r="F96" s="381"/>
      <c r="G96" s="381"/>
      <c r="H96" s="381"/>
      <c r="I96" s="381"/>
      <c r="J96" s="381"/>
      <c r="K96" s="381"/>
      <c r="L96" s="381"/>
      <c r="M96" s="381"/>
    </row>
  </sheetData>
  <mergeCells count="2">
    <mergeCell ref="A1:N1"/>
    <mergeCell ref="A34:M34"/>
  </mergeCells>
  <conditionalFormatting sqref="L4:L31 M14:N31">
    <cfRule type="containsText" dxfId="36" priority="1" operator="containsText" text="Approved">
      <formula>NOT(ISERROR(SEARCH("Approved",L4)))</formula>
    </cfRule>
    <cfRule type="containsText" dxfId="35" priority="2" operator="containsText" text="Pending">
      <formula>NOT(ISERROR(SEARCH("Pending",L4)))</formula>
    </cfRule>
    <cfRule type="containsText" dxfId="34" priority="3" operator="containsText" text="Rejected">
      <formula>NOT(ISERROR(SEARCH("Rejected",L4)))</formula>
    </cfRule>
    <cfRule type="containsText" dxfId="33" priority="4" operator="containsText" text="Conditions">
      <formula>NOT(ISERROR(SEARCH("Conditions",L4)))</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405D-D766-4189-ABA0-13D1E0593676}">
  <sheetPr>
    <tabColor rgb="FFFFFF00"/>
  </sheetPr>
  <dimension ref="A1:O52"/>
  <sheetViews>
    <sheetView topLeftCell="D1" workbookViewId="0">
      <selection activeCell="H16" sqref="H16"/>
    </sheetView>
  </sheetViews>
  <sheetFormatPr defaultRowHeight="14.4" x14ac:dyDescent="0.3"/>
  <cols>
    <col min="1" max="2" width="14.77734375" customWidth="1"/>
    <col min="3" max="3" width="27.77734375" customWidth="1"/>
    <col min="4" max="5" width="18.5546875" customWidth="1"/>
    <col min="6" max="6" width="20.33203125" customWidth="1"/>
    <col min="7" max="7" width="16.6640625" customWidth="1"/>
    <col min="8" max="9" width="22.21875" customWidth="1"/>
    <col min="10" max="12" width="18.5546875" customWidth="1"/>
    <col min="13" max="13" width="37" customWidth="1"/>
    <col min="14" max="14" width="18.5546875" customWidth="1"/>
  </cols>
  <sheetData>
    <row r="1" spans="1:15" ht="21" x14ac:dyDescent="0.4">
      <c r="A1" s="479" t="s">
        <v>18963</v>
      </c>
    </row>
    <row r="2" spans="1:15" x14ac:dyDescent="0.3">
      <c r="A2" s="226" t="s">
        <v>18964</v>
      </c>
    </row>
    <row r="3" spans="1:15" x14ac:dyDescent="0.3">
      <c r="A3" s="480" t="s">
        <v>18965</v>
      </c>
      <c r="B3" s="480" t="s">
        <v>1537</v>
      </c>
      <c r="C3" s="480" t="s">
        <v>1541</v>
      </c>
      <c r="D3" s="480" t="s">
        <v>1542</v>
      </c>
      <c r="E3" s="480" t="s">
        <v>15432</v>
      </c>
      <c r="F3" s="480" t="s">
        <v>14920</v>
      </c>
      <c r="G3" s="480" t="s">
        <v>18966</v>
      </c>
      <c r="H3" s="480" t="s">
        <v>18967</v>
      </c>
      <c r="I3" s="480" t="s">
        <v>18968</v>
      </c>
      <c r="J3" s="480" t="s">
        <v>17653</v>
      </c>
      <c r="K3" s="480" t="s">
        <v>17654</v>
      </c>
      <c r="L3" s="480" t="s">
        <v>17655</v>
      </c>
      <c r="M3" s="480" t="s">
        <v>17656</v>
      </c>
      <c r="N3" s="480" t="s">
        <v>17657</v>
      </c>
      <c r="O3" s="480" t="s">
        <v>19546</v>
      </c>
    </row>
    <row r="4" spans="1:15" x14ac:dyDescent="0.3">
      <c r="A4" t="s">
        <v>18969</v>
      </c>
      <c r="B4" t="s">
        <v>15290</v>
      </c>
      <c r="C4" t="s">
        <v>15291</v>
      </c>
      <c r="D4" t="s">
        <v>15467</v>
      </c>
      <c r="E4" t="s">
        <v>1158</v>
      </c>
      <c r="F4" t="s">
        <v>17690</v>
      </c>
      <c r="G4" t="s">
        <v>15768</v>
      </c>
      <c r="H4" t="s">
        <v>15769</v>
      </c>
      <c r="I4" t="s">
        <v>14867</v>
      </c>
      <c r="J4">
        <v>46219</v>
      </c>
      <c r="K4">
        <v>46220</v>
      </c>
      <c r="L4" t="s">
        <v>1116</v>
      </c>
      <c r="M4" t="s">
        <v>18970</v>
      </c>
      <c r="N4" t="s">
        <v>17661</v>
      </c>
      <c r="O4" t="s">
        <v>19547</v>
      </c>
    </row>
    <row r="5" spans="1:15" x14ac:dyDescent="0.3">
      <c r="A5" t="s">
        <v>18971</v>
      </c>
      <c r="B5" t="s">
        <v>15290</v>
      </c>
      <c r="C5" t="s">
        <v>15291</v>
      </c>
      <c r="D5" t="s">
        <v>15467</v>
      </c>
      <c r="E5" t="s">
        <v>1158</v>
      </c>
      <c r="F5" t="s">
        <v>14918</v>
      </c>
      <c r="G5" t="s">
        <v>16048</v>
      </c>
      <c r="H5" t="s">
        <v>18972</v>
      </c>
      <c r="I5" t="s">
        <v>16070</v>
      </c>
      <c r="J5">
        <v>46219</v>
      </c>
      <c r="K5">
        <v>46220</v>
      </c>
      <c r="L5" t="s">
        <v>1246</v>
      </c>
      <c r="M5" t="s">
        <v>18973</v>
      </c>
      <c r="N5" t="s">
        <v>17661</v>
      </c>
      <c r="O5" t="s">
        <v>19547</v>
      </c>
    </row>
    <row r="6" spans="1:15" x14ac:dyDescent="0.3">
      <c r="A6" t="s">
        <v>18974</v>
      </c>
      <c r="B6" t="s">
        <v>15290</v>
      </c>
      <c r="C6" t="s">
        <v>15291</v>
      </c>
      <c r="D6" t="s">
        <v>15467</v>
      </c>
      <c r="E6" t="s">
        <v>1158</v>
      </c>
      <c r="F6" t="s">
        <v>14917</v>
      </c>
      <c r="G6" t="s">
        <v>15993</v>
      </c>
      <c r="H6" t="s">
        <v>18975</v>
      </c>
      <c r="I6" t="s">
        <v>15919</v>
      </c>
      <c r="J6">
        <v>46219</v>
      </c>
      <c r="K6">
        <v>46220</v>
      </c>
      <c r="L6" t="s">
        <v>1271</v>
      </c>
      <c r="M6" t="s">
        <v>18976</v>
      </c>
      <c r="N6" t="s">
        <v>17661</v>
      </c>
      <c r="O6" t="s">
        <v>19547</v>
      </c>
    </row>
    <row r="7" spans="1:15" x14ac:dyDescent="0.3">
      <c r="A7" t="s">
        <v>18977</v>
      </c>
      <c r="B7" t="s">
        <v>15292</v>
      </c>
      <c r="C7" t="s">
        <v>16589</v>
      </c>
      <c r="D7" t="s">
        <v>15560</v>
      </c>
      <c r="E7" t="s">
        <v>14994</v>
      </c>
      <c r="F7" t="s">
        <v>17690</v>
      </c>
      <c r="G7" t="s">
        <v>15768</v>
      </c>
      <c r="H7" t="s">
        <v>15769</v>
      </c>
      <c r="I7" t="s">
        <v>14867</v>
      </c>
      <c r="J7">
        <v>46222</v>
      </c>
      <c r="K7">
        <v>46223</v>
      </c>
      <c r="L7" t="s">
        <v>1087</v>
      </c>
      <c r="M7" t="s">
        <v>18973</v>
      </c>
      <c r="N7" t="s">
        <v>17661</v>
      </c>
      <c r="O7" t="s">
        <v>19547</v>
      </c>
    </row>
    <row r="8" spans="1:15" x14ac:dyDescent="0.3">
      <c r="A8" t="s">
        <v>18978</v>
      </c>
      <c r="B8" t="s">
        <v>15292</v>
      </c>
      <c r="C8" t="s">
        <v>16589</v>
      </c>
      <c r="D8" t="s">
        <v>15560</v>
      </c>
      <c r="E8" t="s">
        <v>14994</v>
      </c>
      <c r="F8" t="s">
        <v>14918</v>
      </c>
      <c r="G8" t="s">
        <v>16048</v>
      </c>
      <c r="H8" t="s">
        <v>18972</v>
      </c>
      <c r="I8" t="s">
        <v>16070</v>
      </c>
      <c r="J8">
        <v>46222</v>
      </c>
      <c r="K8">
        <v>46223</v>
      </c>
      <c r="L8" t="s">
        <v>1087</v>
      </c>
      <c r="M8" t="s">
        <v>18976</v>
      </c>
      <c r="N8" t="s">
        <v>17661</v>
      </c>
      <c r="O8" t="s">
        <v>19547</v>
      </c>
    </row>
    <row r="9" spans="1:15" x14ac:dyDescent="0.3">
      <c r="A9" t="s">
        <v>18979</v>
      </c>
      <c r="B9" t="s">
        <v>15292</v>
      </c>
      <c r="C9" t="s">
        <v>16589</v>
      </c>
      <c r="D9" t="s">
        <v>15560</v>
      </c>
      <c r="E9" t="s">
        <v>14994</v>
      </c>
      <c r="F9" t="s">
        <v>14917</v>
      </c>
      <c r="G9" t="s">
        <v>15993</v>
      </c>
      <c r="H9" t="s">
        <v>18975</v>
      </c>
      <c r="I9" t="s">
        <v>15919</v>
      </c>
      <c r="J9">
        <v>46222</v>
      </c>
      <c r="K9">
        <v>46223</v>
      </c>
      <c r="L9" t="s">
        <v>1087</v>
      </c>
      <c r="M9" t="s">
        <v>18980</v>
      </c>
      <c r="N9" t="s">
        <v>17661</v>
      </c>
      <c r="O9" t="s">
        <v>19547</v>
      </c>
    </row>
    <row r="10" spans="1:15" x14ac:dyDescent="0.3">
      <c r="A10" t="s">
        <v>18981</v>
      </c>
      <c r="B10" t="s">
        <v>15294</v>
      </c>
      <c r="C10" t="s">
        <v>16593</v>
      </c>
      <c r="D10" t="s">
        <v>15608</v>
      </c>
      <c r="E10" t="s">
        <v>14993</v>
      </c>
      <c r="F10" t="s">
        <v>17690</v>
      </c>
      <c r="G10" t="s">
        <v>15768</v>
      </c>
      <c r="H10" t="s">
        <v>15769</v>
      </c>
      <c r="I10" t="s">
        <v>14867</v>
      </c>
      <c r="J10">
        <v>46220</v>
      </c>
      <c r="K10">
        <v>46221</v>
      </c>
      <c r="L10" t="s">
        <v>1087</v>
      </c>
      <c r="M10" t="s">
        <v>18976</v>
      </c>
      <c r="N10" t="s">
        <v>17661</v>
      </c>
      <c r="O10" t="s">
        <v>19547</v>
      </c>
    </row>
    <row r="11" spans="1:15" x14ac:dyDescent="0.3">
      <c r="A11" t="s">
        <v>18982</v>
      </c>
      <c r="B11" t="s">
        <v>15294</v>
      </c>
      <c r="C11" t="s">
        <v>16593</v>
      </c>
      <c r="D11" t="s">
        <v>15608</v>
      </c>
      <c r="E11" t="s">
        <v>14993</v>
      </c>
      <c r="F11" t="s">
        <v>14918</v>
      </c>
      <c r="G11" t="s">
        <v>16048</v>
      </c>
      <c r="H11" t="s">
        <v>18972</v>
      </c>
      <c r="I11" t="s">
        <v>16070</v>
      </c>
      <c r="J11">
        <v>46220</v>
      </c>
      <c r="K11">
        <v>46221</v>
      </c>
      <c r="L11" t="s">
        <v>1087</v>
      </c>
      <c r="M11" t="s">
        <v>18980</v>
      </c>
      <c r="N11" t="s">
        <v>17661</v>
      </c>
      <c r="O11" t="s">
        <v>19547</v>
      </c>
    </row>
    <row r="12" spans="1:15" x14ac:dyDescent="0.3">
      <c r="A12" t="s">
        <v>18983</v>
      </c>
      <c r="B12" t="s">
        <v>15294</v>
      </c>
      <c r="C12" t="s">
        <v>16593</v>
      </c>
      <c r="D12" t="s">
        <v>15608</v>
      </c>
      <c r="E12" t="s">
        <v>14993</v>
      </c>
      <c r="F12" t="s">
        <v>14917</v>
      </c>
      <c r="G12" t="s">
        <v>15993</v>
      </c>
      <c r="H12" t="s">
        <v>18975</v>
      </c>
      <c r="I12" t="s">
        <v>15919</v>
      </c>
      <c r="J12">
        <v>46220</v>
      </c>
      <c r="K12">
        <v>46221</v>
      </c>
      <c r="L12" t="s">
        <v>1087</v>
      </c>
      <c r="M12" t="s">
        <v>18984</v>
      </c>
      <c r="N12" t="s">
        <v>17661</v>
      </c>
      <c r="O12" t="s">
        <v>19547</v>
      </c>
    </row>
    <row r="13" spans="1:15" x14ac:dyDescent="0.3">
      <c r="A13" t="s">
        <v>18985</v>
      </c>
      <c r="B13" t="s">
        <v>15296</v>
      </c>
      <c r="C13" t="s">
        <v>16597</v>
      </c>
      <c r="D13" t="s">
        <v>15622</v>
      </c>
      <c r="E13" t="s">
        <v>14992</v>
      </c>
      <c r="F13" t="s">
        <v>17690</v>
      </c>
      <c r="G13" t="s">
        <v>15768</v>
      </c>
      <c r="H13" t="s">
        <v>15769</v>
      </c>
      <c r="I13" t="s">
        <v>14867</v>
      </c>
      <c r="J13">
        <v>46211</v>
      </c>
      <c r="K13">
        <v>46212</v>
      </c>
      <c r="L13" t="s">
        <v>1087</v>
      </c>
      <c r="M13" t="s">
        <v>18980</v>
      </c>
      <c r="N13" t="s">
        <v>17669</v>
      </c>
      <c r="O13" t="s">
        <v>19547</v>
      </c>
    </row>
    <row r="14" spans="1:15" x14ac:dyDescent="0.3">
      <c r="A14" t="s">
        <v>18986</v>
      </c>
      <c r="B14" t="s">
        <v>15296</v>
      </c>
      <c r="C14" t="s">
        <v>16597</v>
      </c>
      <c r="D14" t="s">
        <v>15622</v>
      </c>
      <c r="E14" t="s">
        <v>14992</v>
      </c>
      <c r="F14" t="s">
        <v>14918</v>
      </c>
      <c r="G14" t="s">
        <v>16048</v>
      </c>
      <c r="H14" t="s">
        <v>18972</v>
      </c>
      <c r="I14" t="s">
        <v>16070</v>
      </c>
      <c r="J14">
        <v>46211</v>
      </c>
      <c r="K14">
        <v>46212</v>
      </c>
      <c r="L14" t="s">
        <v>1087</v>
      </c>
      <c r="M14" t="s">
        <v>18984</v>
      </c>
      <c r="N14" t="s">
        <v>17669</v>
      </c>
      <c r="O14" t="s">
        <v>19547</v>
      </c>
    </row>
    <row r="15" spans="1:15" x14ac:dyDescent="0.3">
      <c r="A15" t="s">
        <v>18987</v>
      </c>
      <c r="B15" t="s">
        <v>15296</v>
      </c>
      <c r="C15" t="s">
        <v>16597</v>
      </c>
      <c r="D15" t="s">
        <v>15622</v>
      </c>
      <c r="E15" t="s">
        <v>14992</v>
      </c>
      <c r="F15" t="s">
        <v>14917</v>
      </c>
      <c r="G15" t="s">
        <v>15993</v>
      </c>
      <c r="H15" t="s">
        <v>18975</v>
      </c>
      <c r="I15" t="s">
        <v>15919</v>
      </c>
      <c r="J15">
        <v>46212</v>
      </c>
      <c r="K15">
        <v>46213</v>
      </c>
      <c r="L15" t="s">
        <v>1087</v>
      </c>
      <c r="M15" t="s">
        <v>18988</v>
      </c>
      <c r="N15" t="s">
        <v>17669</v>
      </c>
      <c r="O15" t="s">
        <v>19547</v>
      </c>
    </row>
    <row r="16" spans="1:15" x14ac:dyDescent="0.3">
      <c r="A16" t="s">
        <v>18989</v>
      </c>
      <c r="B16" t="s">
        <v>15302</v>
      </c>
      <c r="C16" t="s">
        <v>16607</v>
      </c>
      <c r="D16" t="s">
        <v>15705</v>
      </c>
      <c r="E16" t="s">
        <v>14990</v>
      </c>
      <c r="F16" t="s">
        <v>17690</v>
      </c>
      <c r="G16" t="s">
        <v>15768</v>
      </c>
      <c r="H16" t="s">
        <v>15769</v>
      </c>
      <c r="I16" t="s">
        <v>14867</v>
      </c>
      <c r="J16">
        <v>46223</v>
      </c>
      <c r="K16">
        <v>46224</v>
      </c>
      <c r="L16" t="s">
        <v>1087</v>
      </c>
      <c r="M16" t="s">
        <v>18990</v>
      </c>
      <c r="N16" t="s">
        <v>17661</v>
      </c>
      <c r="O16" t="s">
        <v>19547</v>
      </c>
    </row>
    <row r="17" spans="1:15" x14ac:dyDescent="0.3">
      <c r="A17" t="s">
        <v>18991</v>
      </c>
      <c r="B17" t="s">
        <v>15302</v>
      </c>
      <c r="C17" t="s">
        <v>16607</v>
      </c>
      <c r="D17" t="s">
        <v>15705</v>
      </c>
      <c r="E17" t="s">
        <v>14990</v>
      </c>
      <c r="F17" t="s">
        <v>14918</v>
      </c>
      <c r="G17" t="s">
        <v>16048</v>
      </c>
      <c r="H17" t="s">
        <v>18972</v>
      </c>
      <c r="I17" t="s">
        <v>16070</v>
      </c>
      <c r="J17">
        <v>46223</v>
      </c>
      <c r="K17">
        <v>46224</v>
      </c>
      <c r="L17" t="s">
        <v>1087</v>
      </c>
      <c r="M17" t="s">
        <v>18992</v>
      </c>
      <c r="N17" t="s">
        <v>17661</v>
      </c>
      <c r="O17" t="s">
        <v>19547</v>
      </c>
    </row>
    <row r="18" spans="1:15" x14ac:dyDescent="0.3">
      <c r="A18" t="s">
        <v>18993</v>
      </c>
      <c r="B18" t="s">
        <v>15302</v>
      </c>
      <c r="C18" t="s">
        <v>16607</v>
      </c>
      <c r="D18" t="s">
        <v>15705</v>
      </c>
      <c r="E18" t="s">
        <v>14990</v>
      </c>
      <c r="F18" t="s">
        <v>14917</v>
      </c>
      <c r="G18" t="s">
        <v>15993</v>
      </c>
      <c r="H18" t="s">
        <v>18975</v>
      </c>
      <c r="I18" t="s">
        <v>15919</v>
      </c>
      <c r="J18">
        <v>46223</v>
      </c>
      <c r="K18">
        <v>46224</v>
      </c>
      <c r="L18" t="s">
        <v>1087</v>
      </c>
      <c r="M18" t="s">
        <v>18994</v>
      </c>
      <c r="N18" t="s">
        <v>17661</v>
      </c>
      <c r="O18" t="s">
        <v>19547</v>
      </c>
    </row>
    <row r="19" spans="1:15" x14ac:dyDescent="0.3">
      <c r="A19" t="s">
        <v>18995</v>
      </c>
      <c r="B19" t="s">
        <v>15312</v>
      </c>
      <c r="C19" t="s">
        <v>16621</v>
      </c>
      <c r="D19" t="s">
        <v>15631</v>
      </c>
      <c r="E19" t="s">
        <v>14992</v>
      </c>
      <c r="F19" t="s">
        <v>17690</v>
      </c>
      <c r="G19" t="s">
        <v>15768</v>
      </c>
      <c r="H19" t="s">
        <v>15769</v>
      </c>
      <c r="I19" t="s">
        <v>14867</v>
      </c>
      <c r="J19">
        <v>46221</v>
      </c>
      <c r="K19">
        <v>46222</v>
      </c>
      <c r="L19" t="s">
        <v>1087</v>
      </c>
      <c r="M19" t="s">
        <v>18973</v>
      </c>
      <c r="N19" t="s">
        <v>17669</v>
      </c>
      <c r="O19" t="s">
        <v>19547</v>
      </c>
    </row>
    <row r="20" spans="1:15" x14ac:dyDescent="0.3">
      <c r="A20" t="s">
        <v>18996</v>
      </c>
      <c r="B20" t="s">
        <v>15312</v>
      </c>
      <c r="C20" t="s">
        <v>16621</v>
      </c>
      <c r="D20" t="s">
        <v>15631</v>
      </c>
      <c r="E20" t="s">
        <v>14992</v>
      </c>
      <c r="F20" t="s">
        <v>14918</v>
      </c>
      <c r="G20" t="s">
        <v>16048</v>
      </c>
      <c r="H20" t="s">
        <v>18972</v>
      </c>
      <c r="I20" t="s">
        <v>16070</v>
      </c>
      <c r="J20">
        <v>46221</v>
      </c>
      <c r="K20">
        <v>46222</v>
      </c>
      <c r="L20" t="s">
        <v>1087</v>
      </c>
      <c r="M20" t="s">
        <v>18976</v>
      </c>
      <c r="N20" t="s">
        <v>17669</v>
      </c>
      <c r="O20" t="s">
        <v>19547</v>
      </c>
    </row>
    <row r="21" spans="1:15" x14ac:dyDescent="0.3">
      <c r="A21" t="s">
        <v>18997</v>
      </c>
      <c r="B21" t="s">
        <v>15312</v>
      </c>
      <c r="C21" t="s">
        <v>16621</v>
      </c>
      <c r="D21" t="s">
        <v>15631</v>
      </c>
      <c r="E21" t="s">
        <v>14992</v>
      </c>
      <c r="F21" t="s">
        <v>14917</v>
      </c>
      <c r="G21" t="s">
        <v>15993</v>
      </c>
      <c r="H21" t="s">
        <v>18975</v>
      </c>
      <c r="I21" t="s">
        <v>15919</v>
      </c>
      <c r="J21">
        <v>46221</v>
      </c>
      <c r="K21">
        <v>46222</v>
      </c>
      <c r="L21" t="s">
        <v>1087</v>
      </c>
      <c r="M21" t="s">
        <v>18980</v>
      </c>
      <c r="N21" t="s">
        <v>17669</v>
      </c>
      <c r="O21" t="s">
        <v>19547</v>
      </c>
    </row>
    <row r="22" spans="1:15" x14ac:dyDescent="0.3">
      <c r="A22" t="s">
        <v>19442</v>
      </c>
      <c r="B22" t="s">
        <v>15298</v>
      </c>
      <c r="C22" t="s">
        <v>16601</v>
      </c>
      <c r="D22" t="s">
        <v>15664</v>
      </c>
      <c r="E22" t="s">
        <v>14991</v>
      </c>
      <c r="F22" t="s">
        <v>17690</v>
      </c>
      <c r="G22" t="s">
        <v>15768</v>
      </c>
      <c r="H22" t="s">
        <v>15769</v>
      </c>
      <c r="I22" t="s">
        <v>14867</v>
      </c>
      <c r="J22">
        <v>46214</v>
      </c>
      <c r="K22">
        <v>46215</v>
      </c>
      <c r="L22" t="s">
        <v>1087</v>
      </c>
      <c r="M22" t="s">
        <v>18973</v>
      </c>
      <c r="N22" t="s">
        <v>19443</v>
      </c>
      <c r="O22" t="s">
        <v>19547</v>
      </c>
    </row>
    <row r="23" spans="1:15" x14ac:dyDescent="0.3">
      <c r="A23" t="s">
        <v>19444</v>
      </c>
      <c r="B23" t="s">
        <v>15298</v>
      </c>
      <c r="C23" t="s">
        <v>16601</v>
      </c>
      <c r="D23" t="s">
        <v>15664</v>
      </c>
      <c r="E23" t="s">
        <v>14991</v>
      </c>
      <c r="F23" t="s">
        <v>14918</v>
      </c>
      <c r="G23" t="s">
        <v>16048</v>
      </c>
      <c r="H23" t="s">
        <v>18972</v>
      </c>
      <c r="I23" t="s">
        <v>16070</v>
      </c>
      <c r="J23">
        <v>46214</v>
      </c>
      <c r="K23">
        <v>46215</v>
      </c>
      <c r="L23" t="s">
        <v>1087</v>
      </c>
      <c r="M23" t="s">
        <v>19445</v>
      </c>
      <c r="N23" t="s">
        <v>19443</v>
      </c>
      <c r="O23" t="s">
        <v>19547</v>
      </c>
    </row>
    <row r="24" spans="1:15" x14ac:dyDescent="0.3">
      <c r="A24" t="s">
        <v>19446</v>
      </c>
      <c r="B24" t="s">
        <v>15298</v>
      </c>
      <c r="C24" t="s">
        <v>16601</v>
      </c>
      <c r="D24" t="s">
        <v>15664</v>
      </c>
      <c r="E24" t="s">
        <v>14991</v>
      </c>
      <c r="F24" t="s">
        <v>14917</v>
      </c>
      <c r="G24" t="s">
        <v>15993</v>
      </c>
      <c r="H24" t="s">
        <v>18975</v>
      </c>
      <c r="I24" t="s">
        <v>15919</v>
      </c>
      <c r="J24">
        <v>46214</v>
      </c>
      <c r="K24">
        <v>46215</v>
      </c>
      <c r="L24" t="s">
        <v>1087</v>
      </c>
      <c r="M24" t="s">
        <v>18976</v>
      </c>
      <c r="N24" t="s">
        <v>19443</v>
      </c>
      <c r="O24" t="s">
        <v>19547</v>
      </c>
    </row>
    <row r="25" spans="1:15" x14ac:dyDescent="0.3">
      <c r="A25" t="s">
        <v>19447</v>
      </c>
      <c r="B25" t="s">
        <v>15300</v>
      </c>
      <c r="C25" t="s">
        <v>16604</v>
      </c>
      <c r="D25" t="s">
        <v>15676</v>
      </c>
      <c r="E25" t="s">
        <v>1159</v>
      </c>
      <c r="F25" t="s">
        <v>17690</v>
      </c>
      <c r="G25" t="s">
        <v>15768</v>
      </c>
      <c r="H25" t="s">
        <v>15769</v>
      </c>
      <c r="I25" t="s">
        <v>14867</v>
      </c>
      <c r="J25">
        <v>46218</v>
      </c>
      <c r="K25">
        <v>46219</v>
      </c>
      <c r="L25" t="s">
        <v>1087</v>
      </c>
      <c r="M25" t="s">
        <v>19448</v>
      </c>
      <c r="N25" t="s">
        <v>19443</v>
      </c>
      <c r="O25" t="s">
        <v>19547</v>
      </c>
    </row>
    <row r="26" spans="1:15" x14ac:dyDescent="0.3">
      <c r="A26" t="s">
        <v>19449</v>
      </c>
      <c r="B26" t="s">
        <v>15300</v>
      </c>
      <c r="C26" t="s">
        <v>16604</v>
      </c>
      <c r="D26" t="s">
        <v>15676</v>
      </c>
      <c r="E26" t="s">
        <v>1159</v>
      </c>
      <c r="F26" t="s">
        <v>14918</v>
      </c>
      <c r="G26" t="s">
        <v>16048</v>
      </c>
      <c r="H26" t="s">
        <v>18972</v>
      </c>
      <c r="I26" t="s">
        <v>16070</v>
      </c>
      <c r="J26">
        <v>46218</v>
      </c>
      <c r="K26">
        <v>46219</v>
      </c>
      <c r="L26" t="s">
        <v>1087</v>
      </c>
      <c r="M26" t="s">
        <v>18973</v>
      </c>
      <c r="N26" t="s">
        <v>19443</v>
      </c>
      <c r="O26" t="s">
        <v>19547</v>
      </c>
    </row>
    <row r="27" spans="1:15" x14ac:dyDescent="0.3">
      <c r="A27" t="s">
        <v>19450</v>
      </c>
      <c r="B27" t="s">
        <v>15300</v>
      </c>
      <c r="C27" t="s">
        <v>16604</v>
      </c>
      <c r="D27" t="s">
        <v>15676</v>
      </c>
      <c r="E27" t="s">
        <v>1159</v>
      </c>
      <c r="F27" t="s">
        <v>14917</v>
      </c>
      <c r="G27" t="s">
        <v>15993</v>
      </c>
      <c r="H27" t="s">
        <v>18975</v>
      </c>
      <c r="I27" t="s">
        <v>15919</v>
      </c>
      <c r="J27">
        <v>46218</v>
      </c>
      <c r="K27">
        <v>46219</v>
      </c>
      <c r="L27" t="s">
        <v>1087</v>
      </c>
      <c r="M27" t="s">
        <v>18976</v>
      </c>
      <c r="N27" t="s">
        <v>19443</v>
      </c>
      <c r="O27" t="s">
        <v>19547</v>
      </c>
    </row>
    <row r="28" spans="1:15" x14ac:dyDescent="0.3">
      <c r="A28" t="s">
        <v>19451</v>
      </c>
      <c r="B28" t="s">
        <v>15304</v>
      </c>
      <c r="C28" t="s">
        <v>16611</v>
      </c>
      <c r="D28" t="s">
        <v>15732</v>
      </c>
      <c r="E28" t="s">
        <v>152</v>
      </c>
      <c r="F28" t="s">
        <v>17690</v>
      </c>
      <c r="G28" t="s">
        <v>15768</v>
      </c>
      <c r="H28" t="s">
        <v>15769</v>
      </c>
      <c r="I28" t="s">
        <v>14867</v>
      </c>
      <c r="J28">
        <v>46229</v>
      </c>
      <c r="K28">
        <v>46230</v>
      </c>
      <c r="L28" t="s">
        <v>1087</v>
      </c>
      <c r="M28" t="s">
        <v>19452</v>
      </c>
      <c r="N28" t="s">
        <v>19443</v>
      </c>
      <c r="O28" t="s">
        <v>19547</v>
      </c>
    </row>
    <row r="29" spans="1:15" x14ac:dyDescent="0.3">
      <c r="A29" t="s">
        <v>19453</v>
      </c>
      <c r="B29" t="s">
        <v>15304</v>
      </c>
      <c r="C29" t="s">
        <v>16611</v>
      </c>
      <c r="D29" t="s">
        <v>15732</v>
      </c>
      <c r="E29" t="s">
        <v>152</v>
      </c>
      <c r="F29" t="s">
        <v>14918</v>
      </c>
      <c r="G29" t="s">
        <v>16048</v>
      </c>
      <c r="H29" t="s">
        <v>18972</v>
      </c>
      <c r="I29" t="s">
        <v>16070</v>
      </c>
      <c r="J29">
        <v>46229</v>
      </c>
      <c r="K29">
        <v>46230</v>
      </c>
      <c r="L29" t="s">
        <v>1087</v>
      </c>
      <c r="M29" t="s">
        <v>19454</v>
      </c>
      <c r="N29" t="s">
        <v>19443</v>
      </c>
      <c r="O29" t="s">
        <v>19547</v>
      </c>
    </row>
    <row r="30" spans="1:15" x14ac:dyDescent="0.3">
      <c r="A30" t="s">
        <v>19455</v>
      </c>
      <c r="B30" t="s">
        <v>15304</v>
      </c>
      <c r="C30" t="s">
        <v>16611</v>
      </c>
      <c r="D30" t="s">
        <v>15732</v>
      </c>
      <c r="E30" t="s">
        <v>152</v>
      </c>
      <c r="F30" t="s">
        <v>14917</v>
      </c>
      <c r="G30" t="s">
        <v>15993</v>
      </c>
      <c r="H30" t="s">
        <v>18975</v>
      </c>
      <c r="I30" t="s">
        <v>15919</v>
      </c>
      <c r="J30">
        <v>46229</v>
      </c>
      <c r="K30">
        <v>46230</v>
      </c>
      <c r="L30" t="s">
        <v>1087</v>
      </c>
      <c r="M30" t="s">
        <v>18976</v>
      </c>
      <c r="N30" t="s">
        <v>19443</v>
      </c>
      <c r="O30" t="s">
        <v>19547</v>
      </c>
    </row>
    <row r="31" spans="1:15" x14ac:dyDescent="0.3">
      <c r="A31" t="s">
        <v>19456</v>
      </c>
      <c r="B31" t="s">
        <v>15306</v>
      </c>
      <c r="C31" t="s">
        <v>16614</v>
      </c>
      <c r="D31" t="s">
        <v>15458</v>
      </c>
      <c r="E31" t="s">
        <v>1158</v>
      </c>
      <c r="F31" t="s">
        <v>17690</v>
      </c>
      <c r="G31" t="s">
        <v>15768</v>
      </c>
      <c r="H31" t="s">
        <v>15769</v>
      </c>
      <c r="I31" t="s">
        <v>14867</v>
      </c>
      <c r="J31">
        <v>46233</v>
      </c>
      <c r="K31">
        <v>46234</v>
      </c>
      <c r="L31" t="s">
        <v>1087</v>
      </c>
      <c r="M31" t="s">
        <v>19457</v>
      </c>
      <c r="N31" t="s">
        <v>19443</v>
      </c>
      <c r="O31" t="s">
        <v>19547</v>
      </c>
    </row>
    <row r="32" spans="1:15" x14ac:dyDescent="0.3">
      <c r="A32" t="s">
        <v>19458</v>
      </c>
      <c r="B32" t="s">
        <v>15306</v>
      </c>
      <c r="C32" t="s">
        <v>16614</v>
      </c>
      <c r="D32" t="s">
        <v>15458</v>
      </c>
      <c r="E32" t="s">
        <v>1158</v>
      </c>
      <c r="F32" t="s">
        <v>14918</v>
      </c>
      <c r="G32" t="s">
        <v>16048</v>
      </c>
      <c r="H32" t="s">
        <v>18972</v>
      </c>
      <c r="I32" t="s">
        <v>16070</v>
      </c>
      <c r="J32">
        <v>46233</v>
      </c>
      <c r="K32">
        <v>46234</v>
      </c>
      <c r="L32" t="s">
        <v>1087</v>
      </c>
      <c r="M32" t="s">
        <v>18973</v>
      </c>
      <c r="N32" t="s">
        <v>19443</v>
      </c>
      <c r="O32" t="s">
        <v>19547</v>
      </c>
    </row>
    <row r="33" spans="1:15" x14ac:dyDescent="0.3">
      <c r="A33" t="s">
        <v>19459</v>
      </c>
      <c r="B33" t="s">
        <v>15306</v>
      </c>
      <c r="C33" t="s">
        <v>16614</v>
      </c>
      <c r="D33" t="s">
        <v>15458</v>
      </c>
      <c r="E33" t="s">
        <v>1158</v>
      </c>
      <c r="F33" t="s">
        <v>14917</v>
      </c>
      <c r="G33" t="s">
        <v>15993</v>
      </c>
      <c r="H33" t="s">
        <v>18975</v>
      </c>
      <c r="I33" t="s">
        <v>15919</v>
      </c>
      <c r="J33">
        <v>46233</v>
      </c>
      <c r="K33">
        <v>46234</v>
      </c>
      <c r="L33" t="s">
        <v>1087</v>
      </c>
      <c r="M33" t="s">
        <v>18976</v>
      </c>
      <c r="N33" t="s">
        <v>19443</v>
      </c>
      <c r="O33" t="s">
        <v>19547</v>
      </c>
    </row>
    <row r="34" spans="1:15" x14ac:dyDescent="0.3">
      <c r="A34" t="s">
        <v>19460</v>
      </c>
      <c r="B34" t="s">
        <v>15308</v>
      </c>
      <c r="C34" t="s">
        <v>16617</v>
      </c>
      <c r="D34" t="s">
        <v>15563</v>
      </c>
      <c r="E34" t="s">
        <v>14994</v>
      </c>
      <c r="F34" t="s">
        <v>17690</v>
      </c>
      <c r="G34" t="s">
        <v>15768</v>
      </c>
      <c r="H34" t="s">
        <v>15769</v>
      </c>
      <c r="I34" t="s">
        <v>14867</v>
      </c>
      <c r="J34">
        <v>46215</v>
      </c>
      <c r="K34">
        <v>46216</v>
      </c>
      <c r="L34" t="s">
        <v>1087</v>
      </c>
      <c r="M34" t="s">
        <v>19461</v>
      </c>
      <c r="N34" t="s">
        <v>19443</v>
      </c>
      <c r="O34" t="s">
        <v>19547</v>
      </c>
    </row>
    <row r="35" spans="1:15" x14ac:dyDescent="0.3">
      <c r="A35" t="s">
        <v>19462</v>
      </c>
      <c r="B35" t="s">
        <v>15308</v>
      </c>
      <c r="C35" t="s">
        <v>16617</v>
      </c>
      <c r="D35" t="s">
        <v>15563</v>
      </c>
      <c r="E35" t="s">
        <v>14994</v>
      </c>
      <c r="F35" t="s">
        <v>14918</v>
      </c>
      <c r="G35" t="s">
        <v>16048</v>
      </c>
      <c r="H35" t="s">
        <v>18972</v>
      </c>
      <c r="I35" t="s">
        <v>16070</v>
      </c>
      <c r="J35">
        <v>46215</v>
      </c>
      <c r="K35">
        <v>46216</v>
      </c>
      <c r="L35" t="s">
        <v>1087</v>
      </c>
      <c r="M35" t="s">
        <v>18973</v>
      </c>
      <c r="N35" t="s">
        <v>19443</v>
      </c>
      <c r="O35" t="s">
        <v>19547</v>
      </c>
    </row>
    <row r="36" spans="1:15" x14ac:dyDescent="0.3">
      <c r="A36" t="s">
        <v>19463</v>
      </c>
      <c r="B36" t="s">
        <v>15308</v>
      </c>
      <c r="C36" t="s">
        <v>16617</v>
      </c>
      <c r="D36" t="s">
        <v>15563</v>
      </c>
      <c r="E36" t="s">
        <v>14994</v>
      </c>
      <c r="F36" t="s">
        <v>14917</v>
      </c>
      <c r="G36" t="s">
        <v>15993</v>
      </c>
      <c r="H36" t="s">
        <v>18975</v>
      </c>
      <c r="I36" t="s">
        <v>15919</v>
      </c>
      <c r="J36">
        <v>46215</v>
      </c>
      <c r="K36">
        <v>46216</v>
      </c>
      <c r="L36" t="s">
        <v>1087</v>
      </c>
      <c r="M36" t="s">
        <v>18976</v>
      </c>
      <c r="N36" t="s">
        <v>19443</v>
      </c>
      <c r="O36" t="s">
        <v>19547</v>
      </c>
    </row>
    <row r="37" spans="1:15" x14ac:dyDescent="0.3">
      <c r="A37" t="s">
        <v>19464</v>
      </c>
      <c r="B37" t="s">
        <v>16177</v>
      </c>
      <c r="C37" t="s">
        <v>16637</v>
      </c>
      <c r="D37" t="s">
        <v>15557</v>
      </c>
      <c r="E37" t="s">
        <v>14994</v>
      </c>
      <c r="F37" t="s">
        <v>17690</v>
      </c>
      <c r="G37" t="s">
        <v>15768</v>
      </c>
      <c r="H37" t="s">
        <v>15769</v>
      </c>
      <c r="I37" t="s">
        <v>14867</v>
      </c>
      <c r="J37">
        <v>46272</v>
      </c>
      <c r="K37">
        <v>46273</v>
      </c>
      <c r="L37" t="s">
        <v>1087</v>
      </c>
      <c r="M37" t="s">
        <v>19465</v>
      </c>
      <c r="N37" t="s">
        <v>19443</v>
      </c>
      <c r="O37" t="s">
        <v>19547</v>
      </c>
    </row>
    <row r="38" spans="1:15" x14ac:dyDescent="0.3">
      <c r="A38" t="s">
        <v>19466</v>
      </c>
      <c r="B38" t="s">
        <v>16177</v>
      </c>
      <c r="C38" t="s">
        <v>16637</v>
      </c>
      <c r="D38" t="s">
        <v>15557</v>
      </c>
      <c r="E38" t="s">
        <v>14994</v>
      </c>
      <c r="F38" t="s">
        <v>14918</v>
      </c>
      <c r="G38" t="s">
        <v>16048</v>
      </c>
      <c r="H38" t="s">
        <v>18972</v>
      </c>
      <c r="I38" t="s">
        <v>16070</v>
      </c>
      <c r="J38">
        <v>46272</v>
      </c>
      <c r="K38">
        <v>46273</v>
      </c>
      <c r="L38" t="s">
        <v>1087</v>
      </c>
      <c r="M38" t="s">
        <v>18973</v>
      </c>
      <c r="N38" t="s">
        <v>19443</v>
      </c>
      <c r="O38" t="s">
        <v>19547</v>
      </c>
    </row>
    <row r="39" spans="1:15" x14ac:dyDescent="0.3">
      <c r="A39" t="s">
        <v>19467</v>
      </c>
      <c r="B39" t="s">
        <v>16177</v>
      </c>
      <c r="C39" t="s">
        <v>16637</v>
      </c>
      <c r="D39" t="s">
        <v>15557</v>
      </c>
      <c r="E39" t="s">
        <v>14994</v>
      </c>
      <c r="F39" t="s">
        <v>14917</v>
      </c>
      <c r="G39" t="s">
        <v>15993</v>
      </c>
      <c r="H39" t="s">
        <v>18975</v>
      </c>
      <c r="I39" t="s">
        <v>15919</v>
      </c>
      <c r="J39">
        <v>46272</v>
      </c>
      <c r="K39">
        <v>46273</v>
      </c>
      <c r="L39" t="s">
        <v>1087</v>
      </c>
      <c r="M39" t="s">
        <v>18976</v>
      </c>
      <c r="N39" t="s">
        <v>19443</v>
      </c>
      <c r="O39" t="s">
        <v>19547</v>
      </c>
    </row>
    <row r="40" spans="1:15" x14ac:dyDescent="0.3">
      <c r="A40" t="s">
        <v>19468</v>
      </c>
      <c r="B40" t="s">
        <v>16188</v>
      </c>
      <c r="C40" t="s">
        <v>16641</v>
      </c>
      <c r="D40" t="s">
        <v>15619</v>
      </c>
      <c r="E40" t="s">
        <v>14992</v>
      </c>
      <c r="F40" t="s">
        <v>17690</v>
      </c>
      <c r="G40" t="s">
        <v>15768</v>
      </c>
      <c r="H40" t="s">
        <v>15769</v>
      </c>
      <c r="I40" t="s">
        <v>14867</v>
      </c>
      <c r="J40">
        <v>46229</v>
      </c>
      <c r="K40">
        <v>46230</v>
      </c>
      <c r="L40" t="s">
        <v>1087</v>
      </c>
      <c r="M40" t="s">
        <v>19469</v>
      </c>
      <c r="N40" t="s">
        <v>19443</v>
      </c>
      <c r="O40" t="s">
        <v>19547</v>
      </c>
    </row>
    <row r="41" spans="1:15" x14ac:dyDescent="0.3">
      <c r="A41" t="s">
        <v>19470</v>
      </c>
      <c r="B41" t="s">
        <v>16188</v>
      </c>
      <c r="C41" t="s">
        <v>16641</v>
      </c>
      <c r="D41" t="s">
        <v>15619</v>
      </c>
      <c r="E41" t="s">
        <v>14992</v>
      </c>
      <c r="F41" t="s">
        <v>14918</v>
      </c>
      <c r="G41" t="s">
        <v>16048</v>
      </c>
      <c r="H41" t="s">
        <v>18972</v>
      </c>
      <c r="I41" t="s">
        <v>16070</v>
      </c>
      <c r="J41">
        <v>46229</v>
      </c>
      <c r="K41">
        <v>46230</v>
      </c>
      <c r="L41" t="s">
        <v>1087</v>
      </c>
      <c r="M41" t="s">
        <v>18973</v>
      </c>
      <c r="N41" t="s">
        <v>19443</v>
      </c>
      <c r="O41" t="s">
        <v>19547</v>
      </c>
    </row>
    <row r="42" spans="1:15" x14ac:dyDescent="0.3">
      <c r="A42" t="s">
        <v>19471</v>
      </c>
      <c r="B42" t="s">
        <v>16188</v>
      </c>
      <c r="C42" t="s">
        <v>16641</v>
      </c>
      <c r="D42" t="s">
        <v>15619</v>
      </c>
      <c r="E42" t="s">
        <v>14992</v>
      </c>
      <c r="F42" t="s">
        <v>14917</v>
      </c>
      <c r="G42" t="s">
        <v>15993</v>
      </c>
      <c r="H42" t="s">
        <v>18975</v>
      </c>
      <c r="I42" t="s">
        <v>15919</v>
      </c>
      <c r="J42">
        <v>46229</v>
      </c>
      <c r="K42">
        <v>46230</v>
      </c>
      <c r="L42" t="s">
        <v>1087</v>
      </c>
      <c r="M42" t="s">
        <v>18976</v>
      </c>
      <c r="N42" t="s">
        <v>19443</v>
      </c>
      <c r="O42" t="s">
        <v>19547</v>
      </c>
    </row>
    <row r="43" spans="1:15" x14ac:dyDescent="0.3">
      <c r="A43" t="s">
        <v>19472</v>
      </c>
      <c r="B43" t="s">
        <v>16203</v>
      </c>
      <c r="C43" t="s">
        <v>16651</v>
      </c>
      <c r="D43" t="s">
        <v>15744</v>
      </c>
      <c r="E43" t="s">
        <v>152</v>
      </c>
      <c r="F43" t="s">
        <v>17690</v>
      </c>
      <c r="G43" t="s">
        <v>15768</v>
      </c>
      <c r="H43" t="s">
        <v>15769</v>
      </c>
      <c r="I43" t="s">
        <v>14867</v>
      </c>
      <c r="J43">
        <v>46212</v>
      </c>
      <c r="K43">
        <v>46213</v>
      </c>
      <c r="L43" t="s">
        <v>1087</v>
      </c>
      <c r="M43" t="s">
        <v>19473</v>
      </c>
      <c r="N43" t="s">
        <v>19443</v>
      </c>
      <c r="O43" t="s">
        <v>19547</v>
      </c>
    </row>
    <row r="44" spans="1:15" x14ac:dyDescent="0.3">
      <c r="A44" t="s">
        <v>19474</v>
      </c>
      <c r="B44" t="s">
        <v>16203</v>
      </c>
      <c r="C44" t="s">
        <v>16651</v>
      </c>
      <c r="D44" t="s">
        <v>15744</v>
      </c>
      <c r="E44" t="s">
        <v>152</v>
      </c>
      <c r="F44" t="s">
        <v>14918</v>
      </c>
      <c r="G44" t="s">
        <v>16048</v>
      </c>
      <c r="H44" t="s">
        <v>18972</v>
      </c>
      <c r="I44" t="s">
        <v>16070</v>
      </c>
      <c r="J44">
        <v>46212</v>
      </c>
      <c r="K44">
        <v>46213</v>
      </c>
      <c r="L44" t="s">
        <v>1087</v>
      </c>
      <c r="M44" t="s">
        <v>18973</v>
      </c>
      <c r="N44" t="s">
        <v>19443</v>
      </c>
      <c r="O44" t="s">
        <v>19547</v>
      </c>
    </row>
    <row r="45" spans="1:15" x14ac:dyDescent="0.3">
      <c r="A45" t="s">
        <v>19475</v>
      </c>
      <c r="B45" t="s">
        <v>16203</v>
      </c>
      <c r="C45" t="s">
        <v>16651</v>
      </c>
      <c r="D45" t="s">
        <v>15744</v>
      </c>
      <c r="E45" t="s">
        <v>152</v>
      </c>
      <c r="F45" t="s">
        <v>14917</v>
      </c>
      <c r="G45" t="s">
        <v>15993</v>
      </c>
      <c r="H45" t="s">
        <v>18975</v>
      </c>
      <c r="I45" t="s">
        <v>15919</v>
      </c>
      <c r="J45">
        <v>46212</v>
      </c>
      <c r="K45">
        <v>46213</v>
      </c>
      <c r="L45" t="s">
        <v>1087</v>
      </c>
      <c r="M45" t="s">
        <v>18976</v>
      </c>
      <c r="N45" t="s">
        <v>19443</v>
      </c>
      <c r="O45" t="s">
        <v>19547</v>
      </c>
    </row>
    <row r="46" spans="1:15" x14ac:dyDescent="0.3">
      <c r="A46" t="s">
        <v>19476</v>
      </c>
      <c r="B46" t="s">
        <v>16216</v>
      </c>
      <c r="C46" t="s">
        <v>16662</v>
      </c>
      <c r="D46" t="s">
        <v>15614</v>
      </c>
      <c r="E46" t="s">
        <v>14992</v>
      </c>
      <c r="F46" t="s">
        <v>17690</v>
      </c>
      <c r="G46" t="s">
        <v>15768</v>
      </c>
      <c r="H46" t="s">
        <v>15769</v>
      </c>
      <c r="I46" t="s">
        <v>14867</v>
      </c>
      <c r="J46">
        <v>46232</v>
      </c>
      <c r="K46">
        <v>46233</v>
      </c>
      <c r="L46" t="s">
        <v>1087</v>
      </c>
      <c r="M46" t="s">
        <v>19477</v>
      </c>
      <c r="N46" t="s">
        <v>19443</v>
      </c>
      <c r="O46" t="s">
        <v>19547</v>
      </c>
    </row>
    <row r="47" spans="1:15" x14ac:dyDescent="0.3">
      <c r="A47" t="s">
        <v>19478</v>
      </c>
      <c r="B47" t="s">
        <v>16216</v>
      </c>
      <c r="C47" t="s">
        <v>16662</v>
      </c>
      <c r="D47" t="s">
        <v>15614</v>
      </c>
      <c r="E47" t="s">
        <v>14992</v>
      </c>
      <c r="F47" t="s">
        <v>14918</v>
      </c>
      <c r="G47" t="s">
        <v>16048</v>
      </c>
      <c r="H47" t="s">
        <v>18972</v>
      </c>
      <c r="I47" t="s">
        <v>16070</v>
      </c>
      <c r="J47">
        <v>46232</v>
      </c>
      <c r="K47">
        <v>46233</v>
      </c>
      <c r="L47" t="s">
        <v>1087</v>
      </c>
      <c r="M47" t="s">
        <v>18973</v>
      </c>
      <c r="N47" t="s">
        <v>19443</v>
      </c>
      <c r="O47" t="s">
        <v>19547</v>
      </c>
    </row>
    <row r="48" spans="1:15" x14ac:dyDescent="0.3">
      <c r="A48" t="s">
        <v>19479</v>
      </c>
      <c r="B48" t="s">
        <v>16216</v>
      </c>
      <c r="C48" t="s">
        <v>16662</v>
      </c>
      <c r="D48" t="s">
        <v>15614</v>
      </c>
      <c r="E48" t="s">
        <v>14992</v>
      </c>
      <c r="F48" t="s">
        <v>14917</v>
      </c>
      <c r="G48" t="s">
        <v>15993</v>
      </c>
      <c r="H48" t="s">
        <v>18975</v>
      </c>
      <c r="I48" t="s">
        <v>15919</v>
      </c>
      <c r="J48">
        <v>46232</v>
      </c>
      <c r="K48">
        <v>46233</v>
      </c>
      <c r="L48" t="s">
        <v>1087</v>
      </c>
      <c r="M48" t="s">
        <v>18976</v>
      </c>
      <c r="N48" t="s">
        <v>19443</v>
      </c>
      <c r="O48" t="s">
        <v>19547</v>
      </c>
    </row>
    <row r="49" spans="1:15" x14ac:dyDescent="0.3">
      <c r="A49" t="s">
        <v>19480</v>
      </c>
      <c r="B49" t="s">
        <v>16222</v>
      </c>
      <c r="C49" t="s">
        <v>16666</v>
      </c>
      <c r="D49" t="s">
        <v>15693</v>
      </c>
      <c r="E49" t="s">
        <v>1159</v>
      </c>
      <c r="F49" t="s">
        <v>17690</v>
      </c>
      <c r="G49" t="s">
        <v>15768</v>
      </c>
      <c r="H49" t="s">
        <v>15769</v>
      </c>
      <c r="I49" t="s">
        <v>14867</v>
      </c>
      <c r="J49">
        <v>46234</v>
      </c>
      <c r="K49">
        <v>46235</v>
      </c>
      <c r="L49" t="s">
        <v>1087</v>
      </c>
      <c r="M49" t="s">
        <v>19481</v>
      </c>
      <c r="N49" t="s">
        <v>19443</v>
      </c>
      <c r="O49" t="s">
        <v>19547</v>
      </c>
    </row>
    <row r="50" spans="1:15" x14ac:dyDescent="0.3">
      <c r="A50" t="s">
        <v>19482</v>
      </c>
      <c r="B50" t="s">
        <v>16222</v>
      </c>
      <c r="C50" t="s">
        <v>16666</v>
      </c>
      <c r="D50" t="s">
        <v>15693</v>
      </c>
      <c r="E50" t="s">
        <v>1159</v>
      </c>
      <c r="F50" t="s">
        <v>14918</v>
      </c>
      <c r="G50" t="s">
        <v>16048</v>
      </c>
      <c r="H50" t="s">
        <v>18972</v>
      </c>
      <c r="I50" t="s">
        <v>16070</v>
      </c>
      <c r="J50">
        <v>46234</v>
      </c>
      <c r="K50">
        <v>46235</v>
      </c>
      <c r="L50" t="s">
        <v>1087</v>
      </c>
      <c r="M50" t="s">
        <v>18973</v>
      </c>
      <c r="N50" t="s">
        <v>19443</v>
      </c>
      <c r="O50" t="s">
        <v>19547</v>
      </c>
    </row>
    <row r="51" spans="1:15" x14ac:dyDescent="0.3">
      <c r="A51" t="s">
        <v>19483</v>
      </c>
      <c r="B51" t="s">
        <v>16222</v>
      </c>
      <c r="C51" t="s">
        <v>16666</v>
      </c>
      <c r="D51" t="s">
        <v>15693</v>
      </c>
      <c r="E51" t="s">
        <v>1159</v>
      </c>
      <c r="F51" t="s">
        <v>14917</v>
      </c>
      <c r="G51" t="s">
        <v>15993</v>
      </c>
      <c r="H51" t="s">
        <v>18975</v>
      </c>
      <c r="I51" t="s">
        <v>15919</v>
      </c>
      <c r="J51">
        <v>46234</v>
      </c>
      <c r="K51">
        <v>46235</v>
      </c>
      <c r="L51" t="s">
        <v>1087</v>
      </c>
      <c r="M51" t="s">
        <v>18976</v>
      </c>
      <c r="N51" t="s">
        <v>19443</v>
      </c>
      <c r="O51" t="s">
        <v>19547</v>
      </c>
    </row>
    <row r="52" spans="1:15" x14ac:dyDescent="0.3">
      <c r="A52" t="s">
        <v>19484</v>
      </c>
      <c r="B52" t="s">
        <v>16229</v>
      </c>
      <c r="C52" t="s">
        <v>16670</v>
      </c>
      <c r="D52" t="s">
        <v>15732</v>
      </c>
      <c r="E52" t="s">
        <v>152</v>
      </c>
      <c r="F52" t="s">
        <v>17690</v>
      </c>
      <c r="G52" t="s">
        <v>15768</v>
      </c>
      <c r="H52" t="s">
        <v>15769</v>
      </c>
      <c r="I52" t="s">
        <v>14867</v>
      </c>
      <c r="J52">
        <v>46236</v>
      </c>
      <c r="K52">
        <v>46237</v>
      </c>
      <c r="L52" t="s">
        <v>1087</v>
      </c>
      <c r="M52" t="s">
        <v>19485</v>
      </c>
      <c r="N52" t="s">
        <v>19443</v>
      </c>
      <c r="O52" t="s">
        <v>19547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98B4-F30E-4FB8-BEF5-2C21E28A8691}">
  <sheetPr>
    <tabColor theme="5"/>
  </sheetPr>
  <dimension ref="A1:W133"/>
  <sheetViews>
    <sheetView topLeftCell="E1" workbookViewId="0">
      <pane ySplit="4" topLeftCell="A5" activePane="bottomLeft" state="frozen"/>
      <selection activeCell="G26" sqref="G26"/>
      <selection pane="bottomLeft" activeCell="J5" sqref="J5:K6"/>
    </sheetView>
  </sheetViews>
  <sheetFormatPr defaultRowHeight="14.4" x14ac:dyDescent="0.3"/>
  <cols>
    <col min="1" max="1" width="13" customWidth="1"/>
    <col min="2" max="2" width="14.77734375" customWidth="1"/>
    <col min="3" max="5" width="37" customWidth="1"/>
    <col min="6" max="6" width="16.6640625" customWidth="1"/>
    <col min="7" max="7" width="13" customWidth="1"/>
    <col min="8" max="8" width="18.5546875" customWidth="1"/>
    <col min="9" max="9" width="59.21875" customWidth="1"/>
    <col min="10" max="10" width="14.77734375" customWidth="1"/>
    <col min="11" max="11" width="11.109375" customWidth="1"/>
    <col min="12" max="12" width="14.77734375" customWidth="1"/>
    <col min="13" max="13" width="20.33203125" customWidth="1"/>
    <col min="14" max="14" width="51.88671875" customWidth="1"/>
    <col min="15" max="15" width="20.33203125" customWidth="1"/>
    <col min="16" max="16" width="16.6640625" customWidth="1"/>
    <col min="17" max="17" width="37" customWidth="1"/>
    <col min="18" max="19" width="18.5546875" customWidth="1"/>
    <col min="20" max="20" width="17.33203125" customWidth="1"/>
    <col min="21" max="21" width="18.5546875" customWidth="1"/>
    <col min="22" max="22" width="29.6640625" customWidth="1"/>
  </cols>
  <sheetData>
    <row r="1" spans="1:23" ht="21" x14ac:dyDescent="0.4">
      <c r="A1" s="449" t="s">
        <v>17204</v>
      </c>
      <c r="B1" s="429"/>
      <c r="C1" s="429"/>
      <c r="D1" s="429"/>
      <c r="E1" s="429"/>
      <c r="F1" s="429"/>
      <c r="G1" s="429"/>
      <c r="H1" s="429"/>
      <c r="I1" s="429"/>
      <c r="J1" s="429"/>
      <c r="K1" s="429"/>
      <c r="L1" s="429"/>
      <c r="M1" s="429"/>
      <c r="N1" s="429"/>
      <c r="O1" s="429"/>
      <c r="P1" s="429"/>
      <c r="Q1" s="429"/>
      <c r="R1" s="429"/>
      <c r="S1" s="450"/>
    </row>
    <row r="2" spans="1:23" x14ac:dyDescent="0.3">
      <c r="A2" s="199" t="s">
        <v>17205</v>
      </c>
      <c r="B2" s="199"/>
      <c r="C2" s="199"/>
      <c r="D2" s="199"/>
      <c r="E2" s="199"/>
      <c r="F2" s="199"/>
      <c r="G2" s="199"/>
      <c r="H2" s="199"/>
      <c r="I2" s="199"/>
      <c r="J2" s="199"/>
      <c r="K2" s="199"/>
      <c r="L2" s="199"/>
      <c r="M2" s="199"/>
      <c r="N2" s="199"/>
      <c r="O2" s="199"/>
      <c r="P2" s="199"/>
      <c r="Q2" s="199"/>
      <c r="R2" s="199"/>
      <c r="S2" s="197"/>
    </row>
    <row r="3" spans="1:23" x14ac:dyDescent="0.3">
      <c r="A3" s="1" t="s">
        <v>16091</v>
      </c>
      <c r="B3" s="16" t="s">
        <v>16092</v>
      </c>
      <c r="C3" s="386" t="s">
        <v>16093</v>
      </c>
      <c r="D3" s="451"/>
      <c r="E3" s="451"/>
      <c r="G3" s="16" t="s">
        <v>15377</v>
      </c>
      <c r="H3" s="386" t="s">
        <v>16095</v>
      </c>
      <c r="I3" s="16" t="s">
        <v>16564</v>
      </c>
      <c r="J3" s="386" t="s">
        <v>16095</v>
      </c>
      <c r="K3" s="16" t="s">
        <v>17206</v>
      </c>
      <c r="L3" s="386" t="s">
        <v>16095</v>
      </c>
      <c r="M3" s="16" t="s">
        <v>16099</v>
      </c>
      <c r="N3" t="str" cm="1">
        <f t="array" aca="1" ref="N3" ca="1">SUMPRODUCT((A5:A100&lt;&gt;"")*IF(C3="All Time",1,IF(C3="Today",F5:F100=TODAY(),IF(C3="This Week",(F5:F100&gt;=TODAY())*(F5:F100&lt;=TODAY()+7),IF(C3="This Month",(F5:F100&gt;=TODAY())*(F5:F100&lt;=TODAY()+30),(F5:F100&gt;=DATE(YEAR(TODAY()),1,1))*(F5:F100&lt;=DATE(YEAR(TODAY()),12,31))))))*IF(H3="All",1,IF(H3="Critical (20+)",L5:L100&gt;=20,IF(H3="High (15-19)",(L5:L100&gt;=15)*(L5:L100&lt;20),IF(H3="Medium (10-14)",(L5:L100&gt;=10)*(L5:L100&lt;15),L5:L100&lt;10))))*IF(J3="All",1,P5:P100=J3)*IF(L3="All",1,H5:H100=L3))&amp;" of "&amp;COUNTA(A5:A100)&amp;" risks"</f>
        <v>82 of 82 risks</v>
      </c>
      <c r="P3" s="226" t="s">
        <v>17207</v>
      </c>
    </row>
    <row r="4" spans="1:23" ht="25.05" customHeight="1" x14ac:dyDescent="0.3">
      <c r="A4" s="1" t="s">
        <v>17208</v>
      </c>
      <c r="B4" s="1" t="s">
        <v>1537</v>
      </c>
      <c r="C4" s="1" t="s">
        <v>1541</v>
      </c>
      <c r="D4" s="1" t="s">
        <v>1542</v>
      </c>
      <c r="E4" s="1" t="s">
        <v>15432</v>
      </c>
      <c r="F4" s="1" t="s">
        <v>15256</v>
      </c>
      <c r="G4" s="1" t="s">
        <v>15257</v>
      </c>
      <c r="H4" s="1" t="s">
        <v>17209</v>
      </c>
      <c r="I4" s="1" t="s">
        <v>17210</v>
      </c>
      <c r="J4" s="1" t="s">
        <v>17211</v>
      </c>
      <c r="K4" s="1" t="s">
        <v>16381</v>
      </c>
      <c r="L4" s="1" t="s">
        <v>601</v>
      </c>
      <c r="M4" s="1" t="s">
        <v>17212</v>
      </c>
      <c r="N4" s="1" t="s">
        <v>17213</v>
      </c>
      <c r="O4" s="1" t="s">
        <v>17214</v>
      </c>
      <c r="P4" s="1" t="s">
        <v>1068</v>
      </c>
      <c r="Q4" s="1" t="s">
        <v>1245</v>
      </c>
      <c r="R4" s="1" t="s">
        <v>17215</v>
      </c>
      <c r="S4" s="1" t="s">
        <v>19546</v>
      </c>
      <c r="T4" s="211" t="s">
        <v>1153</v>
      </c>
      <c r="U4" s="211"/>
      <c r="V4" s="211"/>
      <c r="W4" s="211"/>
    </row>
    <row r="5" spans="1:23" ht="28.8" x14ac:dyDescent="0.3">
      <c r="A5" t="s">
        <v>17216</v>
      </c>
      <c r="B5" t="s">
        <v>15290</v>
      </c>
      <c r="C5" t="s">
        <v>15291</v>
      </c>
      <c r="D5" t="str">
        <f>IFERROR(VLOOKUP(B5,[1]Releases!$A$7:$D$102,4,FALSE),"")</f>
        <v>Kyriba</v>
      </c>
      <c r="E5" t="str">
        <f>IFERROR(VLOOKUP(B5,[1]Releases!$A$7:$C$102,3,FALSE),"")</f>
        <v>Finance</v>
      </c>
      <c r="F5" s="403">
        <f ca="1">[1]Releases!$K$7</f>
        <v>46245</v>
      </c>
      <c r="G5">
        <f t="shared" ref="G5:G14" ca="1" si="0">MAX(0,F5-TODAY())</f>
        <v>4</v>
      </c>
      <c r="H5" t="s">
        <v>17217</v>
      </c>
      <c r="I5" s="13" t="s">
        <v>17218</v>
      </c>
      <c r="J5">
        <v>4</v>
      </c>
      <c r="K5">
        <v>3</v>
      </c>
      <c r="L5">
        <f t="shared" ref="L5:L36" si="1">J5*K5</f>
        <v>12</v>
      </c>
      <c r="M5" t="s">
        <v>1078</v>
      </c>
      <c r="N5" s="13" t="s">
        <v>17219</v>
      </c>
      <c r="O5" t="s">
        <v>14628</v>
      </c>
      <c r="P5" t="s">
        <v>17220</v>
      </c>
      <c r="Q5" s="13" t="s">
        <v>17221</v>
      </c>
      <c r="R5" t="s">
        <v>15955</v>
      </c>
      <c r="S5" t="s">
        <v>19547</v>
      </c>
    </row>
    <row r="6" spans="1:23" x14ac:dyDescent="0.3">
      <c r="A6" t="s">
        <v>17222</v>
      </c>
      <c r="B6" t="s">
        <v>15290</v>
      </c>
      <c r="C6" t="s">
        <v>15291</v>
      </c>
      <c r="D6" t="str">
        <f>IFERROR(VLOOKUP(B6,[1]Releases!$A$7:$D$102,4,FALSE),"")</f>
        <v>Kyriba</v>
      </c>
      <c r="E6" t="str">
        <f>IFERROR(VLOOKUP(B6,[1]Releases!$A$7:$C$102,3,FALSE),"")</f>
        <v>Finance</v>
      </c>
      <c r="F6" s="403">
        <f ca="1">[1]Releases!$K$7</f>
        <v>46245</v>
      </c>
      <c r="G6">
        <f t="shared" ca="1" si="0"/>
        <v>4</v>
      </c>
      <c r="H6" t="s">
        <v>1555</v>
      </c>
      <c r="I6" s="13" t="s">
        <v>17223</v>
      </c>
      <c r="J6">
        <v>5</v>
      </c>
      <c r="K6">
        <v>2</v>
      </c>
      <c r="L6">
        <f t="shared" si="1"/>
        <v>10</v>
      </c>
      <c r="M6" t="s">
        <v>1566</v>
      </c>
      <c r="N6" s="13" t="s">
        <v>17224</v>
      </c>
      <c r="O6" t="s">
        <v>14628</v>
      </c>
      <c r="P6" t="s">
        <v>1287</v>
      </c>
      <c r="Q6" s="13" t="s">
        <v>17225</v>
      </c>
      <c r="R6" t="s">
        <v>15955</v>
      </c>
      <c r="S6" t="s">
        <v>19547</v>
      </c>
      <c r="T6" s="16" t="s">
        <v>17226</v>
      </c>
    </row>
    <row r="7" spans="1:23" x14ac:dyDescent="0.3">
      <c r="A7" t="s">
        <v>17227</v>
      </c>
      <c r="B7" t="s">
        <v>15294</v>
      </c>
      <c r="C7" t="s">
        <v>16593</v>
      </c>
      <c r="D7" t="str">
        <f>IFERROR(VLOOKUP(B7,[1]Releases!$A$7:$D$102,4,FALSE),"")</f>
        <v>Zendesk</v>
      </c>
      <c r="E7" t="str">
        <f>IFERROR(VLOOKUP(B7,[1]Releases!$A$7:$C$102,3,FALSE),"")</f>
        <v>CRM</v>
      </c>
      <c r="F7" s="403">
        <f ca="1">[1]Releases!$K$9</f>
        <v>46246</v>
      </c>
      <c r="G7">
        <f t="shared" ca="1" si="0"/>
        <v>5</v>
      </c>
      <c r="H7" t="s">
        <v>14905</v>
      </c>
      <c r="I7" s="13" t="s">
        <v>17228</v>
      </c>
      <c r="J7">
        <v>2</v>
      </c>
      <c r="K7">
        <v>2</v>
      </c>
      <c r="L7">
        <f t="shared" si="1"/>
        <v>4</v>
      </c>
      <c r="M7" t="s">
        <v>17229</v>
      </c>
      <c r="N7" s="13" t="s">
        <v>17230</v>
      </c>
      <c r="O7" t="s">
        <v>14648</v>
      </c>
      <c r="P7" t="s">
        <v>1295</v>
      </c>
      <c r="Q7" s="13" t="s">
        <v>17231</v>
      </c>
      <c r="R7" t="s">
        <v>15879</v>
      </c>
      <c r="S7" t="s">
        <v>19547</v>
      </c>
      <c r="T7">
        <v>1</v>
      </c>
      <c r="U7" t="s">
        <v>14746</v>
      </c>
      <c r="V7" t="s">
        <v>17232</v>
      </c>
    </row>
    <row r="8" spans="1:23" x14ac:dyDescent="0.3">
      <c r="A8" t="s">
        <v>17233</v>
      </c>
      <c r="B8" t="s">
        <v>15294</v>
      </c>
      <c r="C8" t="s">
        <v>16593</v>
      </c>
      <c r="D8" t="str">
        <f>IFERROR(VLOOKUP(B8,[1]Releases!$A$7:$D$102,4,FALSE),"")</f>
        <v>Zendesk</v>
      </c>
      <c r="E8" t="str">
        <f>IFERROR(VLOOKUP(B8,[1]Releases!$A$7:$C$102,3,FALSE),"")</f>
        <v>CRM</v>
      </c>
      <c r="F8" s="403">
        <f ca="1">[1]Releases!$K$9</f>
        <v>46246</v>
      </c>
      <c r="G8">
        <f t="shared" ca="1" si="0"/>
        <v>5</v>
      </c>
      <c r="H8" t="s">
        <v>17234</v>
      </c>
      <c r="I8" s="13" t="s">
        <v>17235</v>
      </c>
      <c r="J8">
        <v>3</v>
      </c>
      <c r="K8">
        <v>2</v>
      </c>
      <c r="L8">
        <f t="shared" si="1"/>
        <v>6</v>
      </c>
      <c r="M8" t="s">
        <v>14986</v>
      </c>
      <c r="N8" s="13" t="s">
        <v>17236</v>
      </c>
      <c r="O8" t="s">
        <v>17237</v>
      </c>
      <c r="P8" t="s">
        <v>17220</v>
      </c>
      <c r="Q8" s="13" t="s">
        <v>17238</v>
      </c>
      <c r="R8" t="s">
        <v>15993</v>
      </c>
      <c r="S8" t="s">
        <v>19547</v>
      </c>
      <c r="T8">
        <v>2</v>
      </c>
      <c r="U8" t="s">
        <v>14744</v>
      </c>
      <c r="V8" t="s">
        <v>17239</v>
      </c>
    </row>
    <row r="9" spans="1:23" x14ac:dyDescent="0.3">
      <c r="A9" t="s">
        <v>17240</v>
      </c>
      <c r="B9" t="s">
        <v>15292</v>
      </c>
      <c r="C9" t="s">
        <v>16589</v>
      </c>
      <c r="D9" t="str">
        <f>IFERROR(VLOOKUP(B9,[1]Releases!$A$7:$D$102,4,FALSE),"")</f>
        <v>Blue Yonder WMS</v>
      </c>
      <c r="E9" t="str">
        <f>IFERROR(VLOOKUP(B9,[1]Releases!$A$7:$C$102,3,FALSE),"")</f>
        <v>Logistics</v>
      </c>
      <c r="F9" s="403">
        <f ca="1">[1]Releases!$K$8</f>
        <v>46249</v>
      </c>
      <c r="G9">
        <f t="shared" ca="1" si="0"/>
        <v>8</v>
      </c>
      <c r="H9" t="s">
        <v>65</v>
      </c>
      <c r="I9" s="13" t="s">
        <v>17241</v>
      </c>
      <c r="J9">
        <v>4</v>
      </c>
      <c r="K9">
        <v>4</v>
      </c>
      <c r="L9">
        <f t="shared" si="1"/>
        <v>16</v>
      </c>
      <c r="M9" t="s">
        <v>1427</v>
      </c>
      <c r="N9" s="13" t="s">
        <v>17242</v>
      </c>
      <c r="O9" t="s">
        <v>17243</v>
      </c>
      <c r="P9" t="s">
        <v>1228</v>
      </c>
      <c r="Q9" s="13" t="s">
        <v>17244</v>
      </c>
      <c r="R9" t="s">
        <v>15955</v>
      </c>
      <c r="S9" t="s">
        <v>19547</v>
      </c>
      <c r="T9">
        <v>3</v>
      </c>
      <c r="U9" t="s">
        <v>14741</v>
      </c>
      <c r="V9" t="s">
        <v>17245</v>
      </c>
    </row>
    <row r="10" spans="1:23" x14ac:dyDescent="0.3">
      <c r="A10" t="s">
        <v>17246</v>
      </c>
      <c r="B10" t="s">
        <v>15292</v>
      </c>
      <c r="C10" t="s">
        <v>16589</v>
      </c>
      <c r="D10" t="str">
        <f>IFERROR(VLOOKUP(B10,[1]Releases!$A$7:$D$102,4,FALSE),"")</f>
        <v>Blue Yonder WMS</v>
      </c>
      <c r="E10" t="str">
        <f>IFERROR(VLOOKUP(B10,[1]Releases!$A$7:$C$102,3,FALSE),"")</f>
        <v>Logistics</v>
      </c>
      <c r="F10" s="403">
        <f ca="1">[1]Releases!$K$8</f>
        <v>46249</v>
      </c>
      <c r="G10">
        <f t="shared" ca="1" si="0"/>
        <v>8</v>
      </c>
      <c r="H10" t="s">
        <v>1078</v>
      </c>
      <c r="I10" s="13" t="s">
        <v>17247</v>
      </c>
      <c r="J10">
        <v>3</v>
      </c>
      <c r="K10">
        <v>4</v>
      </c>
      <c r="L10">
        <f t="shared" si="1"/>
        <v>12</v>
      </c>
      <c r="M10" t="s">
        <v>17248</v>
      </c>
      <c r="N10" s="13" t="s">
        <v>17249</v>
      </c>
      <c r="O10" t="s">
        <v>14644</v>
      </c>
      <c r="P10" t="s">
        <v>1287</v>
      </c>
      <c r="Q10" s="13" t="s">
        <v>17250</v>
      </c>
      <c r="R10" t="s">
        <v>15955</v>
      </c>
      <c r="S10" t="s">
        <v>19547</v>
      </c>
      <c r="T10">
        <v>4</v>
      </c>
      <c r="U10" t="s">
        <v>14738</v>
      </c>
      <c r="V10" t="s">
        <v>17251</v>
      </c>
    </row>
    <row r="11" spans="1:23" x14ac:dyDescent="0.3">
      <c r="A11" t="s">
        <v>17252</v>
      </c>
      <c r="B11" t="s">
        <v>15292</v>
      </c>
      <c r="C11" t="s">
        <v>16589</v>
      </c>
      <c r="D11" t="str">
        <f>IFERROR(VLOOKUP(B11,[1]Releases!$A$7:$D$102,4,FALSE),"")</f>
        <v>Blue Yonder WMS</v>
      </c>
      <c r="E11" t="str">
        <f>IFERROR(VLOOKUP(B11,[1]Releases!$A$7:$C$102,3,FALSE),"")</f>
        <v>Logistics</v>
      </c>
      <c r="F11" s="403">
        <f ca="1">[1]Releases!$K$8</f>
        <v>46249</v>
      </c>
      <c r="G11">
        <f t="shared" ca="1" si="0"/>
        <v>8</v>
      </c>
      <c r="H11" t="s">
        <v>17217</v>
      </c>
      <c r="I11" s="13" t="s">
        <v>17253</v>
      </c>
      <c r="J11">
        <v>3</v>
      </c>
      <c r="K11">
        <v>3</v>
      </c>
      <c r="L11">
        <f t="shared" si="1"/>
        <v>9</v>
      </c>
      <c r="M11" t="s">
        <v>17254</v>
      </c>
      <c r="N11" s="13" t="s">
        <v>17255</v>
      </c>
      <c r="O11" t="s">
        <v>16055</v>
      </c>
      <c r="P11" t="s">
        <v>1295</v>
      </c>
      <c r="Q11" s="13" t="s">
        <v>17256</v>
      </c>
      <c r="R11" t="s">
        <v>15955</v>
      </c>
      <c r="S11" t="s">
        <v>19547</v>
      </c>
      <c r="T11">
        <v>5</v>
      </c>
      <c r="U11" t="s">
        <v>14735</v>
      </c>
      <c r="V11" t="s">
        <v>17257</v>
      </c>
    </row>
    <row r="12" spans="1:23" x14ac:dyDescent="0.3">
      <c r="A12" t="s">
        <v>17258</v>
      </c>
      <c r="B12" t="s">
        <v>15302</v>
      </c>
      <c r="C12" t="s">
        <v>16607</v>
      </c>
      <c r="D12" t="str">
        <f>IFERROR(VLOOKUP(B12,[1]Releases!$A$7:$D$102,4,FALSE),"")</f>
        <v>Mitratech TeamConnect</v>
      </c>
      <c r="E12" t="str">
        <f>IFERROR(VLOOKUP(B12,[1]Releases!$A$7:$C$102,3,FALSE),"")</f>
        <v>Legal</v>
      </c>
      <c r="F12" s="403">
        <f ca="1">[1]Releases!$K$13</f>
        <v>46250</v>
      </c>
      <c r="G12">
        <f t="shared" ca="1" si="0"/>
        <v>9</v>
      </c>
      <c r="H12" t="s">
        <v>17259</v>
      </c>
      <c r="I12" s="13" t="s">
        <v>17260</v>
      </c>
      <c r="J12">
        <v>3</v>
      </c>
      <c r="K12">
        <v>5</v>
      </c>
      <c r="L12">
        <f t="shared" si="1"/>
        <v>15</v>
      </c>
      <c r="M12" t="s">
        <v>17261</v>
      </c>
      <c r="N12" s="13" t="s">
        <v>17262</v>
      </c>
      <c r="O12" t="s">
        <v>17263</v>
      </c>
      <c r="P12" t="s">
        <v>1228</v>
      </c>
      <c r="Q12" s="13" t="s">
        <v>17264</v>
      </c>
      <c r="R12" t="s">
        <v>15955</v>
      </c>
      <c r="S12" t="s">
        <v>19547</v>
      </c>
    </row>
    <row r="13" spans="1:23" x14ac:dyDescent="0.3">
      <c r="A13" t="s">
        <v>17265</v>
      </c>
      <c r="B13" t="s">
        <v>15302</v>
      </c>
      <c r="C13" t="s">
        <v>16607</v>
      </c>
      <c r="D13" t="str">
        <f>IFERROR(VLOOKUP(B13,[1]Releases!$A$7:$D$102,4,FALSE),"")</f>
        <v>Mitratech TeamConnect</v>
      </c>
      <c r="E13" t="str">
        <f>IFERROR(VLOOKUP(B13,[1]Releases!$A$7:$C$102,3,FALSE),"")</f>
        <v>Legal</v>
      </c>
      <c r="F13" s="403">
        <f ca="1">[1]Releases!$K$13</f>
        <v>46250</v>
      </c>
      <c r="G13">
        <f t="shared" ca="1" si="0"/>
        <v>9</v>
      </c>
      <c r="H13" t="s">
        <v>14905</v>
      </c>
      <c r="I13" s="13" t="s">
        <v>17266</v>
      </c>
      <c r="J13">
        <v>3</v>
      </c>
      <c r="K13">
        <v>3</v>
      </c>
      <c r="L13">
        <f t="shared" si="1"/>
        <v>9</v>
      </c>
      <c r="M13" t="s">
        <v>195</v>
      </c>
      <c r="N13" s="13" t="s">
        <v>17267</v>
      </c>
      <c r="O13" t="s">
        <v>14648</v>
      </c>
      <c r="P13" t="s">
        <v>1287</v>
      </c>
      <c r="Q13" s="13" t="s">
        <v>17268</v>
      </c>
      <c r="R13" t="s">
        <v>15879</v>
      </c>
      <c r="S13" t="s">
        <v>19547</v>
      </c>
      <c r="T13" s="16" t="s">
        <v>17269</v>
      </c>
    </row>
    <row r="14" spans="1:23" x14ac:dyDescent="0.3">
      <c r="A14" t="s">
        <v>17270</v>
      </c>
      <c r="B14" t="s">
        <v>15312</v>
      </c>
      <c r="C14" t="s">
        <v>16621</v>
      </c>
      <c r="D14" t="str">
        <f>IFERROR(VLOOKUP(B14,[1]Releases!$A$7:$D$102,4,FALSE),"")</f>
        <v>Plex Smart Manufacturing</v>
      </c>
      <c r="E14" t="str">
        <f>IFERROR(VLOOKUP(B14,[1]Releases!$A$7:$C$102,3,FALSE),"")</f>
        <v>Manufacturing</v>
      </c>
      <c r="F14" s="403">
        <f ca="1">[1]Releases!$K$18</f>
        <v>46247</v>
      </c>
      <c r="G14">
        <f t="shared" ca="1" si="0"/>
        <v>6</v>
      </c>
      <c r="H14" t="s">
        <v>1549</v>
      </c>
      <c r="I14" s="13" t="s">
        <v>17271</v>
      </c>
      <c r="J14">
        <v>4</v>
      </c>
      <c r="K14">
        <v>2</v>
      </c>
      <c r="L14">
        <f t="shared" si="1"/>
        <v>8</v>
      </c>
      <c r="M14" t="s">
        <v>1549</v>
      </c>
      <c r="N14" s="13" t="s">
        <v>17272</v>
      </c>
      <c r="O14" t="s">
        <v>17273</v>
      </c>
      <c r="P14" t="s">
        <v>1287</v>
      </c>
      <c r="Q14" s="13" t="s">
        <v>17274</v>
      </c>
      <c r="R14" t="s">
        <v>15955</v>
      </c>
      <c r="S14" t="s">
        <v>19547</v>
      </c>
      <c r="T14">
        <v>1</v>
      </c>
      <c r="U14" t="s">
        <v>14729</v>
      </c>
      <c r="V14" t="s">
        <v>17275</v>
      </c>
    </row>
    <row r="15" spans="1:23" x14ac:dyDescent="0.3">
      <c r="A15" t="s">
        <v>17276</v>
      </c>
      <c r="B15" t="s">
        <v>15312</v>
      </c>
      <c r="C15" t="s">
        <v>16621</v>
      </c>
      <c r="D15" t="str">
        <f>IFERROR(VLOOKUP(B15,[1]Releases!$A$7:$D$102,4,FALSE),"")</f>
        <v>Plex Smart Manufacturing</v>
      </c>
      <c r="E15" t="str">
        <f>IFERROR(VLOOKUP(B15,[1]Releases!$A$7:$C$102,3,FALSE),"")</f>
        <v>Manufacturing</v>
      </c>
      <c r="F15" s="403">
        <v>46209</v>
      </c>
      <c r="G15">
        <f t="shared" ref="G15:G36" si="2">F15-46202</f>
        <v>7</v>
      </c>
      <c r="H15" t="s">
        <v>1140</v>
      </c>
      <c r="I15" s="13" t="s">
        <v>17277</v>
      </c>
      <c r="J15">
        <v>2</v>
      </c>
      <c r="K15">
        <v>3</v>
      </c>
      <c r="L15">
        <f t="shared" si="1"/>
        <v>6</v>
      </c>
      <c r="M15" t="s">
        <v>1555</v>
      </c>
      <c r="N15" s="13" t="s">
        <v>17278</v>
      </c>
      <c r="O15" t="s">
        <v>17279</v>
      </c>
      <c r="P15" t="s">
        <v>17220</v>
      </c>
      <c r="Q15" s="13" t="s">
        <v>17280</v>
      </c>
      <c r="R15" t="s">
        <v>15955</v>
      </c>
      <c r="S15" t="s">
        <v>19547</v>
      </c>
      <c r="T15">
        <v>2</v>
      </c>
      <c r="U15" t="s">
        <v>14726</v>
      </c>
      <c r="V15" t="s">
        <v>17281</v>
      </c>
    </row>
    <row r="16" spans="1:23" x14ac:dyDescent="0.3">
      <c r="A16" t="s">
        <v>17282</v>
      </c>
      <c r="B16" t="s">
        <v>15296</v>
      </c>
      <c r="C16" t="s">
        <v>16597</v>
      </c>
      <c r="D16" t="str">
        <f>IFERROR(VLOOKUP(B16,[1]Releases!$A$7:$D$102,4,FALSE),"")</f>
        <v>AVEVA MES</v>
      </c>
      <c r="E16" t="str">
        <f>IFERROR(VLOOKUP(B16,[1]Releases!$A$7:$C$102,3,FALSE),"")</f>
        <v>Manufacturing</v>
      </c>
      <c r="F16" s="403">
        <v>46215</v>
      </c>
      <c r="G16">
        <f t="shared" si="2"/>
        <v>13</v>
      </c>
      <c r="H16" t="s">
        <v>61</v>
      </c>
      <c r="I16" s="13" t="s">
        <v>17283</v>
      </c>
      <c r="J16">
        <v>5</v>
      </c>
      <c r="K16">
        <v>4</v>
      </c>
      <c r="L16">
        <f t="shared" si="1"/>
        <v>20</v>
      </c>
      <c r="M16" t="s">
        <v>1140</v>
      </c>
      <c r="N16" s="13" t="s">
        <v>17284</v>
      </c>
      <c r="O16" t="s">
        <v>17285</v>
      </c>
      <c r="P16" t="s">
        <v>1224</v>
      </c>
      <c r="Q16" s="13" t="s">
        <v>17286</v>
      </c>
      <c r="R16" t="s">
        <v>15955</v>
      </c>
      <c r="S16" t="s">
        <v>19547</v>
      </c>
      <c r="T16">
        <v>3</v>
      </c>
      <c r="U16" t="s">
        <v>14723</v>
      </c>
      <c r="V16" t="s">
        <v>17287</v>
      </c>
    </row>
    <row r="17" spans="1:22" x14ac:dyDescent="0.3">
      <c r="A17" t="s">
        <v>17288</v>
      </c>
      <c r="B17" t="s">
        <v>15296</v>
      </c>
      <c r="C17" t="s">
        <v>16597</v>
      </c>
      <c r="D17" t="str">
        <f>IFERROR(VLOOKUP(B17,[1]Releases!$A$7:$D$102,4,FALSE),"")</f>
        <v>AVEVA MES</v>
      </c>
      <c r="E17" t="str">
        <f>IFERROR(VLOOKUP(B17,[1]Releases!$A$7:$C$102,3,FALSE),"")</f>
        <v>Manufacturing</v>
      </c>
      <c r="F17" s="403">
        <v>46215</v>
      </c>
      <c r="G17">
        <f t="shared" si="2"/>
        <v>13</v>
      </c>
      <c r="H17" t="s">
        <v>61</v>
      </c>
      <c r="I17" s="13" t="s">
        <v>17289</v>
      </c>
      <c r="J17">
        <v>3</v>
      </c>
      <c r="K17">
        <v>3</v>
      </c>
      <c r="L17">
        <f t="shared" si="1"/>
        <v>9</v>
      </c>
      <c r="M17" t="s">
        <v>1066</v>
      </c>
      <c r="N17" s="13" t="s">
        <v>17290</v>
      </c>
      <c r="O17" t="s">
        <v>17291</v>
      </c>
      <c r="P17" t="s">
        <v>1220</v>
      </c>
      <c r="Q17" s="13" t="s">
        <v>17292</v>
      </c>
      <c r="R17" t="s">
        <v>15955</v>
      </c>
      <c r="S17" t="s">
        <v>19547</v>
      </c>
      <c r="T17">
        <v>4</v>
      </c>
      <c r="U17" t="s">
        <v>14720</v>
      </c>
      <c r="V17" t="s">
        <v>17293</v>
      </c>
    </row>
    <row r="18" spans="1:22" x14ac:dyDescent="0.3">
      <c r="A18" t="s">
        <v>17294</v>
      </c>
      <c r="B18" t="s">
        <v>15296</v>
      </c>
      <c r="C18" t="s">
        <v>16597</v>
      </c>
      <c r="D18" t="str">
        <f>IFERROR(VLOOKUP(B18,[1]Releases!$A$7:$D$102,4,FALSE),"")</f>
        <v>AVEVA MES</v>
      </c>
      <c r="E18" t="str">
        <f>IFERROR(VLOOKUP(B18,[1]Releases!$A$7:$C$102,3,FALSE),"")</f>
        <v>Manufacturing</v>
      </c>
      <c r="F18" s="403">
        <v>46215</v>
      </c>
      <c r="G18">
        <f t="shared" si="2"/>
        <v>13</v>
      </c>
      <c r="H18" t="s">
        <v>14905</v>
      </c>
      <c r="I18" s="13" t="s">
        <v>17295</v>
      </c>
      <c r="J18">
        <v>3</v>
      </c>
      <c r="K18">
        <v>4</v>
      </c>
      <c r="L18">
        <f t="shared" si="1"/>
        <v>12</v>
      </c>
      <c r="M18" t="s">
        <v>195</v>
      </c>
      <c r="N18" s="13" t="s">
        <v>17296</v>
      </c>
      <c r="O18" t="s">
        <v>17297</v>
      </c>
      <c r="P18" t="s">
        <v>1287</v>
      </c>
      <c r="Q18" s="13" t="s">
        <v>17298</v>
      </c>
      <c r="R18" t="s">
        <v>15955</v>
      </c>
      <c r="S18" t="s">
        <v>19547</v>
      </c>
      <c r="T18">
        <v>5</v>
      </c>
      <c r="U18" t="s">
        <v>17299</v>
      </c>
      <c r="V18" t="s">
        <v>17300</v>
      </c>
    </row>
    <row r="19" spans="1:22" x14ac:dyDescent="0.3">
      <c r="A19" t="s">
        <v>17301</v>
      </c>
      <c r="B19" t="s">
        <v>15296</v>
      </c>
      <c r="C19" t="s">
        <v>16597</v>
      </c>
      <c r="D19" t="str">
        <f>IFERROR(VLOOKUP(B19,[1]Releases!$A$7:$D$102,4,FALSE),"")</f>
        <v>AVEVA MES</v>
      </c>
      <c r="E19" t="str">
        <f>IFERROR(VLOOKUP(B19,[1]Releases!$A$7:$C$102,3,FALSE),"")</f>
        <v>Manufacturing</v>
      </c>
      <c r="F19" s="403">
        <v>46215</v>
      </c>
      <c r="G19">
        <f t="shared" si="2"/>
        <v>13</v>
      </c>
      <c r="H19" t="s">
        <v>17217</v>
      </c>
      <c r="I19" s="13" t="s">
        <v>17302</v>
      </c>
      <c r="J19">
        <v>4</v>
      </c>
      <c r="K19">
        <v>3</v>
      </c>
      <c r="L19">
        <f t="shared" si="1"/>
        <v>12</v>
      </c>
      <c r="M19" t="s">
        <v>17303</v>
      </c>
      <c r="N19" s="13" t="s">
        <v>17304</v>
      </c>
      <c r="O19" t="s">
        <v>17305</v>
      </c>
      <c r="P19" t="s">
        <v>1295</v>
      </c>
      <c r="Q19" s="13" t="s">
        <v>17306</v>
      </c>
      <c r="R19" t="s">
        <v>15955</v>
      </c>
      <c r="S19" t="s">
        <v>19547</v>
      </c>
    </row>
    <row r="20" spans="1:22" x14ac:dyDescent="0.3">
      <c r="A20" t="s">
        <v>17307</v>
      </c>
      <c r="B20" t="s">
        <v>15296</v>
      </c>
      <c r="C20" t="s">
        <v>16597</v>
      </c>
      <c r="D20" t="str">
        <f>IFERROR(VLOOKUP(B20,[1]Releases!$A$7:$D$102,4,FALSE),"")</f>
        <v>AVEVA MES</v>
      </c>
      <c r="E20" t="str">
        <f>IFERROR(VLOOKUP(B20,[1]Releases!$A$7:$C$102,3,FALSE),"")</f>
        <v>Manufacturing</v>
      </c>
      <c r="F20" s="403">
        <v>46215</v>
      </c>
      <c r="G20">
        <f t="shared" si="2"/>
        <v>13</v>
      </c>
      <c r="H20" t="s">
        <v>14877</v>
      </c>
      <c r="I20" s="13" t="s">
        <v>17308</v>
      </c>
      <c r="J20">
        <v>3</v>
      </c>
      <c r="K20">
        <v>2</v>
      </c>
      <c r="L20">
        <f t="shared" si="1"/>
        <v>6</v>
      </c>
      <c r="M20" t="s">
        <v>17309</v>
      </c>
      <c r="N20" s="13" t="s">
        <v>17310</v>
      </c>
      <c r="O20" t="s">
        <v>17311</v>
      </c>
      <c r="P20" t="s">
        <v>1287</v>
      </c>
      <c r="Q20" s="13" t="s">
        <v>17312</v>
      </c>
      <c r="R20" t="s">
        <v>15955</v>
      </c>
      <c r="S20" t="s">
        <v>19547</v>
      </c>
      <c r="T20" s="16" t="s">
        <v>17313</v>
      </c>
    </row>
    <row r="21" spans="1:22" ht="28.8" x14ac:dyDescent="0.3">
      <c r="A21" t="s">
        <v>17314</v>
      </c>
      <c r="B21" t="s">
        <v>15298</v>
      </c>
      <c r="C21" t="s">
        <v>16601</v>
      </c>
      <c r="D21" t="str">
        <f>IFERROR(VLOOKUP(B21,[1]Releases!$A$7:$D$102,4,FALSE),"")</f>
        <v>Datadog</v>
      </c>
      <c r="E21" t="str">
        <f>IFERROR(VLOOKUP(B21,[1]Releases!$A$7:$C$102,3,FALSE),"")</f>
        <v>IT</v>
      </c>
      <c r="F21" s="403">
        <v>46219</v>
      </c>
      <c r="G21">
        <f t="shared" si="2"/>
        <v>17</v>
      </c>
      <c r="H21" t="s">
        <v>152</v>
      </c>
      <c r="I21" s="13" t="s">
        <v>17315</v>
      </c>
      <c r="J21">
        <v>2</v>
      </c>
      <c r="K21">
        <v>5</v>
      </c>
      <c r="L21">
        <f t="shared" si="1"/>
        <v>10</v>
      </c>
      <c r="M21" t="s">
        <v>152</v>
      </c>
      <c r="N21" s="13" t="s">
        <v>17316</v>
      </c>
      <c r="O21" t="s">
        <v>17317</v>
      </c>
      <c r="P21" t="s">
        <v>1228</v>
      </c>
      <c r="Q21" s="13" t="s">
        <v>17318</v>
      </c>
      <c r="R21" t="s">
        <v>15955</v>
      </c>
      <c r="S21" t="s">
        <v>19547</v>
      </c>
      <c r="T21" s="452" t="s">
        <v>17319</v>
      </c>
      <c r="U21" t="s">
        <v>14689</v>
      </c>
      <c r="V21" t="s">
        <v>17320</v>
      </c>
    </row>
    <row r="22" spans="1:22" x14ac:dyDescent="0.3">
      <c r="A22" t="s">
        <v>17321</v>
      </c>
      <c r="B22" t="s">
        <v>15298</v>
      </c>
      <c r="C22" t="s">
        <v>16601</v>
      </c>
      <c r="D22" t="str">
        <f>IFERROR(VLOOKUP(B22,[1]Releases!$A$7:$D$102,4,FALSE),"")</f>
        <v>Datadog</v>
      </c>
      <c r="E22" t="str">
        <f>IFERROR(VLOOKUP(B22,[1]Releases!$A$7:$C$102,3,FALSE),"")</f>
        <v>IT</v>
      </c>
      <c r="F22" s="403">
        <v>46219</v>
      </c>
      <c r="G22">
        <f t="shared" si="2"/>
        <v>17</v>
      </c>
      <c r="H22" t="s">
        <v>65</v>
      </c>
      <c r="I22" s="13" t="s">
        <v>17322</v>
      </c>
      <c r="J22">
        <v>3</v>
      </c>
      <c r="K22">
        <v>4</v>
      </c>
      <c r="L22">
        <f t="shared" si="1"/>
        <v>12</v>
      </c>
      <c r="M22" t="s">
        <v>1566</v>
      </c>
      <c r="N22" s="13" t="s">
        <v>17323</v>
      </c>
      <c r="O22" t="s">
        <v>17324</v>
      </c>
      <c r="P22" t="s">
        <v>1287</v>
      </c>
      <c r="Q22" s="13" t="s">
        <v>17325</v>
      </c>
      <c r="R22" t="s">
        <v>15955</v>
      </c>
      <c r="S22" t="s">
        <v>19547</v>
      </c>
      <c r="T22" s="453" t="s">
        <v>17326</v>
      </c>
      <c r="U22" t="s">
        <v>1125</v>
      </c>
      <c r="V22" t="s">
        <v>17327</v>
      </c>
    </row>
    <row r="23" spans="1:22" ht="28.8" x14ac:dyDescent="0.3">
      <c r="A23" t="s">
        <v>17328</v>
      </c>
      <c r="B23" t="s">
        <v>15298</v>
      </c>
      <c r="C23" t="s">
        <v>16601</v>
      </c>
      <c r="D23" t="str">
        <f>IFERROR(VLOOKUP(B23,[1]Releases!$A$7:$D$102,4,FALSE),"")</f>
        <v>Datadog</v>
      </c>
      <c r="E23" t="str">
        <f>IFERROR(VLOOKUP(B23,[1]Releases!$A$7:$C$102,3,FALSE),"")</f>
        <v>IT</v>
      </c>
      <c r="F23" s="403">
        <v>46219</v>
      </c>
      <c r="G23">
        <f t="shared" si="2"/>
        <v>17</v>
      </c>
      <c r="H23" t="s">
        <v>1078</v>
      </c>
      <c r="I23" s="13" t="s">
        <v>17329</v>
      </c>
      <c r="J23">
        <v>4</v>
      </c>
      <c r="K23">
        <v>3</v>
      </c>
      <c r="L23">
        <f t="shared" si="1"/>
        <v>12</v>
      </c>
      <c r="M23" t="s">
        <v>17248</v>
      </c>
      <c r="N23" s="13" t="s">
        <v>17330</v>
      </c>
      <c r="O23" t="s">
        <v>14644</v>
      </c>
      <c r="P23" t="s">
        <v>1295</v>
      </c>
      <c r="Q23" s="13" t="s">
        <v>17331</v>
      </c>
      <c r="R23" t="s">
        <v>15955</v>
      </c>
      <c r="S23" t="s">
        <v>19547</v>
      </c>
      <c r="T23" s="454" t="s">
        <v>17332</v>
      </c>
      <c r="U23" t="s">
        <v>14697</v>
      </c>
      <c r="V23" t="s">
        <v>17333</v>
      </c>
    </row>
    <row r="24" spans="1:22" x14ac:dyDescent="0.3">
      <c r="A24" t="s">
        <v>17334</v>
      </c>
      <c r="B24" t="s">
        <v>15308</v>
      </c>
      <c r="C24" t="s">
        <v>16617</v>
      </c>
      <c r="D24" t="str">
        <f>IFERROR(VLOOKUP(B24,[1]Releases!$A$7:$D$102,4,FALSE),"")</f>
        <v>Manhattan Associates WMS</v>
      </c>
      <c r="E24" t="str">
        <f>IFERROR(VLOOKUP(B24,[1]Releases!$A$7:$C$102,3,FALSE),"")</f>
        <v>Logistics</v>
      </c>
      <c r="F24" s="403">
        <v>46221</v>
      </c>
      <c r="G24">
        <f t="shared" si="2"/>
        <v>19</v>
      </c>
      <c r="H24" t="s">
        <v>61</v>
      </c>
      <c r="I24" s="13" t="s">
        <v>17335</v>
      </c>
      <c r="J24">
        <v>5</v>
      </c>
      <c r="K24">
        <v>5</v>
      </c>
      <c r="L24">
        <f t="shared" si="1"/>
        <v>25</v>
      </c>
      <c r="M24" t="s">
        <v>14858</v>
      </c>
      <c r="N24" s="13" t="s">
        <v>17336</v>
      </c>
      <c r="O24" t="s">
        <v>17337</v>
      </c>
      <c r="P24" t="s">
        <v>1228</v>
      </c>
      <c r="Q24" s="13" t="s">
        <v>17338</v>
      </c>
      <c r="R24" t="s">
        <v>15916</v>
      </c>
      <c r="S24" t="s">
        <v>19547</v>
      </c>
      <c r="T24" s="455" t="s">
        <v>17339</v>
      </c>
      <c r="U24" t="s">
        <v>14588</v>
      </c>
      <c r="V24" t="s">
        <v>17340</v>
      </c>
    </row>
    <row r="25" spans="1:22" x14ac:dyDescent="0.3">
      <c r="A25" t="s">
        <v>17341</v>
      </c>
      <c r="B25" t="s">
        <v>15308</v>
      </c>
      <c r="C25" t="s">
        <v>16617</v>
      </c>
      <c r="D25" t="str">
        <f>IFERROR(VLOOKUP(B25,[1]Releases!$A$7:$D$102,4,FALSE),"")</f>
        <v>Manhattan Associates WMS</v>
      </c>
      <c r="E25" t="str">
        <f>IFERROR(VLOOKUP(B25,[1]Releases!$A$7:$C$102,3,FALSE),"")</f>
        <v>Logistics</v>
      </c>
      <c r="F25" s="403">
        <v>46221</v>
      </c>
      <c r="G25">
        <f t="shared" si="2"/>
        <v>19</v>
      </c>
      <c r="H25" t="s">
        <v>61</v>
      </c>
      <c r="I25" s="13" t="s">
        <v>17342</v>
      </c>
      <c r="J25">
        <v>4</v>
      </c>
      <c r="K25">
        <v>4</v>
      </c>
      <c r="L25">
        <f t="shared" si="1"/>
        <v>16</v>
      </c>
      <c r="M25" t="s">
        <v>1078</v>
      </c>
      <c r="N25" s="13" t="s">
        <v>17343</v>
      </c>
      <c r="O25" t="s">
        <v>17291</v>
      </c>
      <c r="P25" t="s">
        <v>1224</v>
      </c>
      <c r="Q25" s="13" t="s">
        <v>17344</v>
      </c>
      <c r="R25" t="s">
        <v>15955</v>
      </c>
      <c r="S25" t="s">
        <v>19547</v>
      </c>
    </row>
    <row r="26" spans="1:22" ht="15.6" x14ac:dyDescent="0.3">
      <c r="A26" t="s">
        <v>17345</v>
      </c>
      <c r="B26" t="s">
        <v>15308</v>
      </c>
      <c r="C26" t="s">
        <v>16617</v>
      </c>
      <c r="D26" t="str">
        <f>IFERROR(VLOOKUP(B26,[1]Releases!$A$7:$D$102,4,FALSE),"")</f>
        <v>Manhattan Associates WMS</v>
      </c>
      <c r="E26" t="str">
        <f>IFERROR(VLOOKUP(B26,[1]Releases!$A$7:$C$102,3,FALSE),"")</f>
        <v>Logistics</v>
      </c>
      <c r="F26" s="403">
        <v>46221</v>
      </c>
      <c r="G26">
        <f t="shared" si="2"/>
        <v>19</v>
      </c>
      <c r="H26" t="s">
        <v>61</v>
      </c>
      <c r="I26" s="13" t="s">
        <v>17346</v>
      </c>
      <c r="J26">
        <v>3</v>
      </c>
      <c r="K26">
        <v>3</v>
      </c>
      <c r="L26">
        <f t="shared" si="1"/>
        <v>9</v>
      </c>
      <c r="M26" t="s">
        <v>1427</v>
      </c>
      <c r="N26" s="13" t="s">
        <v>17347</v>
      </c>
      <c r="O26" t="s">
        <v>17243</v>
      </c>
      <c r="P26" t="s">
        <v>1220</v>
      </c>
      <c r="Q26" s="13" t="s">
        <v>17348</v>
      </c>
      <c r="R26" t="s">
        <v>15955</v>
      </c>
      <c r="S26" t="s">
        <v>19547</v>
      </c>
      <c r="T26" s="211" t="s">
        <v>17349</v>
      </c>
      <c r="U26" s="402"/>
      <c r="V26" s="402"/>
    </row>
    <row r="27" spans="1:22" x14ac:dyDescent="0.3">
      <c r="A27" t="s">
        <v>17350</v>
      </c>
      <c r="B27" t="s">
        <v>15308</v>
      </c>
      <c r="C27" t="s">
        <v>16617</v>
      </c>
      <c r="D27" t="str">
        <f>IFERROR(VLOOKUP(B27,[1]Releases!$A$7:$D$102,4,FALSE),"")</f>
        <v>Manhattan Associates WMS</v>
      </c>
      <c r="E27" t="str">
        <f>IFERROR(VLOOKUP(B27,[1]Releases!$A$7:$C$102,3,FALSE),"")</f>
        <v>Logistics</v>
      </c>
      <c r="F27" s="403">
        <v>46221</v>
      </c>
      <c r="G27">
        <f t="shared" si="2"/>
        <v>19</v>
      </c>
      <c r="H27" t="s">
        <v>17351</v>
      </c>
      <c r="I27" s="13" t="s">
        <v>17352</v>
      </c>
      <c r="J27">
        <v>2</v>
      </c>
      <c r="K27">
        <v>5</v>
      </c>
      <c r="L27">
        <f t="shared" si="1"/>
        <v>10</v>
      </c>
      <c r="M27" t="s">
        <v>15920</v>
      </c>
      <c r="N27" s="13" t="s">
        <v>17353</v>
      </c>
      <c r="O27" t="s">
        <v>17354</v>
      </c>
      <c r="P27" t="s">
        <v>17220</v>
      </c>
      <c r="Q27" s="13" t="s">
        <v>17355</v>
      </c>
      <c r="R27" t="s">
        <v>15955</v>
      </c>
      <c r="S27" t="s">
        <v>19547</v>
      </c>
      <c r="T27" t="s">
        <v>17356</v>
      </c>
      <c r="U27" s="456">
        <f>COUNTA(A5:A35)</f>
        <v>31</v>
      </c>
    </row>
    <row r="28" spans="1:22" x14ac:dyDescent="0.3">
      <c r="A28" t="s">
        <v>17357</v>
      </c>
      <c r="B28" t="s">
        <v>15308</v>
      </c>
      <c r="C28" t="s">
        <v>16617</v>
      </c>
      <c r="D28" t="str">
        <f>IFERROR(VLOOKUP(B28,[1]Releases!$A$7:$D$102,4,FALSE),"")</f>
        <v>Manhattan Associates WMS</v>
      </c>
      <c r="E28" t="str">
        <f>IFERROR(VLOOKUP(B28,[1]Releases!$A$7:$C$102,3,FALSE),"")</f>
        <v>Logistics</v>
      </c>
      <c r="F28" s="403">
        <v>46221</v>
      </c>
      <c r="G28">
        <f t="shared" si="2"/>
        <v>19</v>
      </c>
      <c r="H28" t="s">
        <v>17358</v>
      </c>
      <c r="I28" s="13" t="s">
        <v>17359</v>
      </c>
      <c r="J28">
        <v>3</v>
      </c>
      <c r="K28">
        <v>3</v>
      </c>
      <c r="L28">
        <f t="shared" si="1"/>
        <v>9</v>
      </c>
      <c r="M28" t="s">
        <v>17309</v>
      </c>
      <c r="N28" s="13" t="s">
        <v>17360</v>
      </c>
      <c r="O28" t="s">
        <v>17361</v>
      </c>
      <c r="P28" t="s">
        <v>1287</v>
      </c>
      <c r="Q28" s="13" t="s">
        <v>17362</v>
      </c>
      <c r="R28" t="s">
        <v>15955</v>
      </c>
      <c r="S28" t="s">
        <v>19547</v>
      </c>
      <c r="T28" t="s">
        <v>17363</v>
      </c>
      <c r="U28" s="456">
        <f>COUNTIF(L5:L35,"&gt;=20")</f>
        <v>2</v>
      </c>
    </row>
    <row r="29" spans="1:22" x14ac:dyDescent="0.3">
      <c r="A29" t="s">
        <v>17364</v>
      </c>
      <c r="B29" t="s">
        <v>15308</v>
      </c>
      <c r="C29" t="s">
        <v>16617</v>
      </c>
      <c r="D29" t="str">
        <f>IFERROR(VLOOKUP(B29,[1]Releases!$A$7:$D$102,4,FALSE),"")</f>
        <v>Manhattan Associates WMS</v>
      </c>
      <c r="E29" t="str">
        <f>IFERROR(VLOOKUP(B29,[1]Releases!$A$7:$C$102,3,FALSE),"")</f>
        <v>Logistics</v>
      </c>
      <c r="F29" s="403">
        <v>46221</v>
      </c>
      <c r="G29">
        <f t="shared" si="2"/>
        <v>19</v>
      </c>
      <c r="H29" t="s">
        <v>17365</v>
      </c>
      <c r="I29" s="13" t="s">
        <v>17366</v>
      </c>
      <c r="J29">
        <v>2</v>
      </c>
      <c r="K29">
        <v>5</v>
      </c>
      <c r="L29">
        <f t="shared" si="1"/>
        <v>10</v>
      </c>
      <c r="M29" t="s">
        <v>17367</v>
      </c>
      <c r="N29" s="13" t="s">
        <v>17368</v>
      </c>
      <c r="O29" t="s">
        <v>17285</v>
      </c>
      <c r="P29" t="s">
        <v>1224</v>
      </c>
      <c r="Q29" s="13" t="s">
        <v>17369</v>
      </c>
      <c r="R29" t="s">
        <v>15955</v>
      </c>
      <c r="S29" t="s">
        <v>19547</v>
      </c>
      <c r="T29" t="s">
        <v>17370</v>
      </c>
      <c r="U29" s="456">
        <f>COUNTIFS(L5:L35,"&gt;=12",L5:L35,"&lt;20")</f>
        <v>11</v>
      </c>
    </row>
    <row r="30" spans="1:22" x14ac:dyDescent="0.3">
      <c r="A30" t="s">
        <v>17371</v>
      </c>
      <c r="B30" t="s">
        <v>15300</v>
      </c>
      <c r="C30" t="s">
        <v>16604</v>
      </c>
      <c r="D30" t="str">
        <f>IFERROR(VLOOKUP(B30,[1]Releases!$A$7:$D$102,4,FALSE),"")</f>
        <v>SAP SuccessFactors</v>
      </c>
      <c r="E30" t="str">
        <f>IFERROR(VLOOKUP(B30,[1]Releases!$A$7:$C$102,3,FALSE),"")</f>
        <v>HR</v>
      </c>
      <c r="F30" s="403">
        <v>46223</v>
      </c>
      <c r="G30">
        <f t="shared" si="2"/>
        <v>21</v>
      </c>
      <c r="H30" t="s">
        <v>17217</v>
      </c>
      <c r="I30" s="13" t="s">
        <v>17372</v>
      </c>
      <c r="J30">
        <v>4</v>
      </c>
      <c r="K30">
        <v>3</v>
      </c>
      <c r="L30">
        <f t="shared" si="1"/>
        <v>12</v>
      </c>
      <c r="M30" t="s">
        <v>17303</v>
      </c>
      <c r="N30" s="13" t="s">
        <v>17373</v>
      </c>
      <c r="O30" t="s">
        <v>16011</v>
      </c>
      <c r="P30" t="s">
        <v>1287</v>
      </c>
      <c r="Q30" s="13" t="s">
        <v>17374</v>
      </c>
      <c r="R30" t="s">
        <v>15955</v>
      </c>
      <c r="S30" t="s">
        <v>19547</v>
      </c>
      <c r="T30" t="s">
        <v>17375</v>
      </c>
      <c r="U30" s="456">
        <f>COUNTIFS(L5:L35,"&gt;=6",L5:L35,"&lt;12")</f>
        <v>15</v>
      </c>
    </row>
    <row r="31" spans="1:22" x14ac:dyDescent="0.3">
      <c r="A31" t="s">
        <v>17376</v>
      </c>
      <c r="B31" t="s">
        <v>15300</v>
      </c>
      <c r="C31" t="s">
        <v>16604</v>
      </c>
      <c r="D31" t="str">
        <f>IFERROR(VLOOKUP(B31,[1]Releases!$A$7:$D$102,4,FALSE),"")</f>
        <v>SAP SuccessFactors</v>
      </c>
      <c r="E31" t="str">
        <f>IFERROR(VLOOKUP(B31,[1]Releases!$A$7:$C$102,3,FALSE),"")</f>
        <v>HR</v>
      </c>
      <c r="F31" s="403">
        <v>46223</v>
      </c>
      <c r="G31">
        <f t="shared" si="2"/>
        <v>21</v>
      </c>
      <c r="H31" t="s">
        <v>17259</v>
      </c>
      <c r="I31" s="13" t="s">
        <v>17377</v>
      </c>
      <c r="J31">
        <v>2</v>
      </c>
      <c r="K31">
        <v>4</v>
      </c>
      <c r="L31">
        <f t="shared" si="1"/>
        <v>8</v>
      </c>
      <c r="M31" t="s">
        <v>33</v>
      </c>
      <c r="N31" s="13" t="s">
        <v>17378</v>
      </c>
      <c r="O31" t="s">
        <v>17259</v>
      </c>
      <c r="P31" t="s">
        <v>17220</v>
      </c>
      <c r="Q31" s="13" t="s">
        <v>17379</v>
      </c>
      <c r="R31" t="s">
        <v>15955</v>
      </c>
      <c r="S31" t="s">
        <v>19547</v>
      </c>
      <c r="T31" t="s">
        <v>17380</v>
      </c>
      <c r="U31" s="456">
        <f>COUNTIF(L5:L35,"&lt;=5")</f>
        <v>3</v>
      </c>
    </row>
    <row r="32" spans="1:22" x14ac:dyDescent="0.3">
      <c r="A32" t="s">
        <v>17381</v>
      </c>
      <c r="B32" t="s">
        <v>15304</v>
      </c>
      <c r="C32" t="s">
        <v>16611</v>
      </c>
      <c r="D32" t="str">
        <f>IFERROR(VLOOKUP(B32,[1]Releases!$A$7:$D$102,4,FALSE),"")</f>
        <v>CrowdStrike Falcon</v>
      </c>
      <c r="E32" t="str">
        <f>IFERROR(VLOOKUP(B32,[1]Releases!$A$7:$C$102,3,FALSE),"")</f>
        <v>Security</v>
      </c>
      <c r="F32" s="403">
        <v>46234</v>
      </c>
      <c r="G32">
        <f t="shared" si="2"/>
        <v>32</v>
      </c>
      <c r="H32" t="s">
        <v>17234</v>
      </c>
      <c r="I32" s="13" t="s">
        <v>17382</v>
      </c>
      <c r="J32">
        <v>2</v>
      </c>
      <c r="K32">
        <v>2</v>
      </c>
      <c r="L32">
        <f t="shared" si="1"/>
        <v>4</v>
      </c>
      <c r="M32" t="s">
        <v>1555</v>
      </c>
      <c r="N32" s="13" t="s">
        <v>17383</v>
      </c>
      <c r="O32" t="s">
        <v>17237</v>
      </c>
      <c r="P32" t="s">
        <v>17220</v>
      </c>
      <c r="Q32" s="13" t="s">
        <v>17384</v>
      </c>
      <c r="R32" t="s">
        <v>15993</v>
      </c>
      <c r="S32" t="s">
        <v>19547</v>
      </c>
      <c r="T32" s="457" t="s">
        <v>17385</v>
      </c>
      <c r="U32" s="456"/>
    </row>
    <row r="33" spans="1:21" x14ac:dyDescent="0.3">
      <c r="A33" t="s">
        <v>17386</v>
      </c>
      <c r="B33" t="s">
        <v>15306</v>
      </c>
      <c r="C33" t="s">
        <v>16614</v>
      </c>
      <c r="D33" t="str">
        <f>IFERROR(VLOOKUP(B33,[1]Releases!$A$7:$D$102,4,FALSE),"")</f>
        <v>Oracle Hyperion HFM</v>
      </c>
      <c r="E33" t="str">
        <f>IFERROR(VLOOKUP(B33,[1]Releases!$A$7:$C$102,3,FALSE),"")</f>
        <v>Finance</v>
      </c>
      <c r="F33" s="403">
        <v>46238</v>
      </c>
      <c r="G33">
        <f t="shared" si="2"/>
        <v>36</v>
      </c>
      <c r="H33" t="s">
        <v>14905</v>
      </c>
      <c r="I33" s="13" t="s">
        <v>17387</v>
      </c>
      <c r="J33">
        <v>3</v>
      </c>
      <c r="K33">
        <v>4</v>
      </c>
      <c r="L33">
        <f t="shared" si="1"/>
        <v>12</v>
      </c>
      <c r="M33" t="s">
        <v>1427</v>
      </c>
      <c r="N33" s="13" t="s">
        <v>17388</v>
      </c>
      <c r="O33" t="s">
        <v>17389</v>
      </c>
      <c r="P33" t="s">
        <v>1287</v>
      </c>
      <c r="Q33" s="13" t="s">
        <v>17390</v>
      </c>
      <c r="R33" t="s">
        <v>15955</v>
      </c>
      <c r="S33" t="s">
        <v>19547</v>
      </c>
      <c r="T33" t="s">
        <v>17391</v>
      </c>
      <c r="U33" s="456">
        <f>COUNTIF(H5:H35,"Drift")</f>
        <v>5</v>
      </c>
    </row>
    <row r="34" spans="1:21" x14ac:dyDescent="0.3">
      <c r="A34" t="s">
        <v>17392</v>
      </c>
      <c r="B34" t="s">
        <v>15306</v>
      </c>
      <c r="C34" t="s">
        <v>16614</v>
      </c>
      <c r="D34" t="str">
        <f>IFERROR(VLOOKUP(B34,[1]Releases!$A$7:$D$102,4,FALSE),"")</f>
        <v>Oracle Hyperion HFM</v>
      </c>
      <c r="E34" t="str">
        <f>IFERROR(VLOOKUP(B34,[1]Releases!$A$7:$C$102,3,FALSE),"")</f>
        <v>Finance</v>
      </c>
      <c r="F34" s="403">
        <v>46238</v>
      </c>
      <c r="G34">
        <f t="shared" si="2"/>
        <v>36</v>
      </c>
      <c r="H34" t="s">
        <v>1555</v>
      </c>
      <c r="I34" s="13" t="s">
        <v>17393</v>
      </c>
      <c r="J34">
        <v>3</v>
      </c>
      <c r="K34">
        <v>3</v>
      </c>
      <c r="L34">
        <f t="shared" si="1"/>
        <v>9</v>
      </c>
      <c r="M34" t="s">
        <v>17217</v>
      </c>
      <c r="N34" s="13" t="s">
        <v>17394</v>
      </c>
      <c r="O34" t="s">
        <v>17395</v>
      </c>
      <c r="P34" t="s">
        <v>17220</v>
      </c>
      <c r="Q34" s="13" t="s">
        <v>17396</v>
      </c>
      <c r="R34" t="s">
        <v>15955</v>
      </c>
      <c r="S34" t="s">
        <v>19547</v>
      </c>
      <c r="T34" t="s">
        <v>17397</v>
      </c>
      <c r="U34" s="456">
        <f>COUNTIF(P5:P35,"Escalated")</f>
        <v>4</v>
      </c>
    </row>
    <row r="35" spans="1:21" x14ac:dyDescent="0.3">
      <c r="A35" t="s">
        <v>17398</v>
      </c>
      <c r="B35" t="s">
        <v>15310</v>
      </c>
      <c r="C35" t="s">
        <v>16619</v>
      </c>
      <c r="D35" t="str">
        <f>IFERROR(VLOOKUP(B35,[1]Releases!$A$7:$D$102,4,FALSE),"")</f>
        <v>HubSpot CRM</v>
      </c>
      <c r="E35" t="str">
        <f>IFERROR(VLOOKUP(B35,[1]Releases!$A$7:$C$102,3,FALSE),"")</f>
        <v>CRM</v>
      </c>
      <c r="F35" s="403">
        <v>46246</v>
      </c>
      <c r="G35">
        <f t="shared" si="2"/>
        <v>44</v>
      </c>
      <c r="H35" t="s">
        <v>14853</v>
      </c>
      <c r="I35" s="13" t="s">
        <v>17399</v>
      </c>
      <c r="J35">
        <v>2</v>
      </c>
      <c r="K35">
        <v>2</v>
      </c>
      <c r="L35">
        <f t="shared" si="1"/>
        <v>4</v>
      </c>
      <c r="M35" t="s">
        <v>17400</v>
      </c>
      <c r="N35" s="13" t="s">
        <v>17401</v>
      </c>
      <c r="O35" t="s">
        <v>17402</v>
      </c>
      <c r="P35" t="s">
        <v>1295</v>
      </c>
      <c r="Q35" s="13" t="s">
        <v>17403</v>
      </c>
      <c r="R35" t="s">
        <v>15955</v>
      </c>
      <c r="S35" t="s">
        <v>19547</v>
      </c>
      <c r="T35" t="s">
        <v>17404</v>
      </c>
      <c r="U35" s="456">
        <f>COUNTIF(P5:P35,"Open")</f>
        <v>2</v>
      </c>
    </row>
    <row r="36" spans="1:21" x14ac:dyDescent="0.3">
      <c r="A36" t="s">
        <v>19629</v>
      </c>
      <c r="B36" t="s">
        <v>16177</v>
      </c>
      <c r="C36" t="s">
        <v>16637</v>
      </c>
      <c r="D36" t="s">
        <v>15557</v>
      </c>
      <c r="E36" t="s">
        <v>14994</v>
      </c>
      <c r="F36" s="403">
        <v>46277</v>
      </c>
      <c r="G36">
        <v>37</v>
      </c>
      <c r="H36" t="s">
        <v>17259</v>
      </c>
      <c r="I36" s="13" t="s">
        <v>19630</v>
      </c>
      <c r="J36">
        <v>2</v>
      </c>
      <c r="K36">
        <v>3</v>
      </c>
      <c r="L36">
        <v>6</v>
      </c>
      <c r="M36" t="s">
        <v>17259</v>
      </c>
      <c r="N36" s="13" t="s">
        <v>19631</v>
      </c>
      <c r="O36" t="s">
        <v>19632</v>
      </c>
      <c r="P36" t="s">
        <v>1287</v>
      </c>
      <c r="Q36" s="13" t="s">
        <v>19633</v>
      </c>
      <c r="R36" t="s">
        <v>15993</v>
      </c>
      <c r="S36" t="s">
        <v>19547</v>
      </c>
      <c r="U36" s="456"/>
    </row>
    <row r="37" spans="1:21" x14ac:dyDescent="0.3">
      <c r="A37" t="s">
        <v>19634</v>
      </c>
      <c r="B37" t="s">
        <v>16188</v>
      </c>
      <c r="C37" t="s">
        <v>16641</v>
      </c>
      <c r="D37" t="s">
        <v>15619</v>
      </c>
      <c r="E37" t="s">
        <v>14992</v>
      </c>
      <c r="F37" s="403">
        <v>46242</v>
      </c>
      <c r="G37">
        <v>2</v>
      </c>
      <c r="H37" t="s">
        <v>14905</v>
      </c>
      <c r="I37" s="13" t="s">
        <v>19635</v>
      </c>
      <c r="J37">
        <v>3</v>
      </c>
      <c r="K37">
        <v>3</v>
      </c>
      <c r="L37">
        <v>9</v>
      </c>
      <c r="M37" t="s">
        <v>1555</v>
      </c>
      <c r="N37" s="13" t="s">
        <v>19636</v>
      </c>
      <c r="O37" t="s">
        <v>17337</v>
      </c>
      <c r="P37" t="s">
        <v>1291</v>
      </c>
      <c r="Q37" s="13" t="s">
        <v>1232</v>
      </c>
      <c r="R37" t="s">
        <v>15955</v>
      </c>
      <c r="S37" t="s">
        <v>19547</v>
      </c>
      <c r="U37" s="456"/>
    </row>
    <row r="38" spans="1:21" x14ac:dyDescent="0.3">
      <c r="A38" t="s">
        <v>19637</v>
      </c>
      <c r="B38" t="s">
        <v>16203</v>
      </c>
      <c r="C38" t="s">
        <v>16651</v>
      </c>
      <c r="D38" t="s">
        <v>15744</v>
      </c>
      <c r="E38" t="s">
        <v>152</v>
      </c>
      <c r="F38" s="403">
        <v>46218</v>
      </c>
      <c r="G38">
        <v>-22</v>
      </c>
      <c r="H38" t="s">
        <v>14905</v>
      </c>
      <c r="I38" s="13" t="s">
        <v>19638</v>
      </c>
      <c r="J38">
        <v>4</v>
      </c>
      <c r="K38">
        <v>4</v>
      </c>
      <c r="L38">
        <v>16</v>
      </c>
      <c r="M38" t="s">
        <v>1147</v>
      </c>
      <c r="N38" s="13" t="s">
        <v>19639</v>
      </c>
      <c r="O38" t="s">
        <v>17317</v>
      </c>
      <c r="P38" t="s">
        <v>1228</v>
      </c>
      <c r="Q38" s="13" t="s">
        <v>19640</v>
      </c>
      <c r="R38" t="s">
        <v>16048</v>
      </c>
      <c r="S38" t="s">
        <v>19547</v>
      </c>
      <c r="U38" s="456"/>
    </row>
    <row r="39" spans="1:21" x14ac:dyDescent="0.3">
      <c r="A39" t="s">
        <v>19641</v>
      </c>
      <c r="B39" t="s">
        <v>16216</v>
      </c>
      <c r="C39" t="s">
        <v>16662</v>
      </c>
      <c r="D39" t="s">
        <v>15614</v>
      </c>
      <c r="E39" t="s">
        <v>14992</v>
      </c>
      <c r="F39" s="403">
        <v>46321</v>
      </c>
      <c r="G39">
        <v>81</v>
      </c>
      <c r="H39" t="s">
        <v>1555</v>
      </c>
      <c r="I39" s="13" t="s">
        <v>19642</v>
      </c>
      <c r="J39">
        <v>3</v>
      </c>
      <c r="K39">
        <v>4</v>
      </c>
      <c r="L39">
        <v>12</v>
      </c>
      <c r="M39" t="s">
        <v>1566</v>
      </c>
      <c r="N39" s="13" t="s">
        <v>19643</v>
      </c>
      <c r="O39" t="s">
        <v>14628</v>
      </c>
      <c r="P39" t="s">
        <v>17220</v>
      </c>
      <c r="Q39" s="13" t="s">
        <v>19644</v>
      </c>
      <c r="R39" t="s">
        <v>15955</v>
      </c>
      <c r="S39" t="s">
        <v>19547</v>
      </c>
      <c r="U39" s="456"/>
    </row>
    <row r="40" spans="1:21" x14ac:dyDescent="0.3">
      <c r="A40" t="s">
        <v>19645</v>
      </c>
      <c r="B40" t="s">
        <v>16222</v>
      </c>
      <c r="C40" t="s">
        <v>16666</v>
      </c>
      <c r="D40" t="s">
        <v>15693</v>
      </c>
      <c r="E40" t="s">
        <v>1159</v>
      </c>
      <c r="F40" s="403">
        <v>46331</v>
      </c>
      <c r="G40">
        <v>91</v>
      </c>
      <c r="H40" t="s">
        <v>17234</v>
      </c>
      <c r="I40" s="13" t="s">
        <v>19646</v>
      </c>
      <c r="J40">
        <v>3</v>
      </c>
      <c r="K40">
        <v>3</v>
      </c>
      <c r="L40">
        <v>9</v>
      </c>
      <c r="M40" t="s">
        <v>1427</v>
      </c>
      <c r="N40" s="13" t="s">
        <v>19647</v>
      </c>
      <c r="O40" t="s">
        <v>17237</v>
      </c>
      <c r="P40" t="s">
        <v>1287</v>
      </c>
      <c r="Q40" s="13" t="s">
        <v>19648</v>
      </c>
      <c r="R40" t="s">
        <v>15993</v>
      </c>
      <c r="S40" t="s">
        <v>19110</v>
      </c>
      <c r="U40" s="456"/>
    </row>
    <row r="41" spans="1:21" x14ac:dyDescent="0.3">
      <c r="A41" t="s">
        <v>19649</v>
      </c>
      <c r="B41" t="s">
        <v>16239</v>
      </c>
      <c r="C41" t="s">
        <v>16680</v>
      </c>
      <c r="D41" t="s">
        <v>15655</v>
      </c>
      <c r="E41" t="s">
        <v>14991</v>
      </c>
      <c r="F41" s="403">
        <v>46362</v>
      </c>
      <c r="G41">
        <v>122</v>
      </c>
      <c r="H41" t="s">
        <v>14905</v>
      </c>
      <c r="I41" s="13" t="s">
        <v>19650</v>
      </c>
      <c r="J41">
        <v>3</v>
      </c>
      <c r="K41">
        <v>4</v>
      </c>
      <c r="L41">
        <v>12</v>
      </c>
      <c r="M41" t="s">
        <v>14858</v>
      </c>
      <c r="N41" s="13" t="s">
        <v>19651</v>
      </c>
      <c r="O41" t="s">
        <v>16061</v>
      </c>
      <c r="P41" t="s">
        <v>1287</v>
      </c>
      <c r="Q41" s="13" t="s">
        <v>19652</v>
      </c>
      <c r="R41" t="s">
        <v>15955</v>
      </c>
      <c r="S41" t="s">
        <v>19547</v>
      </c>
      <c r="U41" s="456"/>
    </row>
    <row r="42" spans="1:21" x14ac:dyDescent="0.3">
      <c r="A42" t="s">
        <v>19653</v>
      </c>
      <c r="B42" t="s">
        <v>16246</v>
      </c>
      <c r="C42" t="s">
        <v>16684</v>
      </c>
      <c r="D42" t="s">
        <v>15723</v>
      </c>
      <c r="E42" t="s">
        <v>14990</v>
      </c>
      <c r="F42" s="403">
        <v>46370</v>
      </c>
      <c r="G42">
        <v>130</v>
      </c>
      <c r="H42" t="s">
        <v>14853</v>
      </c>
      <c r="I42" s="13" t="s">
        <v>19654</v>
      </c>
      <c r="J42">
        <v>4</v>
      </c>
      <c r="K42">
        <v>4</v>
      </c>
      <c r="L42">
        <v>16</v>
      </c>
      <c r="M42" t="s">
        <v>176</v>
      </c>
      <c r="N42" s="13" t="s">
        <v>19655</v>
      </c>
      <c r="O42" t="s">
        <v>17285</v>
      </c>
      <c r="P42" t="s">
        <v>1224</v>
      </c>
      <c r="Q42" s="13" t="s">
        <v>19648</v>
      </c>
      <c r="R42" t="s">
        <v>15955</v>
      </c>
      <c r="S42" t="s">
        <v>19547</v>
      </c>
      <c r="U42" s="456"/>
    </row>
    <row r="43" spans="1:21" x14ac:dyDescent="0.3">
      <c r="A43" t="s">
        <v>19656</v>
      </c>
      <c r="B43" t="s">
        <v>16266</v>
      </c>
      <c r="C43" t="s">
        <v>16698</v>
      </c>
      <c r="D43" t="s">
        <v>15652</v>
      </c>
      <c r="E43" t="s">
        <v>14991</v>
      </c>
      <c r="F43" s="403">
        <v>46397</v>
      </c>
      <c r="G43">
        <v>157</v>
      </c>
      <c r="H43" t="s">
        <v>1555</v>
      </c>
      <c r="I43" s="13" t="s">
        <v>19657</v>
      </c>
      <c r="J43">
        <v>3</v>
      </c>
      <c r="K43">
        <v>4</v>
      </c>
      <c r="L43">
        <v>12</v>
      </c>
      <c r="M43" t="s">
        <v>1555</v>
      </c>
      <c r="N43" s="13" t="s">
        <v>19658</v>
      </c>
      <c r="O43" t="s">
        <v>14628</v>
      </c>
      <c r="P43" t="s">
        <v>17220</v>
      </c>
      <c r="Q43" s="13" t="s">
        <v>19659</v>
      </c>
      <c r="R43" t="s">
        <v>15963</v>
      </c>
      <c r="S43" t="s">
        <v>19547</v>
      </c>
      <c r="U43" s="456"/>
    </row>
    <row r="44" spans="1:21" x14ac:dyDescent="0.3">
      <c r="A44" t="s">
        <v>19660</v>
      </c>
      <c r="B44" t="s">
        <v>16288</v>
      </c>
      <c r="C44" t="s">
        <v>16712</v>
      </c>
      <c r="D44" t="s">
        <v>15652</v>
      </c>
      <c r="E44" t="s">
        <v>14991</v>
      </c>
      <c r="F44" s="403">
        <v>46432</v>
      </c>
      <c r="G44">
        <v>192</v>
      </c>
      <c r="H44" t="s">
        <v>17217</v>
      </c>
      <c r="I44" s="13" t="s">
        <v>19661</v>
      </c>
      <c r="J44">
        <v>3</v>
      </c>
      <c r="K44">
        <v>4</v>
      </c>
      <c r="L44">
        <v>12</v>
      </c>
      <c r="M44" t="s">
        <v>1566</v>
      </c>
      <c r="N44" s="13" t="s">
        <v>19662</v>
      </c>
      <c r="O44" t="s">
        <v>14628</v>
      </c>
      <c r="P44" t="s">
        <v>1220</v>
      </c>
      <c r="Q44" s="13" t="s">
        <v>19663</v>
      </c>
      <c r="R44" t="s">
        <v>15775</v>
      </c>
      <c r="S44" t="s">
        <v>19547</v>
      </c>
      <c r="U44" s="456"/>
    </row>
    <row r="45" spans="1:21" x14ac:dyDescent="0.3">
      <c r="A45" t="s">
        <v>19664</v>
      </c>
      <c r="B45" t="s">
        <v>16290</v>
      </c>
      <c r="C45" t="s">
        <v>16714</v>
      </c>
      <c r="D45" t="s">
        <v>15673</v>
      </c>
      <c r="E45" t="s">
        <v>1159</v>
      </c>
      <c r="F45" s="403">
        <v>46436</v>
      </c>
      <c r="G45">
        <v>196</v>
      </c>
      <c r="H45" t="s">
        <v>14905</v>
      </c>
      <c r="I45" s="13" t="s">
        <v>19665</v>
      </c>
      <c r="J45">
        <v>4</v>
      </c>
      <c r="K45">
        <v>4</v>
      </c>
      <c r="L45">
        <v>16</v>
      </c>
      <c r="M45" t="s">
        <v>1427</v>
      </c>
      <c r="N45" s="13" t="s">
        <v>19666</v>
      </c>
      <c r="O45" t="s">
        <v>14648</v>
      </c>
      <c r="P45" t="s">
        <v>1287</v>
      </c>
      <c r="Q45" s="13" t="s">
        <v>19667</v>
      </c>
      <c r="R45" t="s">
        <v>15778</v>
      </c>
      <c r="S45" t="s">
        <v>19547</v>
      </c>
      <c r="U45" s="456"/>
    </row>
    <row r="46" spans="1:21" x14ac:dyDescent="0.3">
      <c r="A46" t="s">
        <v>19668</v>
      </c>
      <c r="B46" t="s">
        <v>16293</v>
      </c>
      <c r="C46" t="s">
        <v>16716</v>
      </c>
      <c r="D46" t="s">
        <v>15717</v>
      </c>
      <c r="E46" t="s">
        <v>14990</v>
      </c>
      <c r="F46" s="403">
        <v>46440</v>
      </c>
      <c r="G46">
        <v>200</v>
      </c>
      <c r="H46" t="s">
        <v>17259</v>
      </c>
      <c r="I46" s="13" t="s">
        <v>19669</v>
      </c>
      <c r="J46">
        <v>2</v>
      </c>
      <c r="K46">
        <v>5</v>
      </c>
      <c r="L46">
        <v>10</v>
      </c>
      <c r="M46" t="s">
        <v>17261</v>
      </c>
      <c r="N46" s="13" t="s">
        <v>19670</v>
      </c>
      <c r="O46" t="s">
        <v>17263</v>
      </c>
      <c r="P46" t="s">
        <v>17220</v>
      </c>
      <c r="Q46" s="13" t="s">
        <v>19671</v>
      </c>
      <c r="R46" t="s">
        <v>15781</v>
      </c>
      <c r="S46" t="s">
        <v>19547</v>
      </c>
      <c r="U46" s="456"/>
    </row>
    <row r="47" spans="1:21" x14ac:dyDescent="0.3">
      <c r="A47" t="s">
        <v>19672</v>
      </c>
      <c r="B47" t="s">
        <v>16323</v>
      </c>
      <c r="C47" t="s">
        <v>16735</v>
      </c>
      <c r="D47" t="s">
        <v>15458</v>
      </c>
      <c r="E47" t="s">
        <v>1158</v>
      </c>
      <c r="F47" s="403">
        <v>46483</v>
      </c>
      <c r="G47">
        <v>243</v>
      </c>
      <c r="H47" t="s">
        <v>14905</v>
      </c>
      <c r="I47" s="13" t="s">
        <v>19673</v>
      </c>
      <c r="J47">
        <v>4</v>
      </c>
      <c r="K47">
        <v>5</v>
      </c>
      <c r="L47">
        <v>20</v>
      </c>
      <c r="M47" t="s">
        <v>176</v>
      </c>
      <c r="N47" s="13" t="s">
        <v>19674</v>
      </c>
      <c r="O47" t="s">
        <v>17285</v>
      </c>
      <c r="P47" t="s">
        <v>1228</v>
      </c>
      <c r="Q47" s="13" t="s">
        <v>19675</v>
      </c>
      <c r="R47" t="s">
        <v>15768</v>
      </c>
      <c r="S47" t="s">
        <v>19547</v>
      </c>
      <c r="U47" s="456"/>
    </row>
    <row r="48" spans="1:21" x14ac:dyDescent="0.3">
      <c r="A48" t="s">
        <v>19676</v>
      </c>
      <c r="B48" t="s">
        <v>16330</v>
      </c>
      <c r="C48" t="s">
        <v>16739</v>
      </c>
      <c r="D48" t="s">
        <v>15584</v>
      </c>
      <c r="E48" t="s">
        <v>14993</v>
      </c>
      <c r="F48" s="403">
        <v>46491</v>
      </c>
      <c r="G48">
        <v>251</v>
      </c>
      <c r="H48" t="s">
        <v>1549</v>
      </c>
      <c r="I48" s="13" t="s">
        <v>19677</v>
      </c>
      <c r="J48">
        <v>4</v>
      </c>
      <c r="K48">
        <v>4</v>
      </c>
      <c r="L48">
        <v>16</v>
      </c>
      <c r="M48" t="s">
        <v>1549</v>
      </c>
      <c r="N48" s="13" t="s">
        <v>19678</v>
      </c>
      <c r="O48" t="s">
        <v>17273</v>
      </c>
      <c r="P48" t="s">
        <v>1287</v>
      </c>
      <c r="Q48" s="13" t="s">
        <v>19679</v>
      </c>
      <c r="R48" t="s">
        <v>15775</v>
      </c>
      <c r="S48" t="s">
        <v>19547</v>
      </c>
      <c r="U48" s="456"/>
    </row>
    <row r="49" spans="1:21" x14ac:dyDescent="0.3">
      <c r="A49" t="s">
        <v>19680</v>
      </c>
      <c r="B49" t="s">
        <v>16354</v>
      </c>
      <c r="C49" t="s">
        <v>16758</v>
      </c>
      <c r="D49" t="s">
        <v>15649</v>
      </c>
      <c r="E49" t="s">
        <v>14991</v>
      </c>
      <c r="F49" s="403">
        <v>46533</v>
      </c>
      <c r="G49">
        <v>293</v>
      </c>
      <c r="H49" t="s">
        <v>14905</v>
      </c>
      <c r="I49" s="13" t="s">
        <v>19681</v>
      </c>
      <c r="J49">
        <v>3</v>
      </c>
      <c r="K49">
        <v>4</v>
      </c>
      <c r="L49">
        <v>12</v>
      </c>
      <c r="M49" t="s">
        <v>1427</v>
      </c>
      <c r="N49" s="13" t="s">
        <v>19682</v>
      </c>
      <c r="O49" t="s">
        <v>14648</v>
      </c>
      <c r="P49" t="s">
        <v>1287</v>
      </c>
      <c r="Q49" s="13" t="s">
        <v>19667</v>
      </c>
      <c r="R49" t="s">
        <v>15975</v>
      </c>
      <c r="S49" t="s">
        <v>19547</v>
      </c>
      <c r="U49" s="456"/>
    </row>
    <row r="50" spans="1:21" x14ac:dyDescent="0.3">
      <c r="A50" t="s">
        <v>19683</v>
      </c>
      <c r="B50" t="s">
        <v>16361</v>
      </c>
      <c r="C50" t="s">
        <v>16764</v>
      </c>
      <c r="D50" t="s">
        <v>15732</v>
      </c>
      <c r="E50" t="s">
        <v>152</v>
      </c>
      <c r="F50" s="403">
        <v>46547</v>
      </c>
      <c r="G50">
        <v>307</v>
      </c>
      <c r="H50" t="s">
        <v>17234</v>
      </c>
      <c r="I50" s="13" t="s">
        <v>19684</v>
      </c>
      <c r="J50">
        <v>2</v>
      </c>
      <c r="K50">
        <v>4</v>
      </c>
      <c r="L50">
        <v>8</v>
      </c>
      <c r="M50" t="s">
        <v>152</v>
      </c>
      <c r="N50" s="13" t="s">
        <v>19685</v>
      </c>
      <c r="O50" t="s">
        <v>17237</v>
      </c>
      <c r="P50" t="s">
        <v>17220</v>
      </c>
      <c r="Q50" s="13" t="s">
        <v>17384</v>
      </c>
      <c r="R50" t="s">
        <v>15772</v>
      </c>
      <c r="S50" t="s">
        <v>19110</v>
      </c>
      <c r="U50" s="456"/>
    </row>
    <row r="51" spans="1:21" ht="28.8" x14ac:dyDescent="0.3">
      <c r="A51" t="s">
        <v>19740</v>
      </c>
      <c r="B51" t="s">
        <v>16188</v>
      </c>
      <c r="C51" t="s">
        <v>16641</v>
      </c>
      <c r="D51" t="s">
        <v>15619</v>
      </c>
      <c r="E51" t="s">
        <v>14992</v>
      </c>
      <c r="F51" s="403">
        <v>46285</v>
      </c>
      <c r="G51">
        <v>45</v>
      </c>
      <c r="H51" t="s">
        <v>14905</v>
      </c>
      <c r="I51" s="13" t="s">
        <v>19741</v>
      </c>
      <c r="J51">
        <v>4</v>
      </c>
      <c r="K51">
        <v>4</v>
      </c>
      <c r="L51">
        <v>16</v>
      </c>
      <c r="M51" t="s">
        <v>1566</v>
      </c>
      <c r="N51" s="13" t="s">
        <v>19742</v>
      </c>
      <c r="O51" t="s">
        <v>19743</v>
      </c>
      <c r="P51" t="s">
        <v>1287</v>
      </c>
      <c r="Q51" s="13" t="s">
        <v>19744</v>
      </c>
      <c r="R51" t="s">
        <v>15972</v>
      </c>
      <c r="S51" t="s">
        <v>19547</v>
      </c>
    </row>
    <row r="52" spans="1:21" x14ac:dyDescent="0.3">
      <c r="D52" t="str">
        <f>IFERROR(VLOOKUP(B52,[1]Releases!$A$7:$D$102,4,FALSE),"")</f>
        <v/>
      </c>
      <c r="E52" t="str">
        <f>IFERROR(VLOOKUP(B52,[1]Releases!$A$7:$C$102,3,FALSE),"")</f>
        <v/>
      </c>
    </row>
    <row r="53" spans="1:21" ht="15.6" x14ac:dyDescent="0.3">
      <c r="A53" s="378" t="s">
        <v>17405</v>
      </c>
      <c r="B53" s="378"/>
      <c r="C53" s="378"/>
      <c r="D53" s="378"/>
      <c r="E53" s="378"/>
      <c r="F53" s="378"/>
      <c r="G53" s="378"/>
      <c r="H53" s="378"/>
      <c r="I53" s="378"/>
      <c r="J53" s="378"/>
      <c r="K53" s="378"/>
      <c r="L53" s="378"/>
      <c r="M53" s="378"/>
      <c r="N53" s="378"/>
    </row>
    <row r="54" spans="1:21" x14ac:dyDescent="0.3">
      <c r="A54" s="379"/>
      <c r="B54" s="379"/>
      <c r="C54" s="379"/>
      <c r="D54" s="379" t="str">
        <f>IFERROR(VLOOKUP(B54,[1]Releases!$A$7:$D$102,4,FALSE),"")</f>
        <v/>
      </c>
      <c r="E54" s="379" t="str">
        <f>IFERROR(VLOOKUP(B54,[1]Releases!$A$7:$C$102,3,FALSE),"")</f>
        <v/>
      </c>
      <c r="F54" s="379"/>
      <c r="G54" s="379"/>
      <c r="H54" s="379"/>
      <c r="I54" s="379"/>
      <c r="J54" s="379"/>
      <c r="K54" s="379"/>
      <c r="L54" s="379"/>
      <c r="M54" s="379"/>
      <c r="N54" s="379"/>
    </row>
    <row r="55" spans="1:21" x14ac:dyDescent="0.3">
      <c r="A55" s="379" t="s">
        <v>17406</v>
      </c>
      <c r="B55" s="379"/>
      <c r="C55" s="379"/>
      <c r="D55" s="379" t="str">
        <f>IFERROR(VLOOKUP(B55,[1]Releases!$A$7:$D$102,4,FALSE),"")</f>
        <v/>
      </c>
      <c r="E55" s="379" t="str">
        <f>IFERROR(VLOOKUP(B55,[1]Releases!$A$7:$C$102,3,FALSE),"")</f>
        <v/>
      </c>
      <c r="F55" s="379"/>
      <c r="G55" s="379"/>
      <c r="H55" s="379"/>
      <c r="I55" s="379"/>
      <c r="J55" s="379"/>
      <c r="K55" s="379"/>
      <c r="L55" s="379"/>
      <c r="M55" s="379"/>
      <c r="N55" s="379"/>
    </row>
    <row r="56" spans="1:21" x14ac:dyDescent="0.3">
      <c r="A56" s="379"/>
      <c r="B56" s="379"/>
      <c r="C56" s="379"/>
      <c r="D56" s="379" t="str">
        <f>IFERROR(VLOOKUP(B56,[1]Releases!$A$7:$D$102,4,FALSE),"")</f>
        <v/>
      </c>
      <c r="E56" s="379" t="str">
        <f>IFERROR(VLOOKUP(B56,[1]Releases!$A$7:$C$102,3,FALSE),"")</f>
        <v/>
      </c>
      <c r="F56" s="379"/>
      <c r="G56" s="379"/>
      <c r="H56" s="379"/>
      <c r="I56" s="379"/>
      <c r="J56" s="379"/>
      <c r="K56" s="379"/>
      <c r="L56" s="379"/>
      <c r="M56" s="379"/>
      <c r="N56" s="379"/>
    </row>
    <row r="57" spans="1:21" x14ac:dyDescent="0.3">
      <c r="A57" s="379" t="s">
        <v>17407</v>
      </c>
      <c r="B57" s="379"/>
      <c r="C57" s="379"/>
      <c r="D57" s="379" t="str">
        <f>IFERROR(VLOOKUP(B57,[1]Releases!$A$7:$D$102,4,FALSE),"")</f>
        <v/>
      </c>
      <c r="E57" s="379" t="str">
        <f>IFERROR(VLOOKUP(B57,[1]Releases!$A$7:$C$102,3,FALSE),"")</f>
        <v/>
      </c>
      <c r="F57" s="379"/>
      <c r="G57" s="379"/>
      <c r="H57" s="379"/>
      <c r="I57" s="379"/>
      <c r="J57" s="379"/>
      <c r="K57" s="379"/>
      <c r="L57" s="379"/>
      <c r="M57" s="379"/>
      <c r="N57" s="379"/>
    </row>
    <row r="58" spans="1:21" x14ac:dyDescent="0.3">
      <c r="A58" s="379" t="s">
        <v>19509</v>
      </c>
      <c r="B58" s="379"/>
      <c r="C58" s="379"/>
      <c r="D58" s="379" t="str">
        <f>IFERROR(VLOOKUP(B58,[1]Releases!$A$7:$D$102,4,FALSE),"")</f>
        <v/>
      </c>
      <c r="E58" s="379" t="str">
        <f>IFERROR(VLOOKUP(B58,[1]Releases!$A$7:$C$102,3,FALSE),"")</f>
        <v/>
      </c>
      <c r="F58" s="379"/>
      <c r="G58" s="379"/>
      <c r="H58" s="379"/>
      <c r="I58" s="379"/>
      <c r="J58" s="379"/>
      <c r="K58" s="379"/>
      <c r="L58" s="379"/>
      <c r="M58" s="379"/>
      <c r="N58" s="379"/>
    </row>
    <row r="59" spans="1:21" x14ac:dyDescent="0.3">
      <c r="A59" s="379" t="s">
        <v>19510</v>
      </c>
      <c r="B59" s="379"/>
      <c r="C59" s="379"/>
      <c r="D59" s="379" t="str">
        <f>IFERROR(VLOOKUP(B59,[1]Releases!$A$7:$D$102,4,FALSE),"")</f>
        <v/>
      </c>
      <c r="E59" s="379" t="str">
        <f>IFERROR(VLOOKUP(B59,[1]Releases!$A$7:$C$102,3,FALSE),"")</f>
        <v/>
      </c>
      <c r="F59" s="379"/>
      <c r="G59" s="379"/>
      <c r="H59" s="379"/>
      <c r="I59" s="379"/>
      <c r="J59" s="379"/>
      <c r="K59" s="379"/>
      <c r="L59" s="379"/>
      <c r="M59" s="379"/>
      <c r="N59" s="379"/>
    </row>
    <row r="60" spans="1:21" x14ac:dyDescent="0.3">
      <c r="A60" s="379" t="s">
        <v>19511</v>
      </c>
      <c r="B60" s="379"/>
      <c r="C60" s="379"/>
      <c r="D60" s="379" t="str">
        <f>IFERROR(VLOOKUP(B60,[1]Releases!$A$7:$D$102,4,FALSE),"")</f>
        <v/>
      </c>
      <c r="E60" s="379" t="str">
        <f>IFERROR(VLOOKUP(B60,[1]Releases!$A$7:$C$102,3,FALSE),"")</f>
        <v/>
      </c>
      <c r="F60" s="379"/>
      <c r="G60" s="379"/>
      <c r="H60" s="379"/>
      <c r="I60" s="379"/>
      <c r="J60" s="379"/>
      <c r="K60" s="379"/>
      <c r="L60" s="379"/>
      <c r="M60" s="379"/>
      <c r="N60" s="379"/>
    </row>
    <row r="61" spans="1:21" x14ac:dyDescent="0.3">
      <c r="A61" s="379" t="s">
        <v>19512</v>
      </c>
      <c r="B61" s="379"/>
      <c r="C61" s="379"/>
      <c r="D61" s="379" t="str">
        <f>IFERROR(VLOOKUP(B61,[1]Releases!$A$7:$D$102,4,FALSE),"")</f>
        <v/>
      </c>
      <c r="E61" s="379" t="str">
        <f>IFERROR(VLOOKUP(B61,[1]Releases!$A$7:$C$102,3,FALSE),"")</f>
        <v/>
      </c>
      <c r="F61" s="379"/>
      <c r="G61" s="379"/>
      <c r="H61" s="379"/>
      <c r="I61" s="379"/>
      <c r="J61" s="379"/>
      <c r="K61" s="379"/>
      <c r="L61" s="379"/>
      <c r="M61" s="379"/>
      <c r="N61" s="379"/>
    </row>
    <row r="62" spans="1:21" x14ac:dyDescent="0.3">
      <c r="A62" s="379" t="s">
        <v>19513</v>
      </c>
      <c r="B62" s="379"/>
      <c r="C62" s="379"/>
      <c r="D62" s="379" t="str">
        <f>IFERROR(VLOOKUP(B62,[1]Releases!$A$7:$D$102,4,FALSE),"")</f>
        <v/>
      </c>
      <c r="E62" s="379" t="str">
        <f>IFERROR(VLOOKUP(B62,[1]Releases!$A$7:$C$102,3,FALSE),"")</f>
        <v/>
      </c>
      <c r="F62" s="379"/>
      <c r="G62" s="379"/>
      <c r="H62" s="379"/>
      <c r="I62" s="379"/>
      <c r="J62" s="379"/>
      <c r="K62" s="379"/>
      <c r="L62" s="379"/>
      <c r="M62" s="379"/>
      <c r="N62" s="379"/>
    </row>
    <row r="63" spans="1:21" x14ac:dyDescent="0.3">
      <c r="A63" s="379" t="s">
        <v>19514</v>
      </c>
      <c r="B63" s="379"/>
      <c r="C63" s="379"/>
      <c r="D63" s="379" t="str">
        <f>IFERROR(VLOOKUP(B63,[1]Releases!$A$7:$D$102,4,FALSE),"")</f>
        <v/>
      </c>
      <c r="E63" s="379" t="str">
        <f>IFERROR(VLOOKUP(B63,[1]Releases!$A$7:$C$102,3,FALSE),"")</f>
        <v/>
      </c>
      <c r="F63" s="379"/>
      <c r="G63" s="379"/>
      <c r="H63" s="379"/>
      <c r="I63" s="379"/>
      <c r="J63" s="379"/>
      <c r="K63" s="379"/>
      <c r="L63" s="379"/>
      <c r="M63" s="379"/>
      <c r="N63" s="379"/>
    </row>
    <row r="64" spans="1:21" x14ac:dyDescent="0.3">
      <c r="A64" s="379"/>
      <c r="B64" s="379"/>
      <c r="C64" s="379"/>
      <c r="D64" s="379" t="str">
        <f>IFERROR(VLOOKUP(B64,[1]Releases!$A$7:$D$102,4,FALSE),"")</f>
        <v/>
      </c>
      <c r="E64" s="379" t="str">
        <f>IFERROR(VLOOKUP(B64,[1]Releases!$A$7:$C$102,3,FALSE),"")</f>
        <v/>
      </c>
      <c r="F64" s="379"/>
      <c r="G64" s="379"/>
      <c r="H64" s="379"/>
      <c r="I64" s="379"/>
      <c r="J64" s="379"/>
      <c r="K64" s="379"/>
      <c r="L64" s="379"/>
      <c r="M64" s="379"/>
      <c r="N64" s="379"/>
    </row>
    <row r="65" spans="1:14" x14ac:dyDescent="0.3">
      <c r="A65" s="379" t="s">
        <v>16399</v>
      </c>
      <c r="B65" s="379"/>
      <c r="C65" s="379"/>
      <c r="D65" s="379" t="str">
        <f>IFERROR(VLOOKUP(B65,[1]Releases!$A$7:$D$102,4,FALSE),"")</f>
        <v/>
      </c>
      <c r="E65" s="379" t="str">
        <f>IFERROR(VLOOKUP(B65,[1]Releases!$A$7:$C$102,3,FALSE),"")</f>
        <v/>
      </c>
      <c r="F65" s="379"/>
      <c r="G65" s="379"/>
      <c r="H65" s="379"/>
      <c r="I65" s="379"/>
      <c r="J65" s="379"/>
      <c r="K65" s="379"/>
      <c r="L65" s="379"/>
      <c r="M65" s="379"/>
      <c r="N65" s="379"/>
    </row>
    <row r="66" spans="1:14" x14ac:dyDescent="0.3">
      <c r="D66" t="str">
        <f>IFERROR(VLOOKUP(B66,[1]Releases!$A$7:$D$102,4,FALSE),"")</f>
        <v/>
      </c>
      <c r="E66" t="str">
        <f>IFERROR(VLOOKUP(B66,[1]Releases!$A$7:$C$102,3,FALSE),"")</f>
        <v/>
      </c>
    </row>
    <row r="67" spans="1:14" x14ac:dyDescent="0.3">
      <c r="D67" t="str">
        <f>IFERROR(VLOOKUP(B67,[1]Releases!$A$7:$D$102,4,FALSE),"")</f>
        <v/>
      </c>
      <c r="E67" t="str">
        <f>IFERROR(VLOOKUP(B67,[1]Releases!$A$7:$C$102,3,FALSE),"")</f>
        <v/>
      </c>
    </row>
    <row r="68" spans="1:14" ht="18" x14ac:dyDescent="0.35">
      <c r="A68" s="358" t="s">
        <v>17408</v>
      </c>
      <c r="B68" s="358"/>
      <c r="C68" s="358"/>
      <c r="D68" s="358"/>
      <c r="E68" s="358"/>
      <c r="F68" s="358"/>
      <c r="G68" s="358"/>
      <c r="H68" s="358"/>
      <c r="I68" s="358"/>
      <c r="J68" s="358"/>
      <c r="K68" s="358"/>
      <c r="L68" s="358"/>
      <c r="M68" s="358"/>
      <c r="N68" s="358"/>
    </row>
    <row r="69" spans="1:14" x14ac:dyDescent="0.3">
      <c r="D69" t="str">
        <f>IFERROR(VLOOKUP(B69,[1]Releases!$A$7:$D$102,4,FALSE),"")</f>
        <v/>
      </c>
      <c r="E69" t="str">
        <f>IFERROR(VLOOKUP(B69,[1]Releases!$A$7:$C$102,3,FALSE),"")</f>
        <v/>
      </c>
    </row>
    <row r="70" spans="1:14" ht="15.6" x14ac:dyDescent="0.3">
      <c r="A70" s="380" t="s">
        <v>16401</v>
      </c>
      <c r="B70" s="381"/>
      <c r="C70" s="381"/>
      <c r="D70" s="381" t="str">
        <f>IFERROR(VLOOKUP(B70,[1]Releases!$A$7:$D$102,4,FALSE),"")</f>
        <v/>
      </c>
      <c r="E70" s="381" t="str">
        <f>IFERROR(VLOOKUP(B70,[1]Releases!$A$7:$C$102,3,FALSE),"")</f>
        <v/>
      </c>
      <c r="F70" s="381"/>
      <c r="G70" s="381"/>
      <c r="H70" s="381"/>
      <c r="I70" s="381"/>
      <c r="J70" s="381"/>
      <c r="K70" s="381"/>
      <c r="L70" s="381"/>
      <c r="M70" s="381"/>
      <c r="N70" s="381"/>
    </row>
    <row r="71" spans="1:14" x14ac:dyDescent="0.3">
      <c r="A71" s="381" t="s">
        <v>17409</v>
      </c>
      <c r="B71" s="381"/>
      <c r="C71" s="381"/>
      <c r="D71" s="381" t="str">
        <f>IFERROR(VLOOKUP(B71,[1]Releases!$A$7:$D$102,4,FALSE),"")</f>
        <v/>
      </c>
      <c r="E71" s="381" t="str">
        <f>IFERROR(VLOOKUP(B71,[1]Releases!$A$7:$C$102,3,FALSE),"")</f>
        <v/>
      </c>
      <c r="F71" s="381"/>
      <c r="G71" s="381"/>
      <c r="H71" s="381"/>
      <c r="I71" s="381"/>
      <c r="J71" s="381"/>
      <c r="K71" s="381"/>
      <c r="L71" s="381"/>
      <c r="M71" s="381"/>
      <c r="N71" s="381"/>
    </row>
    <row r="72" spans="1:14" x14ac:dyDescent="0.3">
      <c r="A72" s="381" t="s">
        <v>17410</v>
      </c>
      <c r="B72" s="381"/>
      <c r="C72" s="381"/>
      <c r="D72" s="381" t="str">
        <f>IFERROR(VLOOKUP(B72,[1]Releases!$A$7:$D$102,4,FALSE),"")</f>
        <v/>
      </c>
      <c r="E72" s="381" t="str">
        <f>IFERROR(VLOOKUP(B72,[1]Releases!$A$7:$C$102,3,FALSE),"")</f>
        <v/>
      </c>
      <c r="F72" s="381"/>
      <c r="G72" s="381"/>
      <c r="H72" s="381"/>
      <c r="I72" s="381"/>
      <c r="J72" s="381"/>
      <c r="K72" s="381"/>
      <c r="L72" s="381"/>
      <c r="M72" s="381"/>
      <c r="N72" s="381"/>
    </row>
    <row r="73" spans="1:14" x14ac:dyDescent="0.3">
      <c r="A73" s="381" t="s">
        <v>17411</v>
      </c>
      <c r="B73" s="381"/>
      <c r="C73" s="381"/>
      <c r="D73" s="381" t="str">
        <f>IFERROR(VLOOKUP(B73,[1]Releases!$A$7:$D$102,4,FALSE),"")</f>
        <v/>
      </c>
      <c r="E73" s="381" t="str">
        <f>IFERROR(VLOOKUP(B73,[1]Releases!$A$7:$C$102,3,FALSE),"")</f>
        <v/>
      </c>
      <c r="F73" s="381"/>
      <c r="G73" s="381"/>
      <c r="H73" s="381"/>
      <c r="I73" s="381"/>
      <c r="J73" s="381"/>
      <c r="K73" s="381"/>
      <c r="L73" s="381"/>
      <c r="M73" s="381"/>
      <c r="N73" s="381"/>
    </row>
    <row r="74" spans="1:14" x14ac:dyDescent="0.3">
      <c r="A74" s="381"/>
      <c r="B74" s="381"/>
      <c r="C74" s="381"/>
      <c r="D74" s="381" t="str">
        <f>IFERROR(VLOOKUP(B74,[1]Releases!$A$7:$D$102,4,FALSE),"")</f>
        <v/>
      </c>
      <c r="E74" s="381" t="str">
        <f>IFERROR(VLOOKUP(B74,[1]Releases!$A$7:$C$102,3,FALSE),"")</f>
        <v/>
      </c>
      <c r="F74" s="381"/>
      <c r="G74" s="381"/>
      <c r="H74" s="381"/>
      <c r="I74" s="381"/>
      <c r="J74" s="381"/>
      <c r="K74" s="381"/>
      <c r="L74" s="381"/>
      <c r="M74" s="381"/>
      <c r="N74" s="381"/>
    </row>
    <row r="75" spans="1:14" ht="15.6" x14ac:dyDescent="0.3">
      <c r="A75" s="380" t="s">
        <v>17412</v>
      </c>
      <c r="B75" s="381"/>
      <c r="C75" s="381"/>
      <c r="D75" s="381" t="str">
        <f>IFERROR(VLOOKUP(B75,[1]Releases!$A$7:$D$102,4,FALSE),"")</f>
        <v/>
      </c>
      <c r="E75" s="381" t="str">
        <f>IFERROR(VLOOKUP(B75,[1]Releases!$A$7:$C$102,3,FALSE),"")</f>
        <v/>
      </c>
      <c r="F75" s="381"/>
      <c r="G75" s="381"/>
      <c r="H75" s="381"/>
      <c r="I75" s="381"/>
      <c r="J75" s="381"/>
      <c r="K75" s="381"/>
      <c r="L75" s="381"/>
      <c r="M75" s="381"/>
      <c r="N75" s="381"/>
    </row>
    <row r="76" spans="1:14" x14ac:dyDescent="0.3">
      <c r="A76" s="381"/>
      <c r="B76" s="381"/>
      <c r="C76" s="381"/>
      <c r="D76" s="381" t="str">
        <f>IFERROR(VLOOKUP(B76,[1]Releases!$A$7:$D$102,4,FALSE),"")</f>
        <v/>
      </c>
      <c r="E76" s="381" t="str">
        <f>IFERROR(VLOOKUP(B76,[1]Releases!$A$7:$C$102,3,FALSE),"")</f>
        <v/>
      </c>
      <c r="F76" s="381"/>
      <c r="G76" s="381"/>
      <c r="H76" s="381"/>
      <c r="I76" s="381"/>
      <c r="J76" s="381"/>
      <c r="K76" s="381"/>
      <c r="L76" s="381"/>
      <c r="M76" s="381"/>
      <c r="N76" s="381"/>
    </row>
    <row r="77" spans="1:14" x14ac:dyDescent="0.3">
      <c r="A77" s="381" t="s">
        <v>17413</v>
      </c>
      <c r="B77" s="381"/>
      <c r="C77" s="381"/>
      <c r="D77" s="381" t="str">
        <f>IFERROR(VLOOKUP(B77,[1]Releases!$A$7:$D$102,4,FALSE),"")</f>
        <v/>
      </c>
      <c r="E77" s="381" t="str">
        <f>IFERROR(VLOOKUP(B77,[1]Releases!$A$7:$C$102,3,FALSE),"")</f>
        <v/>
      </c>
      <c r="F77" s="381"/>
      <c r="G77" s="381"/>
      <c r="H77" s="381"/>
      <c r="I77" s="381"/>
      <c r="J77" s="381"/>
      <c r="K77" s="381"/>
      <c r="L77" s="381"/>
      <c r="M77" s="381"/>
      <c r="N77" s="381"/>
    </row>
    <row r="78" spans="1:14" x14ac:dyDescent="0.3">
      <c r="A78" s="381"/>
      <c r="B78" s="381"/>
      <c r="C78" s="381"/>
      <c r="D78" s="381" t="str">
        <f>IFERROR(VLOOKUP(B78,[1]Releases!$A$7:$D$102,4,FALSE),"")</f>
        <v/>
      </c>
      <c r="E78" s="381" t="str">
        <f>IFERROR(VLOOKUP(B78,[1]Releases!$A$7:$C$102,3,FALSE),"")</f>
        <v/>
      </c>
      <c r="F78" s="381"/>
      <c r="G78" s="381"/>
      <c r="H78" s="381"/>
      <c r="I78" s="381"/>
      <c r="J78" s="381"/>
      <c r="K78" s="381"/>
      <c r="L78" s="381"/>
      <c r="M78" s="381"/>
      <c r="N78" s="381"/>
    </row>
    <row r="79" spans="1:14" x14ac:dyDescent="0.3">
      <c r="A79" s="381" t="s">
        <v>17414</v>
      </c>
      <c r="B79" s="381"/>
      <c r="C79" s="381"/>
      <c r="D79" s="381" t="str">
        <f>IFERROR(VLOOKUP(B79,[1]Releases!$A$7:$D$102,4,FALSE),"")</f>
        <v/>
      </c>
      <c r="E79" s="381" t="str">
        <f>IFERROR(VLOOKUP(B79,[1]Releases!$A$7:$C$102,3,FALSE),"")</f>
        <v/>
      </c>
      <c r="F79" s="381"/>
      <c r="G79" s="381"/>
      <c r="H79" s="381"/>
      <c r="I79" s="381"/>
      <c r="J79" s="381"/>
      <c r="K79" s="381"/>
      <c r="L79" s="381"/>
      <c r="M79" s="381"/>
      <c r="N79" s="381"/>
    </row>
    <row r="80" spans="1:14" x14ac:dyDescent="0.3">
      <c r="A80" s="381" t="s">
        <v>19515</v>
      </c>
      <c r="B80" s="381"/>
      <c r="C80" s="381"/>
      <c r="D80" s="381" t="str">
        <f>IFERROR(VLOOKUP(B80,[1]Releases!$A$7:$D$102,4,FALSE),"")</f>
        <v/>
      </c>
      <c r="E80" s="381" t="str">
        <f>IFERROR(VLOOKUP(B80,[1]Releases!$A$7:$C$102,3,FALSE),"")</f>
        <v/>
      </c>
      <c r="F80" s="381"/>
      <c r="G80" s="381"/>
      <c r="H80" s="381"/>
      <c r="I80" s="381"/>
      <c r="J80" s="381"/>
      <c r="K80" s="381"/>
      <c r="L80" s="381"/>
      <c r="M80" s="381"/>
      <c r="N80" s="381"/>
    </row>
    <row r="81" spans="1:14" x14ac:dyDescent="0.3">
      <c r="A81" s="381" t="s">
        <v>19516</v>
      </c>
      <c r="B81" s="381"/>
      <c r="C81" s="381"/>
      <c r="D81" s="381" t="str">
        <f>IFERROR(VLOOKUP(B81,[1]Releases!$A$7:$D$102,4,FALSE),"")</f>
        <v/>
      </c>
      <c r="E81" s="381" t="str">
        <f>IFERROR(VLOOKUP(B81,[1]Releases!$A$7:$C$102,3,FALSE),"")</f>
        <v/>
      </c>
      <c r="F81" s="381"/>
      <c r="G81" s="381"/>
      <c r="H81" s="381"/>
      <c r="I81" s="381"/>
      <c r="J81" s="381"/>
      <c r="K81" s="381"/>
      <c r="L81" s="381"/>
      <c r="M81" s="381"/>
      <c r="N81" s="381"/>
    </row>
    <row r="82" spans="1:14" x14ac:dyDescent="0.3">
      <c r="A82" s="381" t="s">
        <v>19517</v>
      </c>
      <c r="B82" s="381"/>
      <c r="C82" s="381"/>
      <c r="D82" s="381" t="str">
        <f>IFERROR(VLOOKUP(B82,[1]Releases!$A$7:$D$102,4,FALSE),"")</f>
        <v/>
      </c>
      <c r="E82" s="381" t="str">
        <f>IFERROR(VLOOKUP(B82,[1]Releases!$A$7:$C$102,3,FALSE),"")</f>
        <v/>
      </c>
      <c r="F82" s="381"/>
      <c r="G82" s="381"/>
      <c r="H82" s="381"/>
      <c r="I82" s="381"/>
      <c r="J82" s="381"/>
      <c r="K82" s="381"/>
      <c r="L82" s="381"/>
      <c r="M82" s="381"/>
      <c r="N82" s="381"/>
    </row>
    <row r="83" spans="1:14" x14ac:dyDescent="0.3">
      <c r="A83" s="381" t="s">
        <v>19518</v>
      </c>
      <c r="B83" s="381"/>
      <c r="C83" s="381"/>
      <c r="D83" s="381" t="str">
        <f>IFERROR(VLOOKUP(B83,[1]Releases!$A$7:$D$102,4,FALSE),"")</f>
        <v/>
      </c>
      <c r="E83" s="381" t="str">
        <f>IFERROR(VLOOKUP(B83,[1]Releases!$A$7:$C$102,3,FALSE),"")</f>
        <v/>
      </c>
      <c r="F83" s="381"/>
      <c r="G83" s="381"/>
      <c r="H83" s="381"/>
      <c r="I83" s="381"/>
      <c r="J83" s="381"/>
      <c r="K83" s="381"/>
      <c r="L83" s="381"/>
      <c r="M83" s="381"/>
      <c r="N83" s="381"/>
    </row>
    <row r="84" spans="1:14" x14ac:dyDescent="0.3">
      <c r="A84" s="381" t="s">
        <v>19519</v>
      </c>
      <c r="B84" s="381"/>
      <c r="C84" s="381"/>
      <c r="D84" s="381" t="str">
        <f>IFERROR(VLOOKUP(B84,[1]Releases!$A$7:$D$102,4,FALSE),"")</f>
        <v/>
      </c>
      <c r="E84" s="381" t="str">
        <f>IFERROR(VLOOKUP(B84,[1]Releases!$A$7:$C$102,3,FALSE),"")</f>
        <v/>
      </c>
      <c r="F84" s="381"/>
      <c r="G84" s="381"/>
      <c r="H84" s="381"/>
      <c r="I84" s="381"/>
      <c r="J84" s="381"/>
      <c r="K84" s="381"/>
      <c r="L84" s="381"/>
      <c r="M84" s="381"/>
      <c r="N84" s="381"/>
    </row>
    <row r="85" spans="1:14" x14ac:dyDescent="0.3">
      <c r="A85" s="381"/>
      <c r="B85" s="381"/>
      <c r="C85" s="381"/>
      <c r="D85" s="381" t="str">
        <f>IFERROR(VLOOKUP(B85,[1]Releases!$A$7:$D$102,4,FALSE),"")</f>
        <v/>
      </c>
      <c r="E85" s="381" t="str">
        <f>IFERROR(VLOOKUP(B85,[1]Releases!$A$7:$C$102,3,FALSE),"")</f>
        <v/>
      </c>
      <c r="F85" s="381"/>
      <c r="G85" s="381"/>
      <c r="H85" s="381"/>
      <c r="I85" s="381"/>
      <c r="J85" s="381"/>
      <c r="K85" s="381"/>
      <c r="L85" s="381"/>
      <c r="M85" s="381"/>
      <c r="N85" s="381"/>
    </row>
    <row r="86" spans="1:14" ht="15.6" x14ac:dyDescent="0.3">
      <c r="A86" s="380" t="s">
        <v>17415</v>
      </c>
      <c r="B86" s="381"/>
      <c r="C86" s="381"/>
      <c r="D86" s="381" t="str">
        <f>IFERROR(VLOOKUP(B86,[1]Releases!$A$7:$D$102,4,FALSE),"")</f>
        <v/>
      </c>
      <c r="E86" s="381" t="str">
        <f>IFERROR(VLOOKUP(B86,[1]Releases!$A$7:$C$102,3,FALSE),"")</f>
        <v/>
      </c>
      <c r="F86" s="381"/>
      <c r="G86" s="381"/>
      <c r="H86" s="381"/>
      <c r="I86" s="381"/>
      <c r="J86" s="381"/>
      <c r="K86" s="381"/>
      <c r="L86" s="381"/>
      <c r="M86" s="381"/>
      <c r="N86" s="381"/>
    </row>
    <row r="87" spans="1:14" x14ac:dyDescent="0.3">
      <c r="A87" s="381"/>
      <c r="B87" s="381"/>
      <c r="C87" s="381"/>
      <c r="D87" s="381" t="str">
        <f>IFERROR(VLOOKUP(B87,[1]Releases!$A$7:$D$102,4,FALSE),"")</f>
        <v/>
      </c>
      <c r="E87" s="381" t="str">
        <f>IFERROR(VLOOKUP(B87,[1]Releases!$A$7:$C$102,3,FALSE),"")</f>
        <v/>
      </c>
      <c r="F87" s="381"/>
      <c r="G87" s="381"/>
      <c r="H87" s="381"/>
      <c r="I87" s="381"/>
      <c r="J87" s="381"/>
      <c r="K87" s="381"/>
      <c r="L87" s="381"/>
      <c r="M87" s="381"/>
      <c r="N87" s="381"/>
    </row>
    <row r="88" spans="1:14" x14ac:dyDescent="0.3">
      <c r="A88" s="382" t="s">
        <v>17416</v>
      </c>
      <c r="B88" s="381"/>
      <c r="C88" s="381"/>
      <c r="D88" s="381" t="str">
        <f>IFERROR(VLOOKUP(B88,[1]Releases!$A$7:$D$102,4,FALSE),"")</f>
        <v/>
      </c>
      <c r="E88" s="381" t="str">
        <f>IFERROR(VLOOKUP(B88,[1]Releases!$A$7:$C$102,3,FALSE),"")</f>
        <v/>
      </c>
      <c r="F88" s="381"/>
      <c r="G88" s="381"/>
      <c r="H88" s="381"/>
      <c r="I88" s="381"/>
      <c r="J88" s="381"/>
      <c r="K88" s="381"/>
      <c r="L88" s="381"/>
      <c r="M88" s="381"/>
      <c r="N88" s="381"/>
    </row>
    <row r="89" spans="1:14" x14ac:dyDescent="0.3">
      <c r="A89" s="381" t="s">
        <v>17417</v>
      </c>
      <c r="B89" s="381"/>
      <c r="C89" s="381"/>
      <c r="D89" s="381" t="str">
        <f>IFERROR(VLOOKUP(B89,[1]Releases!$A$7:$D$102,4,FALSE),"")</f>
        <v/>
      </c>
      <c r="E89" s="381" t="str">
        <f>IFERROR(VLOOKUP(B89,[1]Releases!$A$7:$C$102,3,FALSE),"")</f>
        <v/>
      </c>
      <c r="F89" s="381"/>
      <c r="G89" s="381"/>
      <c r="H89" s="381"/>
      <c r="I89" s="381"/>
      <c r="J89" s="381"/>
      <c r="K89" s="381"/>
      <c r="L89" s="381"/>
      <c r="M89" s="381"/>
      <c r="N89" s="381"/>
    </row>
    <row r="90" spans="1:14" x14ac:dyDescent="0.3">
      <c r="A90" s="381" t="s">
        <v>17418</v>
      </c>
      <c r="B90" s="381"/>
      <c r="C90" s="381"/>
      <c r="D90" s="381" t="str">
        <f>IFERROR(VLOOKUP(B90,[1]Releases!$A$7:$D$102,4,FALSE),"")</f>
        <v/>
      </c>
      <c r="E90" s="381" t="str">
        <f>IFERROR(VLOOKUP(B90,[1]Releases!$A$7:$C$102,3,FALSE),"")</f>
        <v/>
      </c>
      <c r="F90" s="381"/>
      <c r="G90" s="381"/>
      <c r="H90" s="381"/>
      <c r="I90" s="381"/>
      <c r="J90" s="381"/>
      <c r="K90" s="381"/>
      <c r="L90" s="381"/>
      <c r="M90" s="381"/>
      <c r="N90" s="381"/>
    </row>
    <row r="91" spans="1:14" x14ac:dyDescent="0.3">
      <c r="A91" s="381" t="s">
        <v>17419</v>
      </c>
      <c r="B91" s="381"/>
      <c r="C91" s="381"/>
      <c r="D91" s="381" t="str">
        <f>IFERROR(VLOOKUP(B91,[1]Releases!$A$7:$D$102,4,FALSE),"")</f>
        <v/>
      </c>
      <c r="E91" s="381" t="str">
        <f>IFERROR(VLOOKUP(B91,[1]Releases!$A$7:$C$102,3,FALSE),"")</f>
        <v/>
      </c>
      <c r="F91" s="381"/>
      <c r="G91" s="381"/>
      <c r="H91" s="381"/>
      <c r="I91" s="381"/>
      <c r="J91" s="381"/>
      <c r="K91" s="381"/>
      <c r="L91" s="381"/>
      <c r="M91" s="381"/>
      <c r="N91" s="381"/>
    </row>
    <row r="92" spans="1:14" x14ac:dyDescent="0.3">
      <c r="A92" s="381" t="s">
        <v>17420</v>
      </c>
      <c r="B92" s="381"/>
      <c r="C92" s="381"/>
      <c r="D92" s="381" t="str">
        <f>IFERROR(VLOOKUP(B92,[1]Releases!$A$7:$D$102,4,FALSE),"")</f>
        <v/>
      </c>
      <c r="E92" s="381" t="str">
        <f>IFERROR(VLOOKUP(B92,[1]Releases!$A$7:$C$102,3,FALSE),"")</f>
        <v/>
      </c>
      <c r="F92" s="381"/>
      <c r="G92" s="381"/>
      <c r="H92" s="381"/>
      <c r="I92" s="381"/>
      <c r="J92" s="381"/>
      <c r="K92" s="381"/>
      <c r="L92" s="381"/>
      <c r="M92" s="381"/>
      <c r="N92" s="381"/>
    </row>
    <row r="93" spans="1:14" x14ac:dyDescent="0.3">
      <c r="A93" s="381" t="s">
        <v>17421</v>
      </c>
      <c r="B93" s="381"/>
      <c r="C93" s="381"/>
      <c r="D93" s="381" t="str">
        <f>IFERROR(VLOOKUP(B93,[1]Releases!$A$7:$D$102,4,FALSE),"")</f>
        <v/>
      </c>
      <c r="E93" s="381" t="str">
        <f>IFERROR(VLOOKUP(B93,[1]Releases!$A$7:$C$102,3,FALSE),"")</f>
        <v/>
      </c>
      <c r="F93" s="381"/>
      <c r="G93" s="381"/>
      <c r="H93" s="381"/>
      <c r="I93" s="381"/>
      <c r="J93" s="381"/>
      <c r="K93" s="381"/>
      <c r="L93" s="381"/>
      <c r="M93" s="381"/>
      <c r="N93" s="381"/>
    </row>
    <row r="94" spans="1:14" x14ac:dyDescent="0.3">
      <c r="A94" s="381"/>
      <c r="B94" s="381"/>
      <c r="C94" s="381"/>
      <c r="D94" s="381" t="str">
        <f>IFERROR(VLOOKUP(B94,[1]Releases!$A$7:$D$102,4,FALSE),"")</f>
        <v/>
      </c>
      <c r="E94" s="381" t="str">
        <f>IFERROR(VLOOKUP(B94,[1]Releases!$A$7:$C$102,3,FALSE),"")</f>
        <v/>
      </c>
      <c r="F94" s="381"/>
      <c r="G94" s="381"/>
      <c r="H94" s="381"/>
      <c r="I94" s="381"/>
      <c r="J94" s="381"/>
      <c r="K94" s="381"/>
      <c r="L94" s="381"/>
      <c r="M94" s="381"/>
      <c r="N94" s="381"/>
    </row>
    <row r="95" spans="1:14" ht="15.6" x14ac:dyDescent="0.3">
      <c r="A95" s="380" t="s">
        <v>17422</v>
      </c>
      <c r="B95" s="381"/>
      <c r="C95" s="381"/>
      <c r="D95" s="381" t="str">
        <f>IFERROR(VLOOKUP(B95,[1]Releases!$A$7:$D$102,4,FALSE),"")</f>
        <v/>
      </c>
      <c r="E95" s="381" t="str">
        <f>IFERROR(VLOOKUP(B95,[1]Releases!$A$7:$C$102,3,FALSE),"")</f>
        <v/>
      </c>
      <c r="F95" s="381"/>
      <c r="G95" s="381"/>
      <c r="H95" s="381"/>
      <c r="I95" s="381"/>
      <c r="J95" s="381"/>
      <c r="K95" s="381"/>
      <c r="L95" s="381"/>
      <c r="M95" s="381"/>
      <c r="N95" s="381"/>
    </row>
    <row r="96" spans="1:14" x14ac:dyDescent="0.3">
      <c r="A96" s="381"/>
      <c r="B96" s="381"/>
      <c r="C96" s="381"/>
      <c r="D96" s="381" t="str">
        <f>IFERROR(VLOOKUP(B96,[1]Releases!$A$7:$D$102,4,FALSE),"")</f>
        <v/>
      </c>
      <c r="E96" s="381" t="str">
        <f>IFERROR(VLOOKUP(B96,[1]Releases!$A$7:$C$102,3,FALSE),"")</f>
        <v/>
      </c>
      <c r="F96" s="381"/>
      <c r="G96" s="381"/>
      <c r="H96" s="381"/>
      <c r="I96" s="381"/>
      <c r="J96" s="381"/>
      <c r="K96" s="381"/>
      <c r="L96" s="381"/>
      <c r="M96" s="381"/>
      <c r="N96" s="381"/>
    </row>
    <row r="97" spans="1:14" x14ac:dyDescent="0.3">
      <c r="A97" s="381" t="s">
        <v>17423</v>
      </c>
      <c r="B97" s="381"/>
      <c r="C97" s="381"/>
      <c r="D97" s="381" t="str">
        <f>IFERROR(VLOOKUP(B97,[1]Releases!$A$7:$D$102,4,FALSE),"")</f>
        <v/>
      </c>
      <c r="E97" s="381" t="str">
        <f>IFERROR(VLOOKUP(B97,[1]Releases!$A$7:$C$102,3,FALSE),"")</f>
        <v/>
      </c>
      <c r="F97" s="381"/>
      <c r="G97" s="381"/>
      <c r="H97" s="381"/>
      <c r="I97" s="381"/>
      <c r="J97" s="381"/>
      <c r="K97" s="381"/>
      <c r="L97" s="381"/>
      <c r="M97" s="381"/>
      <c r="N97" s="381"/>
    </row>
    <row r="98" spans="1:14" x14ac:dyDescent="0.3">
      <c r="A98" s="381" t="s">
        <v>17424</v>
      </c>
      <c r="B98" s="381"/>
      <c r="C98" s="381"/>
      <c r="D98" s="381" t="str">
        <f>IFERROR(VLOOKUP(B98,[1]Releases!$A$7:$D$102,4,FALSE),"")</f>
        <v/>
      </c>
      <c r="E98" s="381" t="str">
        <f>IFERROR(VLOOKUP(B98,[1]Releases!$A$7:$C$102,3,FALSE),"")</f>
        <v/>
      </c>
      <c r="F98" s="381"/>
      <c r="G98" s="381"/>
      <c r="H98" s="381"/>
      <c r="I98" s="381"/>
      <c r="J98" s="381"/>
      <c r="K98" s="381"/>
      <c r="L98" s="381"/>
      <c r="M98" s="381"/>
      <c r="N98" s="381"/>
    </row>
    <row r="99" spans="1:14" x14ac:dyDescent="0.3">
      <c r="A99" s="381" t="s">
        <v>17425</v>
      </c>
      <c r="B99" s="381"/>
      <c r="C99" s="381"/>
      <c r="D99" s="381" t="str">
        <f>IFERROR(VLOOKUP(B99,[1]Releases!$A$7:$D$102,4,FALSE),"")</f>
        <v/>
      </c>
      <c r="E99" s="381" t="str">
        <f>IFERROR(VLOOKUP(B99,[1]Releases!$A$7:$C$102,3,FALSE),"")</f>
        <v/>
      </c>
      <c r="F99" s="381"/>
      <c r="G99" s="381"/>
      <c r="H99" s="381"/>
      <c r="I99" s="381"/>
      <c r="J99" s="381"/>
      <c r="K99" s="381"/>
      <c r="L99" s="381"/>
      <c r="M99" s="381"/>
      <c r="N99" s="381"/>
    </row>
    <row r="100" spans="1:14" x14ac:dyDescent="0.3">
      <c r="A100" s="381" t="s">
        <v>17426</v>
      </c>
      <c r="B100" s="381"/>
      <c r="C100" s="381"/>
      <c r="D100" s="381" t="str">
        <f>IFERROR(VLOOKUP(B100,[1]Releases!$A$7:$D$102,4,FALSE),"")</f>
        <v/>
      </c>
      <c r="E100" s="381" t="str">
        <f>IFERROR(VLOOKUP(B100,[1]Releases!$A$7:$C$102,3,FALSE),"")</f>
        <v/>
      </c>
      <c r="F100" s="381"/>
      <c r="G100" s="381"/>
      <c r="H100" s="381"/>
      <c r="I100" s="381"/>
      <c r="J100" s="381"/>
      <c r="K100" s="381"/>
      <c r="L100" s="381"/>
      <c r="M100" s="381"/>
      <c r="N100" s="381"/>
    </row>
    <row r="101" spans="1:14" x14ac:dyDescent="0.3">
      <c r="A101" s="381" t="s">
        <v>17427</v>
      </c>
      <c r="B101" s="381"/>
      <c r="C101" s="381"/>
      <c r="D101" s="381" t="str">
        <f>IFERROR(VLOOKUP(B101,[1]Releases!$A$7:$D$102,4,FALSE),"")</f>
        <v/>
      </c>
      <c r="E101" s="381" t="str">
        <f>IFERROR(VLOOKUP(B101,[1]Releases!$A$7:$C$102,3,FALSE),"")</f>
        <v/>
      </c>
      <c r="F101" s="381"/>
      <c r="G101" s="381"/>
      <c r="H101" s="381"/>
      <c r="I101" s="381"/>
      <c r="J101" s="381"/>
      <c r="K101" s="381"/>
      <c r="L101" s="381"/>
      <c r="M101" s="381"/>
      <c r="N101" s="381"/>
    </row>
    <row r="102" spans="1:14" x14ac:dyDescent="0.3">
      <c r="A102" s="381"/>
      <c r="B102" s="381"/>
      <c r="C102" s="381"/>
      <c r="D102" s="381" t="str">
        <f>IFERROR(VLOOKUP(B102,[1]Releases!$A$7:$D$102,4,FALSE),"")</f>
        <v/>
      </c>
      <c r="E102" s="381" t="str">
        <f>IFERROR(VLOOKUP(B102,[1]Releases!$A$7:$C$102,3,FALSE),"")</f>
        <v/>
      </c>
      <c r="F102" s="381"/>
      <c r="G102" s="381"/>
      <c r="H102" s="381"/>
      <c r="I102" s="381"/>
      <c r="J102" s="381"/>
      <c r="K102" s="381"/>
      <c r="L102" s="381"/>
      <c r="M102" s="381"/>
      <c r="N102" s="381"/>
    </row>
    <row r="103" spans="1:14" x14ac:dyDescent="0.3">
      <c r="A103" s="381" t="s">
        <v>17428</v>
      </c>
      <c r="B103" s="381"/>
      <c r="C103" s="381"/>
      <c r="D103" s="381" t="str">
        <f>IFERROR(VLOOKUP(B103,[1]Releases!$A$7:$D$102,4,FALSE),"")</f>
        <v/>
      </c>
      <c r="E103" s="381" t="str">
        <f>IFERROR(VLOOKUP(B103,[1]Releases!$A$7:$C$102,3,FALSE),"")</f>
        <v/>
      </c>
      <c r="F103" s="381"/>
      <c r="G103" s="381"/>
      <c r="H103" s="381"/>
      <c r="I103" s="381"/>
      <c r="J103" s="381"/>
      <c r="K103" s="381"/>
      <c r="L103" s="381"/>
      <c r="M103" s="381"/>
      <c r="N103" s="381"/>
    </row>
    <row r="104" spans="1:14" x14ac:dyDescent="0.3">
      <c r="A104" s="381" t="s">
        <v>17429</v>
      </c>
      <c r="B104" s="381"/>
      <c r="C104" s="381"/>
      <c r="D104" s="381" t="str">
        <f>IFERROR(VLOOKUP(B104,[1]Releases!$A$7:$D$102,4,FALSE),"")</f>
        <v/>
      </c>
      <c r="E104" s="381" t="str">
        <f>IFERROR(VLOOKUP(B104,[1]Releases!$A$7:$C$102,3,FALSE),"")</f>
        <v/>
      </c>
      <c r="F104" s="381"/>
      <c r="G104" s="381"/>
      <c r="H104" s="381"/>
      <c r="I104" s="381"/>
      <c r="J104" s="381"/>
      <c r="K104" s="381"/>
      <c r="L104" s="381"/>
      <c r="M104" s="381"/>
      <c r="N104" s="381"/>
    </row>
    <row r="105" spans="1:14" x14ac:dyDescent="0.3">
      <c r="A105" s="381" t="s">
        <v>17430</v>
      </c>
      <c r="B105" s="381"/>
      <c r="C105" s="381"/>
      <c r="D105" s="381" t="str">
        <f>IFERROR(VLOOKUP(B105,[1]Releases!$A$7:$D$102,4,FALSE),"")</f>
        <v/>
      </c>
      <c r="E105" s="381" t="str">
        <f>IFERROR(VLOOKUP(B105,[1]Releases!$A$7:$C$102,3,FALSE),"")</f>
        <v/>
      </c>
      <c r="F105" s="381"/>
      <c r="G105" s="381"/>
      <c r="H105" s="381"/>
      <c r="I105" s="381"/>
      <c r="J105" s="381"/>
      <c r="K105" s="381"/>
      <c r="L105" s="381"/>
      <c r="M105" s="381"/>
      <c r="N105" s="381"/>
    </row>
    <row r="106" spans="1:14" x14ac:dyDescent="0.3">
      <c r="A106" s="381" t="s">
        <v>17431</v>
      </c>
      <c r="B106" s="381"/>
      <c r="C106" s="381"/>
      <c r="D106" s="381" t="str">
        <f>IFERROR(VLOOKUP(B106,[1]Releases!$A$7:$D$102,4,FALSE),"")</f>
        <v/>
      </c>
      <c r="E106" s="381" t="str">
        <f>IFERROR(VLOOKUP(B106,[1]Releases!$A$7:$C$102,3,FALSE),"")</f>
        <v/>
      </c>
      <c r="F106" s="381"/>
      <c r="G106" s="381"/>
      <c r="H106" s="381"/>
      <c r="I106" s="381"/>
      <c r="J106" s="381"/>
      <c r="K106" s="381"/>
      <c r="L106" s="381"/>
      <c r="M106" s="381"/>
      <c r="N106" s="381"/>
    </row>
    <row r="107" spans="1:14" x14ac:dyDescent="0.3">
      <c r="A107" s="381"/>
      <c r="B107" s="381"/>
      <c r="C107" s="381"/>
      <c r="D107" s="381" t="str">
        <f>IFERROR(VLOOKUP(B107,[1]Releases!$A$7:$D$102,4,FALSE),"")</f>
        <v/>
      </c>
      <c r="E107" s="381" t="str">
        <f>IFERROR(VLOOKUP(B107,[1]Releases!$A$7:$C$102,3,FALSE),"")</f>
        <v/>
      </c>
      <c r="F107" s="381"/>
      <c r="G107" s="381"/>
      <c r="H107" s="381"/>
      <c r="I107" s="381"/>
      <c r="J107" s="381"/>
      <c r="K107" s="381"/>
      <c r="L107" s="381"/>
      <c r="M107" s="381"/>
      <c r="N107" s="381"/>
    </row>
    <row r="108" spans="1:14" ht="15.6" x14ac:dyDescent="0.3">
      <c r="A108" s="380" t="s">
        <v>16431</v>
      </c>
      <c r="B108" s="381"/>
      <c r="C108" s="381"/>
      <c r="D108" s="381" t="str">
        <f>IFERROR(VLOOKUP(B108,[1]Releases!$A$7:$D$102,4,FALSE),"")</f>
        <v/>
      </c>
      <c r="E108" s="381" t="str">
        <f>IFERROR(VLOOKUP(B108,[1]Releases!$A$7:$C$102,3,FALSE),"")</f>
        <v/>
      </c>
      <c r="F108" s="381"/>
      <c r="G108" s="381"/>
      <c r="H108" s="381"/>
      <c r="I108" s="381"/>
      <c r="J108" s="381"/>
      <c r="K108" s="381"/>
      <c r="L108" s="381"/>
      <c r="M108" s="381"/>
      <c r="N108" s="381"/>
    </row>
    <row r="109" spans="1:14" x14ac:dyDescent="0.3">
      <c r="A109" s="381"/>
      <c r="B109" s="381"/>
      <c r="C109" s="381"/>
      <c r="D109" s="381" t="str">
        <f>IFERROR(VLOOKUP(B109,[1]Releases!$A$7:$D$102,4,FALSE),"")</f>
        <v/>
      </c>
      <c r="E109" s="381" t="str">
        <f>IFERROR(VLOOKUP(B109,[1]Releases!$A$7:$C$102,3,FALSE),"")</f>
        <v/>
      </c>
      <c r="F109" s="381"/>
      <c r="G109" s="381"/>
      <c r="H109" s="381"/>
      <c r="I109" s="381"/>
      <c r="J109" s="381"/>
      <c r="K109" s="381"/>
      <c r="L109" s="381"/>
      <c r="M109" s="381"/>
      <c r="N109" s="381"/>
    </row>
    <row r="110" spans="1:14" x14ac:dyDescent="0.3">
      <c r="A110" s="381" t="s">
        <v>17432</v>
      </c>
      <c r="B110" s="381"/>
      <c r="C110" s="381"/>
      <c r="D110" s="381" t="str">
        <f>IFERROR(VLOOKUP(B110,[1]Releases!$A$7:$D$102,4,FALSE),"")</f>
        <v/>
      </c>
      <c r="E110" s="381" t="str">
        <f>IFERROR(VLOOKUP(B110,[1]Releases!$A$7:$C$102,3,FALSE),"")</f>
        <v/>
      </c>
      <c r="F110" s="381"/>
      <c r="G110" s="381"/>
      <c r="H110" s="381"/>
      <c r="I110" s="381"/>
      <c r="J110" s="381"/>
      <c r="K110" s="381"/>
      <c r="L110" s="381"/>
      <c r="M110" s="381"/>
      <c r="N110" s="381"/>
    </row>
    <row r="111" spans="1:14" x14ac:dyDescent="0.3">
      <c r="A111" s="381" t="s">
        <v>17433</v>
      </c>
      <c r="B111" s="381"/>
      <c r="C111" s="381"/>
      <c r="D111" s="381" t="str">
        <f>IFERROR(VLOOKUP(B111,[1]Releases!$A$7:$D$102,4,FALSE),"")</f>
        <v/>
      </c>
      <c r="E111" s="381" t="str">
        <f>IFERROR(VLOOKUP(B111,[1]Releases!$A$7:$C$102,3,FALSE),"")</f>
        <v/>
      </c>
      <c r="F111" s="381"/>
      <c r="G111" s="381"/>
      <c r="H111" s="381"/>
      <c r="I111" s="381"/>
      <c r="J111" s="381"/>
      <c r="K111" s="381"/>
      <c r="L111" s="381"/>
      <c r="M111" s="381"/>
      <c r="N111" s="381"/>
    </row>
    <row r="112" spans="1:14" x14ac:dyDescent="0.3">
      <c r="A112" s="381" t="s">
        <v>17434</v>
      </c>
      <c r="B112" s="381"/>
      <c r="C112" s="381"/>
      <c r="D112" s="381"/>
      <c r="E112" s="381"/>
      <c r="F112" s="381"/>
      <c r="G112" s="381"/>
      <c r="H112" s="381"/>
      <c r="I112" s="381"/>
      <c r="J112" s="381"/>
      <c r="K112" s="381"/>
      <c r="L112" s="381"/>
      <c r="M112" s="381"/>
      <c r="N112" s="381"/>
    </row>
    <row r="113" spans="1:14" x14ac:dyDescent="0.3">
      <c r="A113" s="381" t="s">
        <v>17435</v>
      </c>
      <c r="B113" s="381"/>
      <c r="C113" s="381"/>
      <c r="D113" s="381"/>
      <c r="E113" s="381"/>
      <c r="F113" s="381"/>
      <c r="G113" s="381"/>
      <c r="H113" s="381"/>
      <c r="I113" s="381"/>
      <c r="J113" s="381"/>
      <c r="K113" s="381"/>
      <c r="L113" s="381"/>
      <c r="M113" s="381"/>
      <c r="N113" s="381"/>
    </row>
    <row r="114" spans="1:14" x14ac:dyDescent="0.3">
      <c r="A114" s="381" t="s">
        <v>17436</v>
      </c>
      <c r="B114" s="381"/>
      <c r="C114" s="381"/>
      <c r="D114" s="381"/>
      <c r="E114" s="381"/>
      <c r="F114" s="381"/>
      <c r="G114" s="381"/>
      <c r="H114" s="381"/>
      <c r="I114" s="381"/>
      <c r="J114" s="381"/>
      <c r="K114" s="381"/>
      <c r="L114" s="381"/>
      <c r="M114" s="381"/>
      <c r="N114" s="381"/>
    </row>
    <row r="115" spans="1:14" x14ac:dyDescent="0.3">
      <c r="A115" s="381" t="s">
        <v>17437</v>
      </c>
      <c r="B115" s="381"/>
      <c r="C115" s="381"/>
      <c r="D115" s="381"/>
      <c r="E115" s="381"/>
      <c r="F115" s="381"/>
      <c r="G115" s="381"/>
      <c r="H115" s="381"/>
      <c r="I115" s="381"/>
      <c r="J115" s="381"/>
      <c r="K115" s="381"/>
      <c r="L115" s="381"/>
      <c r="M115" s="381"/>
      <c r="N115" s="381"/>
    </row>
    <row r="116" spans="1:14" x14ac:dyDescent="0.3">
      <c r="A116" s="381" t="s">
        <v>17438</v>
      </c>
      <c r="B116" s="381"/>
      <c r="C116" s="381"/>
      <c r="D116" s="381"/>
      <c r="E116" s="381"/>
      <c r="F116" s="381"/>
      <c r="G116" s="381"/>
      <c r="H116" s="381"/>
      <c r="I116" s="381"/>
      <c r="J116" s="381"/>
      <c r="K116" s="381"/>
      <c r="L116" s="381"/>
      <c r="M116" s="381"/>
      <c r="N116" s="381"/>
    </row>
    <row r="117" spans="1:14" x14ac:dyDescent="0.3">
      <c r="A117" s="381" t="s">
        <v>17439</v>
      </c>
      <c r="B117" s="381"/>
      <c r="C117" s="381"/>
      <c r="D117" s="381"/>
      <c r="E117" s="381"/>
      <c r="F117" s="381"/>
      <c r="G117" s="381"/>
      <c r="H117" s="381"/>
      <c r="I117" s="381"/>
      <c r="J117" s="381"/>
      <c r="K117" s="381"/>
      <c r="L117" s="381"/>
      <c r="M117" s="381"/>
      <c r="N117" s="381"/>
    </row>
    <row r="118" spans="1:14" x14ac:dyDescent="0.3">
      <c r="A118" s="381" t="s">
        <v>17440</v>
      </c>
      <c r="B118" s="381"/>
      <c r="C118" s="381"/>
      <c r="D118" s="381"/>
      <c r="E118" s="381"/>
      <c r="F118" s="381"/>
      <c r="G118" s="381"/>
      <c r="H118" s="381"/>
      <c r="I118" s="381"/>
      <c r="J118" s="381"/>
      <c r="K118" s="381"/>
      <c r="L118" s="381"/>
      <c r="M118" s="381"/>
      <c r="N118" s="381"/>
    </row>
    <row r="119" spans="1:14" x14ac:dyDescent="0.3">
      <c r="A119" s="381" t="s">
        <v>17441</v>
      </c>
      <c r="B119" s="381"/>
      <c r="C119" s="381"/>
      <c r="D119" s="381"/>
      <c r="E119" s="381"/>
      <c r="F119" s="381"/>
      <c r="G119" s="381"/>
      <c r="H119" s="381"/>
      <c r="I119" s="381"/>
      <c r="J119" s="381"/>
      <c r="K119" s="381"/>
      <c r="L119" s="381"/>
      <c r="M119" s="381"/>
      <c r="N119" s="381"/>
    </row>
    <row r="120" spans="1:14" x14ac:dyDescent="0.3">
      <c r="A120" s="381"/>
      <c r="B120" s="381"/>
      <c r="C120" s="381"/>
      <c r="D120" s="381"/>
      <c r="E120" s="381"/>
      <c r="F120" s="381"/>
      <c r="G120" s="381"/>
      <c r="H120" s="381"/>
      <c r="I120" s="381"/>
      <c r="J120" s="381"/>
      <c r="K120" s="381"/>
      <c r="L120" s="381"/>
      <c r="M120" s="381"/>
      <c r="N120" s="381"/>
    </row>
    <row r="121" spans="1:14" ht="15.6" x14ac:dyDescent="0.3">
      <c r="A121" s="380" t="s">
        <v>15424</v>
      </c>
      <c r="B121" s="381"/>
      <c r="C121" s="381"/>
      <c r="D121" s="381"/>
      <c r="E121" s="381"/>
      <c r="F121" s="381"/>
      <c r="G121" s="381"/>
      <c r="H121" s="381"/>
      <c r="I121" s="381"/>
      <c r="J121" s="381"/>
      <c r="K121" s="381"/>
      <c r="L121" s="381"/>
      <c r="M121" s="381"/>
      <c r="N121" s="381"/>
    </row>
    <row r="122" spans="1:14" x14ac:dyDescent="0.3">
      <c r="A122" s="381"/>
      <c r="B122" s="381"/>
      <c r="C122" s="381"/>
      <c r="D122" s="381"/>
      <c r="E122" s="381"/>
      <c r="F122" s="381"/>
      <c r="G122" s="381"/>
      <c r="H122" s="381"/>
      <c r="I122" s="381"/>
      <c r="J122" s="381"/>
      <c r="K122" s="381"/>
      <c r="L122" s="381"/>
      <c r="M122" s="381"/>
      <c r="N122" s="381"/>
    </row>
    <row r="123" spans="1:14" x14ac:dyDescent="0.3">
      <c r="A123" s="381" t="s">
        <v>17442</v>
      </c>
      <c r="B123" s="381"/>
      <c r="C123" s="381"/>
      <c r="D123" s="381"/>
      <c r="E123" s="381"/>
      <c r="F123" s="381"/>
      <c r="G123" s="381"/>
      <c r="H123" s="381"/>
      <c r="I123" s="381"/>
      <c r="J123" s="381"/>
      <c r="K123" s="381"/>
      <c r="L123" s="381"/>
      <c r="M123" s="381"/>
      <c r="N123" s="381"/>
    </row>
    <row r="124" spans="1:14" x14ac:dyDescent="0.3">
      <c r="A124" s="381" t="s">
        <v>17443</v>
      </c>
      <c r="B124" s="381"/>
      <c r="C124" s="381"/>
      <c r="D124" s="381"/>
      <c r="E124" s="381"/>
      <c r="F124" s="381"/>
      <c r="G124" s="381"/>
      <c r="H124" s="381"/>
      <c r="I124" s="381"/>
      <c r="J124" s="381"/>
      <c r="K124" s="381"/>
      <c r="L124" s="381"/>
      <c r="M124" s="381"/>
      <c r="N124" s="381"/>
    </row>
    <row r="125" spans="1:14" x14ac:dyDescent="0.3">
      <c r="A125" s="381" t="s">
        <v>17444</v>
      </c>
      <c r="B125" s="381"/>
      <c r="C125" s="381"/>
      <c r="D125" s="381"/>
      <c r="E125" s="381"/>
      <c r="F125" s="381"/>
      <c r="G125" s="381"/>
      <c r="H125" s="381"/>
      <c r="I125" s="381"/>
      <c r="J125" s="381"/>
      <c r="K125" s="381"/>
      <c r="L125" s="381"/>
      <c r="M125" s="381"/>
      <c r="N125" s="381"/>
    </row>
    <row r="126" spans="1:14" x14ac:dyDescent="0.3">
      <c r="A126" s="381" t="s">
        <v>17445</v>
      </c>
      <c r="B126" s="381"/>
      <c r="C126" s="381"/>
      <c r="D126" s="381"/>
      <c r="E126" s="381"/>
      <c r="F126" s="381"/>
      <c r="G126" s="381"/>
      <c r="H126" s="381"/>
      <c r="I126" s="381"/>
      <c r="J126" s="381"/>
      <c r="K126" s="381"/>
      <c r="L126" s="381"/>
      <c r="M126" s="381"/>
      <c r="N126" s="381"/>
    </row>
    <row r="127" spans="1:14" x14ac:dyDescent="0.3">
      <c r="A127" s="381" t="s">
        <v>17446</v>
      </c>
      <c r="B127" s="381"/>
      <c r="C127" s="381"/>
      <c r="D127" s="381"/>
      <c r="E127" s="381"/>
      <c r="F127" s="381"/>
      <c r="G127" s="381"/>
      <c r="H127" s="381"/>
      <c r="I127" s="381"/>
      <c r="J127" s="381"/>
      <c r="K127" s="381"/>
      <c r="L127" s="381"/>
      <c r="M127" s="381"/>
      <c r="N127" s="381"/>
    </row>
    <row r="128" spans="1:14" x14ac:dyDescent="0.3">
      <c r="A128" s="381" t="s">
        <v>17447</v>
      </c>
      <c r="B128" s="381"/>
      <c r="C128" s="381"/>
      <c r="D128" s="381"/>
      <c r="E128" s="381"/>
      <c r="F128" s="381"/>
      <c r="G128" s="381"/>
      <c r="H128" s="381"/>
      <c r="I128" s="381"/>
      <c r="J128" s="381"/>
      <c r="K128" s="381"/>
      <c r="L128" s="381"/>
      <c r="M128" s="381"/>
      <c r="N128" s="381"/>
    </row>
    <row r="129" spans="1:14" x14ac:dyDescent="0.3">
      <c r="A129" s="381" t="s">
        <v>17448</v>
      </c>
      <c r="B129" s="381"/>
      <c r="C129" s="381"/>
      <c r="D129" s="381"/>
      <c r="E129" s="381"/>
      <c r="F129" s="381"/>
      <c r="G129" s="381"/>
      <c r="H129" s="381"/>
      <c r="I129" s="381"/>
      <c r="J129" s="381"/>
      <c r="K129" s="381"/>
      <c r="L129" s="381"/>
      <c r="M129" s="381"/>
      <c r="N129" s="381"/>
    </row>
    <row r="130" spans="1:14" x14ac:dyDescent="0.3">
      <c r="A130" s="381"/>
      <c r="B130" s="381"/>
      <c r="C130" s="381"/>
      <c r="D130" s="381"/>
      <c r="E130" s="381"/>
      <c r="F130" s="381"/>
      <c r="G130" s="381"/>
      <c r="H130" s="381"/>
      <c r="I130" s="381"/>
      <c r="J130" s="381"/>
      <c r="K130" s="381"/>
      <c r="L130" s="381"/>
      <c r="M130" s="381"/>
      <c r="N130" s="381"/>
    </row>
    <row r="131" spans="1:14" x14ac:dyDescent="0.3">
      <c r="A131" s="381" t="s">
        <v>17449</v>
      </c>
      <c r="B131" s="381"/>
      <c r="C131" s="381"/>
      <c r="D131" s="381"/>
      <c r="E131" s="381"/>
      <c r="F131" s="381"/>
      <c r="G131" s="381"/>
      <c r="H131" s="381"/>
      <c r="I131" s="381"/>
      <c r="J131" s="381"/>
      <c r="K131" s="381"/>
      <c r="L131" s="381"/>
      <c r="M131" s="381"/>
      <c r="N131" s="381"/>
    </row>
    <row r="132" spans="1:14" x14ac:dyDescent="0.3">
      <c r="A132" s="381" t="s">
        <v>17450</v>
      </c>
      <c r="B132" s="381"/>
      <c r="C132" s="381"/>
      <c r="D132" s="381"/>
      <c r="E132" s="381"/>
      <c r="F132" s="381"/>
      <c r="G132" s="381"/>
      <c r="H132" s="381"/>
      <c r="I132" s="381"/>
      <c r="J132" s="381"/>
      <c r="K132" s="381"/>
      <c r="L132" s="381"/>
      <c r="M132" s="381"/>
      <c r="N132" s="381"/>
    </row>
    <row r="133" spans="1:14" x14ac:dyDescent="0.3">
      <c r="A133" s="381" t="s">
        <v>17451</v>
      </c>
      <c r="B133" s="381"/>
      <c r="C133" s="381"/>
      <c r="D133" s="381"/>
      <c r="E133" s="381"/>
      <c r="F133" s="381"/>
      <c r="G133" s="381"/>
      <c r="H133" s="381"/>
      <c r="I133" s="381"/>
      <c r="J133" s="381"/>
      <c r="K133" s="381"/>
      <c r="L133" s="381"/>
      <c r="M133" s="381"/>
      <c r="N133" s="381"/>
    </row>
  </sheetData>
  <mergeCells count="6">
    <mergeCell ref="A1:R1"/>
    <mergeCell ref="A2:R2"/>
    <mergeCell ref="T4:W4"/>
    <mergeCell ref="T26:V26"/>
    <mergeCell ref="A53:N53"/>
    <mergeCell ref="A68:N68"/>
  </mergeCells>
  <conditionalFormatting sqref="A5:W51 O52:W100 A53">
    <cfRule type="expression" dxfId="32" priority="1">
      <formula>OR(AND($C$3&lt;&gt;"All Time",IF($C$3="Today",$F5&lt;&gt;TODAY(),IF($C$3="This Week",OR($F5&lt;TODAY(),$F5&gt;TODAY()+7),IF($C$3="This Month",OR($F5&lt;TODAY(),$F5&gt;TODAY()+30),OR($F5&lt;DATE(YEAR(TODAY()),1,1),$F5&gt;DATE(YEAR(TODAY()),12,31)))))),AND($H$3&lt;&gt;"All",IF($H$3="Critical (20+)",$L5&lt;20,IF($H$3="High (15-19)",OR($L5&lt;15,$L5&gt;=20),IF($H$3="Medium (10-14)",OR($L5&lt;10,$L5&gt;=15),$L5&gt;=10)))),AND($J$3&lt;&gt;"All",$P5&lt;&gt;$J$3),AND($L$3&lt;&gt;"All",$H5&lt;&gt;$L$3))</formula>
    </cfRule>
  </conditionalFormatting>
  <dataValidations count="4">
    <dataValidation type="list" allowBlank="1" showInputMessage="1" showErrorMessage="1" sqref="L3" xr:uid="{54B8F0A2-9C38-4B51-B1FA-3B3945279E9C}">
      <formula1>"All,Resource,Schedule,Technical,Integration,Compliance,Security,Vendor,Data"</formula1>
    </dataValidation>
    <dataValidation type="list" allowBlank="1" showInputMessage="1" showErrorMessage="1" sqref="J3" xr:uid="{FB97A5B0-2F06-4A87-96E8-3FD7FAA89721}">
      <formula1>"All,Open,Monitoring,Mitigating,Closed,Accepted"</formula1>
    </dataValidation>
    <dataValidation type="list" allowBlank="1" showInputMessage="1" showErrorMessage="1" sqref="H3" xr:uid="{A6B94345-74C6-4F91-86FA-771D9007C3FE}">
      <formula1>"All,Critical (20+),High (15-19),Medium (10-14),Low (&lt;10)"</formula1>
    </dataValidation>
    <dataValidation type="list" allowBlank="1" showInputMessage="1" showErrorMessage="1" sqref="C3:E3" xr:uid="{DBC423F3-0FCB-409F-9F26-4698004A501C}">
      <formula1>"All Time,Today,This Week,This Month,This Year"</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5A31-1151-414C-A813-E72F0C64B833}">
  <sheetPr>
    <tabColor theme="5"/>
  </sheetPr>
  <dimension ref="A1:K110"/>
  <sheetViews>
    <sheetView workbookViewId="0">
      <selection activeCell="E17" sqref="E17"/>
    </sheetView>
  </sheetViews>
  <sheetFormatPr defaultRowHeight="14.4" x14ac:dyDescent="0.3"/>
  <cols>
    <col min="1" max="1" width="13" customWidth="1"/>
    <col min="2" max="2" width="20.33203125" customWidth="1"/>
    <col min="3" max="3" width="33.33203125" customWidth="1"/>
    <col min="4" max="4" width="22.21875" customWidth="1"/>
    <col min="5" max="5" width="33.33203125" customWidth="1"/>
    <col min="6" max="6" width="18.5546875" customWidth="1"/>
    <col min="7" max="7" width="14.77734375" customWidth="1"/>
    <col min="8" max="8" width="22.21875" customWidth="1"/>
    <col min="9" max="9" width="37" customWidth="1"/>
  </cols>
  <sheetData>
    <row r="1" spans="1:10" ht="21" x14ac:dyDescent="0.4">
      <c r="A1" s="459" t="s">
        <v>17548</v>
      </c>
      <c r="B1" s="429"/>
      <c r="C1" s="429"/>
      <c r="D1" s="429"/>
      <c r="E1" s="429"/>
      <c r="F1" s="429"/>
      <c r="G1" s="429"/>
      <c r="H1" s="429"/>
      <c r="I1" s="429"/>
    </row>
    <row r="2" spans="1:10" ht="56.4" customHeight="1" x14ac:dyDescent="0.3">
      <c r="A2" s="1" t="s">
        <v>16091</v>
      </c>
      <c r="B2" s="16" t="s">
        <v>17549</v>
      </c>
      <c r="C2" s="386" t="s">
        <v>16095</v>
      </c>
      <c r="D2" s="16" t="s">
        <v>16564</v>
      </c>
      <c r="E2" s="386" t="s">
        <v>16095</v>
      </c>
      <c r="F2" s="16" t="s">
        <v>17550</v>
      </c>
      <c r="G2" s="386" t="s">
        <v>16095</v>
      </c>
      <c r="H2" s="16" t="s">
        <v>16099</v>
      </c>
      <c r="I2" t="str" cm="1">
        <f t="array" ref="I2">SUMPRODUCT((A4:A110&lt;&gt;"")*IF(C2="All",1,F4:F110=C2)*IF(E2="All",1,G4:G110=E2)*IF(G2="All",1,H4:H110=G2))&amp;" of "&amp;COUNTA(A4:A110)&amp;" dependencies"</f>
        <v>88 of 88 dependencies</v>
      </c>
      <c r="J2" s="226" t="s">
        <v>17551</v>
      </c>
    </row>
    <row r="3" spans="1:10" x14ac:dyDescent="0.3">
      <c r="A3" s="38" t="s">
        <v>17552</v>
      </c>
      <c r="B3" s="38" t="s">
        <v>1537</v>
      </c>
      <c r="C3" s="38" t="s">
        <v>1541</v>
      </c>
      <c r="D3" s="38" t="s">
        <v>17553</v>
      </c>
      <c r="E3" s="38" t="s">
        <v>17554</v>
      </c>
      <c r="F3" s="38" t="s">
        <v>17555</v>
      </c>
      <c r="G3" s="38" t="s">
        <v>1068</v>
      </c>
      <c r="H3" s="38" t="s">
        <v>17556</v>
      </c>
      <c r="I3" s="38" t="s">
        <v>1245</v>
      </c>
      <c r="J3" s="38" t="s">
        <v>19546</v>
      </c>
    </row>
    <row r="4" spans="1:10" x14ac:dyDescent="0.3">
      <c r="A4" t="s">
        <v>17557</v>
      </c>
      <c r="B4" t="s">
        <v>15306</v>
      </c>
      <c r="C4" t="s">
        <v>16614</v>
      </c>
      <c r="D4" t="s">
        <v>15302</v>
      </c>
      <c r="E4" t="s">
        <v>16607</v>
      </c>
      <c r="F4" t="s">
        <v>1177</v>
      </c>
      <c r="G4" t="s">
        <v>14902</v>
      </c>
      <c r="H4" t="s">
        <v>17558</v>
      </c>
      <c r="I4" t="s">
        <v>17559</v>
      </c>
      <c r="J4" t="s">
        <v>19547</v>
      </c>
    </row>
    <row r="5" spans="1:10" x14ac:dyDescent="0.3">
      <c r="A5" t="s">
        <v>17560</v>
      </c>
      <c r="B5" t="s">
        <v>16160</v>
      </c>
      <c r="C5" t="s">
        <v>16623</v>
      </c>
      <c r="D5" t="s">
        <v>15312</v>
      </c>
      <c r="E5" t="s">
        <v>16621</v>
      </c>
      <c r="F5" t="s">
        <v>1179</v>
      </c>
      <c r="G5" t="s">
        <v>1106</v>
      </c>
      <c r="H5" t="s">
        <v>17561</v>
      </c>
      <c r="I5" t="s">
        <v>17562</v>
      </c>
      <c r="J5" t="s">
        <v>19547</v>
      </c>
    </row>
    <row r="6" spans="1:10" x14ac:dyDescent="0.3">
      <c r="A6" t="s">
        <v>17563</v>
      </c>
      <c r="B6" t="s">
        <v>16174</v>
      </c>
      <c r="C6" t="s">
        <v>16633</v>
      </c>
      <c r="D6" t="s">
        <v>16165</v>
      </c>
      <c r="E6" t="s">
        <v>16625</v>
      </c>
      <c r="F6" t="s">
        <v>14905</v>
      </c>
      <c r="G6" t="s">
        <v>1332</v>
      </c>
      <c r="H6" t="s">
        <v>17564</v>
      </c>
      <c r="I6" t="s">
        <v>17565</v>
      </c>
      <c r="J6" t="s">
        <v>19110</v>
      </c>
    </row>
    <row r="7" spans="1:10" x14ac:dyDescent="0.3">
      <c r="A7" t="s">
        <v>17566</v>
      </c>
      <c r="B7" t="s">
        <v>16174</v>
      </c>
      <c r="C7" t="s">
        <v>16633</v>
      </c>
      <c r="D7" t="s">
        <v>15312</v>
      </c>
      <c r="E7" t="s">
        <v>16621</v>
      </c>
      <c r="F7" t="s">
        <v>14853</v>
      </c>
      <c r="G7" t="s">
        <v>1232</v>
      </c>
      <c r="H7" t="s">
        <v>17567</v>
      </c>
      <c r="I7" t="s">
        <v>17568</v>
      </c>
      <c r="J7" t="s">
        <v>19110</v>
      </c>
    </row>
    <row r="8" spans="1:10" x14ac:dyDescent="0.3">
      <c r="A8" t="s">
        <v>17569</v>
      </c>
      <c r="B8" t="s">
        <v>16191</v>
      </c>
      <c r="C8" t="s">
        <v>16643</v>
      </c>
      <c r="D8" t="s">
        <v>16182</v>
      </c>
      <c r="E8" t="s">
        <v>16639</v>
      </c>
      <c r="F8" t="s">
        <v>1427</v>
      </c>
      <c r="G8" t="s">
        <v>14902</v>
      </c>
      <c r="H8" t="s">
        <v>17570</v>
      </c>
      <c r="I8" t="s">
        <v>17571</v>
      </c>
      <c r="J8" t="s">
        <v>19110</v>
      </c>
    </row>
    <row r="9" spans="1:10" x14ac:dyDescent="0.3">
      <c r="A9" t="s">
        <v>17572</v>
      </c>
      <c r="B9" t="s">
        <v>16206</v>
      </c>
      <c r="C9" t="s">
        <v>16653</v>
      </c>
      <c r="D9" t="s">
        <v>16194</v>
      </c>
      <c r="E9" t="s">
        <v>16645</v>
      </c>
      <c r="F9" t="s">
        <v>1177</v>
      </c>
      <c r="G9" t="s">
        <v>14902</v>
      </c>
      <c r="H9" t="s">
        <v>17558</v>
      </c>
      <c r="I9" t="s">
        <v>17573</v>
      </c>
      <c r="J9" t="s">
        <v>19547</v>
      </c>
    </row>
    <row r="10" spans="1:10" x14ac:dyDescent="0.3">
      <c r="A10" t="s">
        <v>17574</v>
      </c>
      <c r="B10" t="s">
        <v>16206</v>
      </c>
      <c r="C10" t="s">
        <v>16653</v>
      </c>
      <c r="D10" t="s">
        <v>16188</v>
      </c>
      <c r="E10" t="s">
        <v>16641</v>
      </c>
      <c r="F10" t="s">
        <v>1179</v>
      </c>
      <c r="G10" t="s">
        <v>1106</v>
      </c>
      <c r="H10" t="s">
        <v>17561</v>
      </c>
      <c r="I10" t="s">
        <v>17575</v>
      </c>
      <c r="J10" t="s">
        <v>19547</v>
      </c>
    </row>
    <row r="11" spans="1:10" x14ac:dyDescent="0.3">
      <c r="A11" t="s">
        <v>17576</v>
      </c>
      <c r="B11" t="s">
        <v>16219</v>
      </c>
      <c r="C11" t="s">
        <v>16664</v>
      </c>
      <c r="D11" t="s">
        <v>16213</v>
      </c>
      <c r="E11" t="s">
        <v>16660</v>
      </c>
      <c r="F11" t="s">
        <v>14905</v>
      </c>
      <c r="G11" t="s">
        <v>1332</v>
      </c>
      <c r="H11" t="s">
        <v>17564</v>
      </c>
      <c r="I11" t="s">
        <v>17577</v>
      </c>
      <c r="J11" t="s">
        <v>19110</v>
      </c>
    </row>
    <row r="12" spans="1:10" x14ac:dyDescent="0.3">
      <c r="A12" t="s">
        <v>17578</v>
      </c>
      <c r="B12" t="s">
        <v>16231</v>
      </c>
      <c r="C12" t="s">
        <v>16671</v>
      </c>
      <c r="D12" t="s">
        <v>16222</v>
      </c>
      <c r="E12" t="s">
        <v>16666</v>
      </c>
      <c r="F12" t="s">
        <v>14853</v>
      </c>
      <c r="G12" t="s">
        <v>1232</v>
      </c>
      <c r="H12" t="s">
        <v>17567</v>
      </c>
      <c r="I12" t="s">
        <v>17579</v>
      </c>
      <c r="J12" t="s">
        <v>19110</v>
      </c>
    </row>
    <row r="13" spans="1:10" x14ac:dyDescent="0.3">
      <c r="A13" t="s">
        <v>17580</v>
      </c>
      <c r="B13" t="s">
        <v>16231</v>
      </c>
      <c r="C13" t="s">
        <v>16671</v>
      </c>
      <c r="D13" t="s">
        <v>16216</v>
      </c>
      <c r="E13" t="s">
        <v>16662</v>
      </c>
      <c r="F13" t="s">
        <v>1427</v>
      </c>
      <c r="G13" t="s">
        <v>14902</v>
      </c>
      <c r="H13" t="s">
        <v>17570</v>
      </c>
      <c r="I13" t="s">
        <v>17581</v>
      </c>
      <c r="J13" t="s">
        <v>19110</v>
      </c>
    </row>
    <row r="14" spans="1:10" x14ac:dyDescent="0.3">
      <c r="A14" t="s">
        <v>17582</v>
      </c>
      <c r="B14" t="s">
        <v>16239</v>
      </c>
      <c r="C14" t="s">
        <v>16680</v>
      </c>
      <c r="D14" t="s">
        <v>16235</v>
      </c>
      <c r="E14" t="s">
        <v>16677</v>
      </c>
      <c r="F14" t="s">
        <v>1177</v>
      </c>
      <c r="G14" t="s">
        <v>14902</v>
      </c>
      <c r="H14" t="s">
        <v>17558</v>
      </c>
      <c r="I14" t="s">
        <v>17559</v>
      </c>
      <c r="J14" t="s">
        <v>19547</v>
      </c>
    </row>
    <row r="15" spans="1:10" x14ac:dyDescent="0.3">
      <c r="A15" t="s">
        <v>17583</v>
      </c>
      <c r="B15" t="s">
        <v>16253</v>
      </c>
      <c r="C15" t="s">
        <v>16689</v>
      </c>
      <c r="D15" t="s">
        <v>16243</v>
      </c>
      <c r="E15" t="s">
        <v>16682</v>
      </c>
      <c r="F15" t="s">
        <v>1179</v>
      </c>
      <c r="G15" t="s">
        <v>1106</v>
      </c>
      <c r="H15" t="s">
        <v>17561</v>
      </c>
      <c r="I15" t="s">
        <v>17562</v>
      </c>
      <c r="J15" t="s">
        <v>19547</v>
      </c>
    </row>
    <row r="16" spans="1:10" x14ac:dyDescent="0.3">
      <c r="A16" t="s">
        <v>17584</v>
      </c>
      <c r="B16" t="s">
        <v>16253</v>
      </c>
      <c r="C16" t="s">
        <v>16689</v>
      </c>
      <c r="D16" t="s">
        <v>16237</v>
      </c>
      <c r="E16" t="s">
        <v>16679</v>
      </c>
      <c r="F16" t="s">
        <v>14905</v>
      </c>
      <c r="G16" t="s">
        <v>1332</v>
      </c>
      <c r="H16" t="s">
        <v>17564</v>
      </c>
      <c r="I16" t="s">
        <v>17565</v>
      </c>
      <c r="J16" t="s">
        <v>19110</v>
      </c>
    </row>
    <row r="17" spans="1:10" x14ac:dyDescent="0.3">
      <c r="A17" t="s">
        <v>17585</v>
      </c>
      <c r="B17" t="s">
        <v>16266</v>
      </c>
      <c r="C17" t="s">
        <v>16698</v>
      </c>
      <c r="D17" t="s">
        <v>16257</v>
      </c>
      <c r="E17" t="s">
        <v>16692</v>
      </c>
      <c r="F17" t="s">
        <v>14853</v>
      </c>
      <c r="G17" t="s">
        <v>1232</v>
      </c>
      <c r="H17" t="s">
        <v>17567</v>
      </c>
      <c r="I17" t="s">
        <v>17568</v>
      </c>
      <c r="J17" t="s">
        <v>19110</v>
      </c>
    </row>
    <row r="18" spans="1:10" x14ac:dyDescent="0.3">
      <c r="A18" t="s">
        <v>17586</v>
      </c>
      <c r="B18" t="s">
        <v>16277</v>
      </c>
      <c r="C18" t="s">
        <v>16704</v>
      </c>
      <c r="D18" t="s">
        <v>16268</v>
      </c>
      <c r="E18" t="s">
        <v>16700</v>
      </c>
      <c r="F18" t="s">
        <v>1427</v>
      </c>
      <c r="G18" t="s">
        <v>14902</v>
      </c>
      <c r="H18" t="s">
        <v>17570</v>
      </c>
      <c r="I18" t="s">
        <v>17571</v>
      </c>
      <c r="J18" t="s">
        <v>19110</v>
      </c>
    </row>
    <row r="19" spans="1:10" x14ac:dyDescent="0.3">
      <c r="A19" t="s">
        <v>17587</v>
      </c>
      <c r="B19" t="s">
        <v>16277</v>
      </c>
      <c r="C19" t="s">
        <v>16704</v>
      </c>
      <c r="D19" t="s">
        <v>16262</v>
      </c>
      <c r="E19" t="s">
        <v>16696</v>
      </c>
      <c r="F19" t="s">
        <v>1177</v>
      </c>
      <c r="G19" t="s">
        <v>14902</v>
      </c>
      <c r="H19" t="s">
        <v>17558</v>
      </c>
      <c r="I19" t="s">
        <v>17573</v>
      </c>
      <c r="J19" t="s">
        <v>19547</v>
      </c>
    </row>
    <row r="20" spans="1:10" x14ac:dyDescent="0.3">
      <c r="A20" t="s">
        <v>17588</v>
      </c>
      <c r="B20" t="s">
        <v>16288</v>
      </c>
      <c r="C20" t="s">
        <v>16712</v>
      </c>
      <c r="D20" t="s">
        <v>16282</v>
      </c>
      <c r="E20" t="s">
        <v>16709</v>
      </c>
      <c r="F20" t="s">
        <v>1179</v>
      </c>
      <c r="G20" t="s">
        <v>1106</v>
      </c>
      <c r="H20" t="s">
        <v>17561</v>
      </c>
      <c r="I20" t="s">
        <v>17575</v>
      </c>
      <c r="J20" t="s">
        <v>19547</v>
      </c>
    </row>
    <row r="21" spans="1:10" x14ac:dyDescent="0.3">
      <c r="A21" t="s">
        <v>17589</v>
      </c>
      <c r="B21" t="s">
        <v>16300</v>
      </c>
      <c r="C21" t="s">
        <v>16720</v>
      </c>
      <c r="D21" t="s">
        <v>16290</v>
      </c>
      <c r="E21" t="s">
        <v>16714</v>
      </c>
      <c r="F21" t="s">
        <v>14905</v>
      </c>
      <c r="G21" t="s">
        <v>1332</v>
      </c>
      <c r="H21" t="s">
        <v>17564</v>
      </c>
      <c r="I21" t="s">
        <v>17577</v>
      </c>
      <c r="J21" t="s">
        <v>19110</v>
      </c>
    </row>
    <row r="22" spans="1:10" x14ac:dyDescent="0.3">
      <c r="A22" t="s">
        <v>17590</v>
      </c>
      <c r="B22" t="s">
        <v>16300</v>
      </c>
      <c r="C22" t="s">
        <v>16720</v>
      </c>
      <c r="D22" t="s">
        <v>16286</v>
      </c>
      <c r="E22" t="s">
        <v>16711</v>
      </c>
      <c r="F22" t="s">
        <v>14853</v>
      </c>
      <c r="G22" t="s">
        <v>1232</v>
      </c>
      <c r="H22" t="s">
        <v>17567</v>
      </c>
      <c r="I22" t="s">
        <v>17579</v>
      </c>
      <c r="J22" t="s">
        <v>19110</v>
      </c>
    </row>
    <row r="23" spans="1:10" x14ac:dyDescent="0.3">
      <c r="A23" t="s">
        <v>17591</v>
      </c>
      <c r="B23" t="s">
        <v>16312</v>
      </c>
      <c r="C23" t="s">
        <v>16728</v>
      </c>
      <c r="D23" t="s">
        <v>16305</v>
      </c>
      <c r="E23" t="s">
        <v>16724</v>
      </c>
      <c r="F23" t="s">
        <v>1427</v>
      </c>
      <c r="G23" t="s">
        <v>14902</v>
      </c>
      <c r="H23" t="s">
        <v>17570</v>
      </c>
      <c r="I23" t="s">
        <v>17581</v>
      </c>
      <c r="J23" t="s">
        <v>19110</v>
      </c>
    </row>
    <row r="24" spans="1:10" x14ac:dyDescent="0.3">
      <c r="A24" t="s">
        <v>17592</v>
      </c>
      <c r="B24" t="s">
        <v>16323</v>
      </c>
      <c r="C24" t="s">
        <v>16735</v>
      </c>
      <c r="D24" t="s">
        <v>16315</v>
      </c>
      <c r="E24" t="s">
        <v>16730</v>
      </c>
      <c r="F24" t="s">
        <v>1177</v>
      </c>
      <c r="G24" t="s">
        <v>14902</v>
      </c>
      <c r="H24" t="s">
        <v>17558</v>
      </c>
      <c r="I24" t="s">
        <v>17559</v>
      </c>
      <c r="J24" t="s">
        <v>19547</v>
      </c>
    </row>
    <row r="25" spans="1:10" x14ac:dyDescent="0.3">
      <c r="A25" t="s">
        <v>17593</v>
      </c>
      <c r="B25" t="s">
        <v>16323</v>
      </c>
      <c r="C25" t="s">
        <v>16735</v>
      </c>
      <c r="D25" t="s">
        <v>16307</v>
      </c>
      <c r="E25" t="s">
        <v>16726</v>
      </c>
      <c r="F25" t="s">
        <v>1179</v>
      </c>
      <c r="G25" t="s">
        <v>1106</v>
      </c>
      <c r="H25" t="s">
        <v>17561</v>
      </c>
      <c r="I25" t="s">
        <v>17562</v>
      </c>
      <c r="J25" t="s">
        <v>19547</v>
      </c>
    </row>
    <row r="26" spans="1:10" x14ac:dyDescent="0.3">
      <c r="A26" t="s">
        <v>17594</v>
      </c>
      <c r="B26" t="s">
        <v>16335</v>
      </c>
      <c r="C26" t="s">
        <v>16743</v>
      </c>
      <c r="D26" t="s">
        <v>16330</v>
      </c>
      <c r="E26" t="s">
        <v>16739</v>
      </c>
      <c r="F26" t="s">
        <v>14905</v>
      </c>
      <c r="G26" t="s">
        <v>1332</v>
      </c>
      <c r="H26" t="s">
        <v>17564</v>
      </c>
      <c r="I26" t="s">
        <v>17565</v>
      </c>
      <c r="J26" t="s">
        <v>19110</v>
      </c>
    </row>
    <row r="27" spans="1:10" x14ac:dyDescent="0.3">
      <c r="A27" t="s">
        <v>17595</v>
      </c>
      <c r="B27" t="s">
        <v>16345</v>
      </c>
      <c r="C27" t="s">
        <v>16751</v>
      </c>
      <c r="D27" t="s">
        <v>16337</v>
      </c>
      <c r="E27" t="s">
        <v>16745</v>
      </c>
      <c r="F27" t="s">
        <v>14853</v>
      </c>
      <c r="G27" t="s">
        <v>1232</v>
      </c>
      <c r="H27" t="s">
        <v>17567</v>
      </c>
      <c r="I27" t="s">
        <v>17568</v>
      </c>
      <c r="J27" t="s">
        <v>19110</v>
      </c>
    </row>
    <row r="28" spans="1:10" x14ac:dyDescent="0.3">
      <c r="A28" t="s">
        <v>19613</v>
      </c>
      <c r="B28" t="s">
        <v>16246</v>
      </c>
      <c r="C28" t="s">
        <v>16684</v>
      </c>
      <c r="D28" t="s">
        <v>16239</v>
      </c>
      <c r="E28" t="s">
        <v>16680</v>
      </c>
      <c r="F28" t="s">
        <v>1177</v>
      </c>
      <c r="G28" t="s">
        <v>14902</v>
      </c>
      <c r="H28" t="s">
        <v>17558</v>
      </c>
      <c r="I28" t="s">
        <v>19614</v>
      </c>
      <c r="J28" t="s">
        <v>19547</v>
      </c>
    </row>
    <row r="29" spans="1:10" x14ac:dyDescent="0.3">
      <c r="A29" t="s">
        <v>19615</v>
      </c>
      <c r="B29" t="s">
        <v>16250</v>
      </c>
      <c r="C29" t="s">
        <v>16687</v>
      </c>
      <c r="D29" t="s">
        <v>16246</v>
      </c>
      <c r="E29" t="s">
        <v>16684</v>
      </c>
      <c r="F29" t="s">
        <v>1179</v>
      </c>
      <c r="G29" t="s">
        <v>1106</v>
      </c>
      <c r="H29" t="s">
        <v>17561</v>
      </c>
      <c r="I29" t="s">
        <v>17571</v>
      </c>
      <c r="J29" t="s">
        <v>19547</v>
      </c>
    </row>
    <row r="30" spans="1:10" x14ac:dyDescent="0.3">
      <c r="A30" t="s">
        <v>19616</v>
      </c>
      <c r="B30" t="s">
        <v>16268</v>
      </c>
      <c r="C30" t="s">
        <v>16700</v>
      </c>
      <c r="D30" t="s">
        <v>16262</v>
      </c>
      <c r="E30" t="s">
        <v>16696</v>
      </c>
      <c r="F30" t="s">
        <v>14905</v>
      </c>
      <c r="G30" t="s">
        <v>1332</v>
      </c>
      <c r="H30" t="s">
        <v>17564</v>
      </c>
      <c r="I30" t="s">
        <v>17565</v>
      </c>
      <c r="J30" t="s">
        <v>19110</v>
      </c>
    </row>
    <row r="31" spans="1:10" x14ac:dyDescent="0.3">
      <c r="A31" t="s">
        <v>19617</v>
      </c>
      <c r="B31" t="s">
        <v>16271</v>
      </c>
      <c r="C31" t="s">
        <v>16702</v>
      </c>
      <c r="D31" t="s">
        <v>16268</v>
      </c>
      <c r="E31" t="s">
        <v>16700</v>
      </c>
      <c r="F31" t="s">
        <v>14853</v>
      </c>
      <c r="G31" t="s">
        <v>1232</v>
      </c>
      <c r="H31" t="s">
        <v>17567</v>
      </c>
      <c r="I31" t="s">
        <v>17579</v>
      </c>
      <c r="J31" t="s">
        <v>19110</v>
      </c>
    </row>
    <row r="32" spans="1:10" x14ac:dyDescent="0.3">
      <c r="A32" t="s">
        <v>19618</v>
      </c>
      <c r="B32" t="s">
        <v>16273</v>
      </c>
      <c r="C32" t="s">
        <v>16703</v>
      </c>
      <c r="D32" t="s">
        <v>16271</v>
      </c>
      <c r="E32" t="s">
        <v>16702</v>
      </c>
      <c r="F32" t="s">
        <v>1427</v>
      </c>
      <c r="G32" t="s">
        <v>14902</v>
      </c>
      <c r="H32" t="s">
        <v>17570</v>
      </c>
      <c r="I32" t="s">
        <v>17581</v>
      </c>
      <c r="J32" t="s">
        <v>19110</v>
      </c>
    </row>
    <row r="33" spans="1:11" x14ac:dyDescent="0.3">
      <c r="A33" t="s">
        <v>19619</v>
      </c>
      <c r="B33" t="s">
        <v>16280</v>
      </c>
      <c r="C33" t="s">
        <v>16707</v>
      </c>
      <c r="D33" t="s">
        <v>16277</v>
      </c>
      <c r="E33" t="s">
        <v>16704</v>
      </c>
      <c r="F33" t="s">
        <v>1177</v>
      </c>
      <c r="G33" t="s">
        <v>14902</v>
      </c>
      <c r="H33" t="s">
        <v>17558</v>
      </c>
      <c r="I33" t="s">
        <v>17573</v>
      </c>
      <c r="J33" t="s">
        <v>19547</v>
      </c>
    </row>
    <row r="34" spans="1:11" x14ac:dyDescent="0.3">
      <c r="A34" t="s">
        <v>19620</v>
      </c>
      <c r="B34" t="s">
        <v>16293</v>
      </c>
      <c r="C34" t="s">
        <v>16716</v>
      </c>
      <c r="D34" t="s">
        <v>16290</v>
      </c>
      <c r="E34" t="s">
        <v>16714</v>
      </c>
      <c r="F34" t="s">
        <v>1179</v>
      </c>
      <c r="G34" t="s">
        <v>1106</v>
      </c>
      <c r="H34" t="s">
        <v>17561</v>
      </c>
      <c r="I34" t="s">
        <v>17562</v>
      </c>
      <c r="J34" t="s">
        <v>19547</v>
      </c>
    </row>
    <row r="35" spans="1:11" x14ac:dyDescent="0.3">
      <c r="A35" t="s">
        <v>19621</v>
      </c>
      <c r="B35" t="s">
        <v>16317</v>
      </c>
      <c r="C35" t="s">
        <v>16731</v>
      </c>
      <c r="D35" t="s">
        <v>16315</v>
      </c>
      <c r="E35" t="s">
        <v>16730</v>
      </c>
      <c r="F35" t="s">
        <v>14905</v>
      </c>
      <c r="G35" t="s">
        <v>1332</v>
      </c>
      <c r="H35" t="s">
        <v>17564</v>
      </c>
      <c r="I35" t="s">
        <v>17577</v>
      </c>
      <c r="J35" t="s">
        <v>19110</v>
      </c>
    </row>
    <row r="36" spans="1:11" x14ac:dyDescent="0.3">
      <c r="A36" t="s">
        <v>19622</v>
      </c>
      <c r="B36" t="s">
        <v>16321</v>
      </c>
      <c r="C36" t="s">
        <v>16733</v>
      </c>
      <c r="D36" t="s">
        <v>16317</v>
      </c>
      <c r="E36" t="s">
        <v>16731</v>
      </c>
      <c r="F36" t="s">
        <v>14853</v>
      </c>
      <c r="G36" t="s">
        <v>1232</v>
      </c>
      <c r="H36" t="s">
        <v>17567</v>
      </c>
      <c r="I36" t="s">
        <v>17579</v>
      </c>
      <c r="J36" t="s">
        <v>19110</v>
      </c>
    </row>
    <row r="37" spans="1:11" x14ac:dyDescent="0.3">
      <c r="A37" t="s">
        <v>19623</v>
      </c>
      <c r="B37" t="s">
        <v>16343</v>
      </c>
      <c r="C37" t="s">
        <v>16749</v>
      </c>
      <c r="D37" t="s">
        <v>16339</v>
      </c>
      <c r="E37" t="s">
        <v>16747</v>
      </c>
      <c r="F37" t="s">
        <v>1427</v>
      </c>
      <c r="G37" t="s">
        <v>14902</v>
      </c>
      <c r="H37" t="s">
        <v>17570</v>
      </c>
      <c r="I37" t="s">
        <v>17571</v>
      </c>
      <c r="J37" t="s">
        <v>19110</v>
      </c>
    </row>
    <row r="38" spans="1:11" x14ac:dyDescent="0.3">
      <c r="A38" t="s">
        <v>19624</v>
      </c>
      <c r="B38" t="s">
        <v>16350</v>
      </c>
      <c r="C38" t="s">
        <v>16755</v>
      </c>
      <c r="D38" t="s">
        <v>16348</v>
      </c>
      <c r="E38" t="s">
        <v>16753</v>
      </c>
      <c r="F38" t="s">
        <v>1177</v>
      </c>
      <c r="G38" t="s">
        <v>14902</v>
      </c>
      <c r="H38" t="s">
        <v>17558</v>
      </c>
      <c r="I38" t="s">
        <v>17559</v>
      </c>
      <c r="J38" t="s">
        <v>19547</v>
      </c>
    </row>
    <row r="39" spans="1:11" x14ac:dyDescent="0.3">
      <c r="A39" t="s">
        <v>19625</v>
      </c>
      <c r="B39" t="s">
        <v>16356</v>
      </c>
      <c r="C39" t="s">
        <v>16760</v>
      </c>
      <c r="D39" t="s">
        <v>16354</v>
      </c>
      <c r="E39" t="s">
        <v>16758</v>
      </c>
      <c r="F39" t="s">
        <v>1179</v>
      </c>
      <c r="G39" t="s">
        <v>1106</v>
      </c>
      <c r="H39" t="s">
        <v>17561</v>
      </c>
      <c r="I39" t="s">
        <v>17575</v>
      </c>
      <c r="J39" t="s">
        <v>19547</v>
      </c>
    </row>
    <row r="40" spans="1:11" x14ac:dyDescent="0.3">
      <c r="A40" t="s">
        <v>19626</v>
      </c>
      <c r="B40" t="s">
        <v>16359</v>
      </c>
      <c r="C40" t="s">
        <v>16762</v>
      </c>
      <c r="D40" t="s">
        <v>16356</v>
      </c>
      <c r="E40" t="s">
        <v>16760</v>
      </c>
      <c r="F40" t="s">
        <v>14905</v>
      </c>
      <c r="G40" t="s">
        <v>1332</v>
      </c>
      <c r="H40" t="s">
        <v>17564</v>
      </c>
      <c r="I40" t="s">
        <v>17565</v>
      </c>
      <c r="J40" t="s">
        <v>19110</v>
      </c>
    </row>
    <row r="41" spans="1:11" x14ac:dyDescent="0.3">
      <c r="A41" t="s">
        <v>19627</v>
      </c>
      <c r="B41" t="s">
        <v>16361</v>
      </c>
      <c r="C41" t="s">
        <v>16764</v>
      </c>
      <c r="D41" t="s">
        <v>16359</v>
      </c>
      <c r="E41" t="s">
        <v>16762</v>
      </c>
      <c r="F41" t="s">
        <v>14853</v>
      </c>
      <c r="G41" t="s">
        <v>1232</v>
      </c>
      <c r="H41" t="s">
        <v>17567</v>
      </c>
      <c r="I41" t="s">
        <v>17568</v>
      </c>
      <c r="J41" t="s">
        <v>19110</v>
      </c>
    </row>
    <row r="42" spans="1:11" x14ac:dyDescent="0.3">
      <c r="A42" t="s">
        <v>19628</v>
      </c>
      <c r="B42" t="s">
        <v>16237</v>
      </c>
      <c r="C42" t="s">
        <v>16679</v>
      </c>
      <c r="D42" t="s">
        <v>16233</v>
      </c>
      <c r="E42" t="s">
        <v>16674</v>
      </c>
      <c r="F42" t="s">
        <v>1427</v>
      </c>
      <c r="G42" t="s">
        <v>14902</v>
      </c>
      <c r="H42" t="s">
        <v>17570</v>
      </c>
      <c r="I42" t="s">
        <v>17571</v>
      </c>
      <c r="J42" t="s">
        <v>19110</v>
      </c>
    </row>
    <row r="43" spans="1:11" x14ac:dyDescent="0.3">
      <c r="A43" t="s">
        <v>17596</v>
      </c>
      <c r="B43" t="s">
        <v>16345</v>
      </c>
      <c r="C43" t="s">
        <v>16751</v>
      </c>
      <c r="D43" t="s">
        <v>16332</v>
      </c>
      <c r="E43" t="s">
        <v>16741</v>
      </c>
      <c r="F43" t="s">
        <v>1427</v>
      </c>
      <c r="G43" t="s">
        <v>14902</v>
      </c>
      <c r="H43" t="s">
        <v>17570</v>
      </c>
      <c r="I43" t="s">
        <v>17571</v>
      </c>
      <c r="J43" t="s">
        <v>19110</v>
      </c>
    </row>
    <row r="44" spans="1:11" x14ac:dyDescent="0.3">
      <c r="A44" t="s">
        <v>17597</v>
      </c>
      <c r="B44" t="s">
        <v>16354</v>
      </c>
      <c r="C44" t="s">
        <v>16758</v>
      </c>
      <c r="D44" t="s">
        <v>16352</v>
      </c>
      <c r="E44" t="s">
        <v>16757</v>
      </c>
      <c r="F44" t="s">
        <v>1177</v>
      </c>
      <c r="G44" t="s">
        <v>14902</v>
      </c>
      <c r="H44" t="s">
        <v>17558</v>
      </c>
      <c r="I44" t="s">
        <v>17573</v>
      </c>
      <c r="J44" t="s">
        <v>19547</v>
      </c>
    </row>
    <row r="47" spans="1:11" ht="15.6" x14ac:dyDescent="0.3">
      <c r="A47" s="378" t="s">
        <v>17598</v>
      </c>
      <c r="B47" s="378"/>
      <c r="C47" s="378"/>
      <c r="D47" s="378"/>
      <c r="E47" s="378"/>
      <c r="F47" s="378"/>
      <c r="G47" s="378"/>
      <c r="H47" s="378"/>
      <c r="I47" s="378"/>
      <c r="J47" s="378"/>
      <c r="K47" s="378"/>
    </row>
    <row r="48" spans="1:11" x14ac:dyDescent="0.3">
      <c r="A48" s="379"/>
      <c r="B48" s="379"/>
      <c r="C48" s="379"/>
      <c r="D48" s="379"/>
      <c r="E48" s="379"/>
      <c r="F48" s="379"/>
      <c r="G48" s="379"/>
      <c r="H48" s="379"/>
      <c r="I48" s="379"/>
      <c r="J48" s="379"/>
      <c r="K48" s="379"/>
    </row>
    <row r="49" spans="1:11" x14ac:dyDescent="0.3">
      <c r="A49" s="379" t="s">
        <v>17599</v>
      </c>
      <c r="B49" s="379"/>
      <c r="C49" s="379"/>
      <c r="D49" s="379"/>
      <c r="E49" s="379"/>
      <c r="F49" s="379"/>
      <c r="G49" s="379"/>
      <c r="H49" s="379"/>
      <c r="I49" s="379"/>
      <c r="J49" s="379"/>
      <c r="K49" s="379"/>
    </row>
    <row r="50" spans="1:11" x14ac:dyDescent="0.3">
      <c r="A50" s="379"/>
      <c r="B50" s="379"/>
      <c r="C50" s="379"/>
      <c r="D50" s="379"/>
      <c r="E50" s="379"/>
      <c r="F50" s="379"/>
      <c r="G50" s="379"/>
      <c r="H50" s="379"/>
      <c r="I50" s="379"/>
      <c r="J50" s="379"/>
      <c r="K50" s="379"/>
    </row>
    <row r="51" spans="1:11" x14ac:dyDescent="0.3">
      <c r="A51" s="379" t="s">
        <v>17600</v>
      </c>
      <c r="B51" s="379"/>
      <c r="C51" s="379"/>
      <c r="D51" s="379"/>
      <c r="E51" s="379"/>
      <c r="F51" s="379"/>
      <c r="G51" s="379"/>
      <c r="H51" s="379"/>
      <c r="I51" s="379"/>
      <c r="J51" s="379"/>
      <c r="K51" s="379"/>
    </row>
    <row r="52" spans="1:11" x14ac:dyDescent="0.3">
      <c r="A52" s="379"/>
      <c r="B52" s="379"/>
      <c r="C52" s="379"/>
      <c r="D52" s="379"/>
      <c r="E52" s="379"/>
      <c r="F52" s="379"/>
      <c r="G52" s="379"/>
      <c r="H52" s="379"/>
      <c r="I52" s="379"/>
      <c r="J52" s="379"/>
      <c r="K52" s="379"/>
    </row>
    <row r="53" spans="1:11" x14ac:dyDescent="0.3">
      <c r="A53" s="379" t="s">
        <v>17601</v>
      </c>
      <c r="B53" s="379"/>
      <c r="C53" s="379"/>
      <c r="D53" s="379"/>
      <c r="E53" s="379"/>
      <c r="F53" s="379"/>
      <c r="G53" s="379"/>
      <c r="H53" s="379"/>
      <c r="I53" s="379"/>
      <c r="J53" s="379"/>
      <c r="K53" s="379"/>
    </row>
    <row r="54" spans="1:11" x14ac:dyDescent="0.3">
      <c r="A54" s="379"/>
      <c r="B54" s="379"/>
      <c r="C54" s="379"/>
      <c r="D54" s="379"/>
      <c r="E54" s="379"/>
      <c r="F54" s="379"/>
      <c r="G54" s="379"/>
      <c r="H54" s="379"/>
      <c r="I54" s="379"/>
      <c r="J54" s="379"/>
      <c r="K54" s="379"/>
    </row>
    <row r="55" spans="1:11" x14ac:dyDescent="0.3">
      <c r="A55" s="379" t="s">
        <v>17502</v>
      </c>
      <c r="B55" s="379"/>
      <c r="C55" s="379"/>
      <c r="D55" s="379"/>
      <c r="E55" s="379"/>
      <c r="F55" s="379"/>
      <c r="G55" s="379"/>
      <c r="H55" s="379"/>
      <c r="I55" s="379"/>
      <c r="J55" s="379"/>
      <c r="K55" s="379"/>
    </row>
    <row r="57" spans="1:11" ht="18" x14ac:dyDescent="0.35">
      <c r="A57" s="358" t="s">
        <v>17602</v>
      </c>
      <c r="B57" s="358"/>
      <c r="C57" s="358"/>
      <c r="D57" s="358"/>
      <c r="E57" s="358"/>
      <c r="F57" s="358"/>
      <c r="G57" s="358"/>
      <c r="H57" s="358"/>
      <c r="I57" s="358"/>
      <c r="J57" s="358"/>
    </row>
    <row r="59" spans="1:11" ht="15.6" x14ac:dyDescent="0.3">
      <c r="A59" s="380" t="s">
        <v>17603</v>
      </c>
      <c r="B59" s="381"/>
      <c r="C59" s="381"/>
      <c r="D59" s="381"/>
      <c r="E59" s="381"/>
      <c r="F59" s="381"/>
      <c r="G59" s="381"/>
      <c r="H59" s="381"/>
      <c r="I59" s="381"/>
      <c r="J59" s="381"/>
    </row>
    <row r="60" spans="1:11" x14ac:dyDescent="0.3">
      <c r="A60" s="381" t="s">
        <v>17604</v>
      </c>
      <c r="B60" s="381"/>
      <c r="C60" s="381"/>
      <c r="D60" s="381"/>
      <c r="E60" s="381"/>
      <c r="F60" s="381"/>
      <c r="G60" s="381"/>
      <c r="H60" s="381"/>
      <c r="I60" s="381"/>
      <c r="J60" s="381"/>
    </row>
    <row r="61" spans="1:11" x14ac:dyDescent="0.3">
      <c r="A61" s="381" t="s">
        <v>17605</v>
      </c>
      <c r="B61" s="381"/>
      <c r="C61" s="381"/>
      <c r="D61" s="381"/>
      <c r="E61" s="381"/>
      <c r="F61" s="381"/>
      <c r="G61" s="381"/>
      <c r="H61" s="381"/>
      <c r="I61" s="381"/>
      <c r="J61" s="381"/>
    </row>
    <row r="62" spans="1:11" x14ac:dyDescent="0.3">
      <c r="A62" s="381"/>
      <c r="B62" s="381"/>
      <c r="C62" s="381"/>
      <c r="D62" s="381"/>
      <c r="E62" s="381"/>
      <c r="F62" s="381"/>
      <c r="G62" s="381"/>
      <c r="H62" s="381"/>
      <c r="I62" s="381"/>
      <c r="J62" s="381"/>
    </row>
    <row r="63" spans="1:11" x14ac:dyDescent="0.3">
      <c r="A63" s="381" t="s">
        <v>17606</v>
      </c>
      <c r="B63" s="381"/>
      <c r="C63" s="381"/>
      <c r="D63" s="381"/>
      <c r="E63" s="381"/>
      <c r="F63" s="381"/>
      <c r="G63" s="381"/>
      <c r="H63" s="381"/>
      <c r="I63" s="381"/>
      <c r="J63" s="381"/>
    </row>
    <row r="64" spans="1:11" x14ac:dyDescent="0.3">
      <c r="A64" s="381" t="s">
        <v>17607</v>
      </c>
      <c r="B64" s="381"/>
      <c r="C64" s="381"/>
      <c r="D64" s="381"/>
      <c r="E64" s="381"/>
      <c r="F64" s="381"/>
      <c r="G64" s="381"/>
      <c r="H64" s="381"/>
      <c r="I64" s="381"/>
      <c r="J64" s="381"/>
    </row>
    <row r="65" spans="1:10" x14ac:dyDescent="0.3">
      <c r="A65" s="381" t="s">
        <v>17608</v>
      </c>
      <c r="B65" s="381"/>
      <c r="C65" s="381"/>
      <c r="D65" s="381"/>
      <c r="E65" s="381"/>
      <c r="F65" s="381"/>
      <c r="G65" s="381"/>
      <c r="H65" s="381"/>
      <c r="I65" s="381"/>
      <c r="J65" s="381"/>
    </row>
    <row r="66" spans="1:10" x14ac:dyDescent="0.3">
      <c r="A66" s="381" t="s">
        <v>17609</v>
      </c>
      <c r="B66" s="381"/>
      <c r="C66" s="381"/>
      <c r="D66" s="381"/>
      <c r="E66" s="381"/>
      <c r="F66" s="381"/>
      <c r="G66" s="381"/>
      <c r="H66" s="381"/>
      <c r="I66" s="381"/>
      <c r="J66" s="381"/>
    </row>
    <row r="67" spans="1:10" x14ac:dyDescent="0.3">
      <c r="A67" s="381" t="s">
        <v>17610</v>
      </c>
      <c r="B67" s="381"/>
      <c r="C67" s="381"/>
      <c r="D67" s="381"/>
      <c r="E67" s="381"/>
      <c r="F67" s="381"/>
      <c r="G67" s="381"/>
      <c r="H67" s="381"/>
      <c r="I67" s="381"/>
      <c r="J67" s="381"/>
    </row>
    <row r="68" spans="1:10" x14ac:dyDescent="0.3">
      <c r="A68" s="381"/>
      <c r="B68" s="381"/>
      <c r="C68" s="381"/>
      <c r="D68" s="381"/>
      <c r="E68" s="381"/>
      <c r="F68" s="381"/>
      <c r="G68" s="381"/>
      <c r="H68" s="381"/>
      <c r="I68" s="381"/>
      <c r="J68" s="381"/>
    </row>
    <row r="69" spans="1:10" ht="15.6" x14ac:dyDescent="0.3">
      <c r="A69" s="380" t="s">
        <v>17611</v>
      </c>
      <c r="B69" s="381"/>
      <c r="C69" s="381"/>
      <c r="D69" s="381"/>
      <c r="E69" s="381"/>
      <c r="F69" s="381"/>
      <c r="G69" s="381"/>
      <c r="H69" s="381"/>
      <c r="I69" s="381"/>
      <c r="J69" s="381"/>
    </row>
    <row r="70" spans="1:10" x14ac:dyDescent="0.3">
      <c r="A70" s="381"/>
      <c r="B70" s="381"/>
      <c r="C70" s="381"/>
      <c r="D70" s="381"/>
      <c r="E70" s="381"/>
      <c r="F70" s="381"/>
      <c r="G70" s="381"/>
      <c r="H70" s="381"/>
      <c r="I70" s="381"/>
      <c r="J70" s="381"/>
    </row>
    <row r="71" spans="1:10" x14ac:dyDescent="0.3">
      <c r="A71" s="382" t="s">
        <v>2</v>
      </c>
      <c r="B71" s="382" t="s">
        <v>1463</v>
      </c>
      <c r="C71" s="382" t="s">
        <v>17612</v>
      </c>
      <c r="D71" s="381"/>
      <c r="E71" s="381"/>
      <c r="F71" s="381"/>
      <c r="G71" s="381"/>
      <c r="H71" s="381"/>
      <c r="I71" s="381"/>
      <c r="J71" s="381"/>
    </row>
    <row r="72" spans="1:10" x14ac:dyDescent="0.3">
      <c r="A72" s="381" t="s">
        <v>1177</v>
      </c>
      <c r="B72" s="381" t="s">
        <v>17613</v>
      </c>
      <c r="C72" s="381" t="s">
        <v>17614</v>
      </c>
      <c r="D72" s="381"/>
      <c r="E72" s="381"/>
      <c r="F72" s="381"/>
      <c r="G72" s="381"/>
      <c r="H72" s="381"/>
      <c r="I72" s="381"/>
      <c r="J72" s="381"/>
    </row>
    <row r="73" spans="1:10" x14ac:dyDescent="0.3">
      <c r="A73" s="381" t="s">
        <v>1179</v>
      </c>
      <c r="B73" s="381" t="s">
        <v>17615</v>
      </c>
      <c r="C73" s="381" t="s">
        <v>17616</v>
      </c>
      <c r="D73" s="381"/>
      <c r="E73" s="381"/>
      <c r="F73" s="381"/>
      <c r="G73" s="381"/>
      <c r="H73" s="381"/>
      <c r="I73" s="381"/>
      <c r="J73" s="381"/>
    </row>
    <row r="74" spans="1:10" x14ac:dyDescent="0.3">
      <c r="A74" s="381" t="s">
        <v>14905</v>
      </c>
      <c r="B74" s="381" t="s">
        <v>17617</v>
      </c>
      <c r="C74" s="381" t="s">
        <v>17618</v>
      </c>
      <c r="D74" s="381"/>
      <c r="E74" s="381"/>
      <c r="F74" s="381"/>
      <c r="G74" s="381"/>
      <c r="H74" s="381"/>
      <c r="I74" s="381"/>
      <c r="J74" s="381"/>
    </row>
    <row r="75" spans="1:10" x14ac:dyDescent="0.3">
      <c r="A75" s="381" t="s">
        <v>14853</v>
      </c>
      <c r="B75" s="381" t="s">
        <v>17619</v>
      </c>
      <c r="C75" s="381" t="s">
        <v>17620</v>
      </c>
      <c r="D75" s="381"/>
      <c r="E75" s="381"/>
      <c r="F75" s="381"/>
      <c r="G75" s="381"/>
      <c r="H75" s="381"/>
      <c r="I75" s="381"/>
      <c r="J75" s="381"/>
    </row>
    <row r="76" spans="1:10" x14ac:dyDescent="0.3">
      <c r="A76" s="381" t="s">
        <v>1427</v>
      </c>
      <c r="B76" s="381" t="s">
        <v>17621</v>
      </c>
      <c r="C76" s="381" t="s">
        <v>17622</v>
      </c>
      <c r="D76" s="381"/>
      <c r="E76" s="381"/>
      <c r="F76" s="381"/>
      <c r="G76" s="381"/>
      <c r="H76" s="381"/>
      <c r="I76" s="381"/>
      <c r="J76" s="381"/>
    </row>
    <row r="77" spans="1:10" x14ac:dyDescent="0.3">
      <c r="A77" s="381"/>
      <c r="B77" s="381"/>
      <c r="C77" s="381"/>
      <c r="D77" s="381"/>
      <c r="E77" s="381"/>
      <c r="F77" s="381"/>
      <c r="G77" s="381"/>
      <c r="H77" s="381"/>
      <c r="I77" s="381"/>
      <c r="J77" s="381"/>
    </row>
    <row r="78" spans="1:10" ht="15.6" x14ac:dyDescent="0.3">
      <c r="A78" s="380" t="s">
        <v>17623</v>
      </c>
      <c r="B78" s="381"/>
      <c r="C78" s="381"/>
      <c r="D78" s="381"/>
      <c r="E78" s="381"/>
      <c r="F78" s="381"/>
      <c r="G78" s="381"/>
      <c r="H78" s="381"/>
      <c r="I78" s="381"/>
      <c r="J78" s="381"/>
    </row>
    <row r="79" spans="1:10" x14ac:dyDescent="0.3">
      <c r="A79" s="381"/>
      <c r="B79" s="381"/>
      <c r="C79" s="381"/>
      <c r="D79" s="381"/>
      <c r="E79" s="381"/>
      <c r="F79" s="381"/>
      <c r="G79" s="381"/>
      <c r="H79" s="381"/>
      <c r="I79" s="381"/>
      <c r="J79" s="381"/>
    </row>
    <row r="80" spans="1:10" x14ac:dyDescent="0.3">
      <c r="A80" s="381" t="s">
        <v>17624</v>
      </c>
      <c r="B80" s="381"/>
      <c r="C80" s="381"/>
      <c r="D80" s="381"/>
      <c r="E80" s="381"/>
      <c r="F80" s="381"/>
      <c r="G80" s="381"/>
      <c r="H80" s="381"/>
      <c r="I80" s="381"/>
      <c r="J80" s="381"/>
    </row>
    <row r="81" spans="1:10" x14ac:dyDescent="0.3">
      <c r="A81" s="381" t="s">
        <v>17625</v>
      </c>
      <c r="B81" s="381"/>
      <c r="C81" s="381"/>
      <c r="D81" s="381"/>
      <c r="E81" s="381"/>
      <c r="F81" s="381"/>
      <c r="G81" s="381"/>
      <c r="H81" s="381"/>
      <c r="I81" s="381"/>
      <c r="J81" s="381"/>
    </row>
    <row r="82" spans="1:10" x14ac:dyDescent="0.3">
      <c r="A82" s="381" t="s">
        <v>17626</v>
      </c>
      <c r="B82" s="381"/>
      <c r="C82" s="381"/>
      <c r="D82" s="381"/>
      <c r="E82" s="381"/>
      <c r="F82" s="381"/>
      <c r="G82" s="381"/>
      <c r="H82" s="381"/>
      <c r="I82" s="381"/>
      <c r="J82" s="381"/>
    </row>
    <row r="83" spans="1:10" x14ac:dyDescent="0.3">
      <c r="A83" s="381" t="s">
        <v>17627</v>
      </c>
      <c r="B83" s="381"/>
      <c r="C83" s="381"/>
      <c r="D83" s="381"/>
      <c r="E83" s="381"/>
      <c r="F83" s="381"/>
      <c r="G83" s="381"/>
      <c r="H83" s="381"/>
      <c r="I83" s="381"/>
      <c r="J83" s="381"/>
    </row>
    <row r="84" spans="1:10" x14ac:dyDescent="0.3">
      <c r="A84" s="381" t="s">
        <v>17628</v>
      </c>
      <c r="B84" s="381"/>
      <c r="C84" s="381"/>
      <c r="D84" s="381"/>
      <c r="E84" s="381"/>
      <c r="F84" s="381"/>
      <c r="G84" s="381"/>
      <c r="H84" s="381"/>
      <c r="I84" s="381"/>
      <c r="J84" s="381"/>
    </row>
    <row r="85" spans="1:10" x14ac:dyDescent="0.3">
      <c r="A85" s="381"/>
      <c r="B85" s="381"/>
      <c r="C85" s="381"/>
      <c r="D85" s="381"/>
      <c r="E85" s="381"/>
      <c r="F85" s="381"/>
      <c r="G85" s="381"/>
      <c r="H85" s="381"/>
      <c r="I85" s="381"/>
      <c r="J85" s="381"/>
    </row>
    <row r="86" spans="1:10" ht="15.6" x14ac:dyDescent="0.3">
      <c r="A86" s="380" t="s">
        <v>17629</v>
      </c>
      <c r="B86" s="381"/>
      <c r="C86" s="381"/>
      <c r="D86" s="381"/>
      <c r="E86" s="381"/>
      <c r="F86" s="381"/>
      <c r="G86" s="381"/>
      <c r="H86" s="381"/>
      <c r="I86" s="381"/>
      <c r="J86" s="381"/>
    </row>
    <row r="87" spans="1:10" x14ac:dyDescent="0.3">
      <c r="A87" s="381"/>
      <c r="B87" s="381"/>
      <c r="C87" s="381"/>
      <c r="D87" s="381"/>
      <c r="E87" s="381"/>
      <c r="F87" s="381"/>
      <c r="G87" s="381"/>
      <c r="H87" s="381"/>
      <c r="I87" s="381"/>
      <c r="J87" s="381"/>
    </row>
    <row r="88" spans="1:10" x14ac:dyDescent="0.3">
      <c r="A88" s="381" t="s">
        <v>17630</v>
      </c>
      <c r="B88" s="381"/>
      <c r="C88" s="381"/>
      <c r="D88" s="381"/>
      <c r="E88" s="381"/>
      <c r="F88" s="381"/>
      <c r="G88" s="381"/>
      <c r="H88" s="381"/>
      <c r="I88" s="381"/>
      <c r="J88" s="381"/>
    </row>
    <row r="89" spans="1:10" x14ac:dyDescent="0.3">
      <c r="A89" s="381" t="s">
        <v>17631</v>
      </c>
      <c r="B89" s="381"/>
      <c r="C89" s="381"/>
      <c r="D89" s="381"/>
      <c r="E89" s="381"/>
      <c r="F89" s="381"/>
      <c r="G89" s="381"/>
      <c r="H89" s="381"/>
      <c r="I89" s="381"/>
      <c r="J89" s="381"/>
    </row>
    <row r="90" spans="1:10" x14ac:dyDescent="0.3">
      <c r="A90" s="381" t="s">
        <v>17632</v>
      </c>
      <c r="B90" s="381"/>
      <c r="C90" s="381"/>
      <c r="D90" s="381"/>
      <c r="E90" s="381"/>
      <c r="F90" s="381"/>
      <c r="G90" s="381"/>
      <c r="H90" s="381"/>
      <c r="I90" s="381"/>
      <c r="J90" s="381"/>
    </row>
    <row r="91" spans="1:10" x14ac:dyDescent="0.3">
      <c r="A91" s="381" t="s">
        <v>17633</v>
      </c>
      <c r="B91" s="381"/>
      <c r="C91" s="381"/>
      <c r="D91" s="381"/>
      <c r="E91" s="381"/>
      <c r="F91" s="381"/>
      <c r="G91" s="381"/>
      <c r="H91" s="381"/>
      <c r="I91" s="381"/>
      <c r="J91" s="381"/>
    </row>
    <row r="92" spans="1:10" x14ac:dyDescent="0.3">
      <c r="A92" s="381"/>
      <c r="B92" s="381"/>
      <c r="C92" s="381"/>
      <c r="D92" s="381"/>
      <c r="E92" s="381"/>
      <c r="F92" s="381"/>
      <c r="G92" s="381"/>
      <c r="H92" s="381"/>
      <c r="I92" s="381"/>
      <c r="J92" s="381"/>
    </row>
    <row r="93" spans="1:10" x14ac:dyDescent="0.3">
      <c r="A93" s="381" t="s">
        <v>17533</v>
      </c>
      <c r="B93" s="381"/>
      <c r="C93" s="381"/>
      <c r="D93" s="381"/>
      <c r="E93" s="381"/>
      <c r="F93" s="381"/>
      <c r="G93" s="381"/>
      <c r="H93" s="381"/>
      <c r="I93" s="381"/>
      <c r="J93" s="381"/>
    </row>
    <row r="94" spans="1:10" x14ac:dyDescent="0.3">
      <c r="A94" s="381" t="s">
        <v>17634</v>
      </c>
      <c r="B94" s="381"/>
      <c r="C94" s="381"/>
      <c r="D94" s="381"/>
      <c r="E94" s="381"/>
      <c r="F94" s="381"/>
      <c r="G94" s="381"/>
      <c r="H94" s="381"/>
      <c r="I94" s="381"/>
      <c r="J94" s="381"/>
    </row>
    <row r="95" spans="1:10" x14ac:dyDescent="0.3">
      <c r="A95" s="381" t="s">
        <v>17635</v>
      </c>
      <c r="B95" s="381"/>
      <c r="C95" s="381"/>
      <c r="D95" s="381"/>
      <c r="E95" s="381"/>
      <c r="F95" s="381"/>
      <c r="G95" s="381"/>
      <c r="H95" s="381"/>
      <c r="I95" s="381"/>
      <c r="J95" s="381"/>
    </row>
    <row r="96" spans="1:10" x14ac:dyDescent="0.3">
      <c r="A96" s="381" t="s">
        <v>17636</v>
      </c>
      <c r="B96" s="381"/>
      <c r="C96" s="381"/>
      <c r="D96" s="381"/>
      <c r="E96" s="381"/>
      <c r="F96" s="381"/>
      <c r="G96" s="381"/>
      <c r="H96" s="381"/>
      <c r="I96" s="381"/>
      <c r="J96" s="381"/>
    </row>
    <row r="97" spans="1:10" x14ac:dyDescent="0.3">
      <c r="A97" s="381"/>
      <c r="B97" s="381"/>
      <c r="C97" s="381"/>
      <c r="D97" s="381"/>
      <c r="E97" s="381"/>
      <c r="F97" s="381"/>
      <c r="G97" s="381"/>
      <c r="H97" s="381"/>
      <c r="I97" s="381"/>
      <c r="J97" s="381"/>
    </row>
    <row r="98" spans="1:10" x14ac:dyDescent="0.3">
      <c r="A98" s="381" t="s">
        <v>17637</v>
      </c>
      <c r="B98" s="381"/>
      <c r="C98" s="381"/>
      <c r="D98" s="381"/>
      <c r="E98" s="381"/>
      <c r="F98" s="381"/>
      <c r="G98" s="381"/>
      <c r="H98" s="381"/>
      <c r="I98" s="381"/>
      <c r="J98" s="381"/>
    </row>
    <row r="99" spans="1:10" x14ac:dyDescent="0.3">
      <c r="A99" s="381" t="s">
        <v>17638</v>
      </c>
      <c r="B99" s="381"/>
      <c r="C99" s="381"/>
      <c r="D99" s="381"/>
      <c r="E99" s="381"/>
      <c r="F99" s="381"/>
      <c r="G99" s="381"/>
      <c r="H99" s="381"/>
      <c r="I99" s="381"/>
      <c r="J99" s="381"/>
    </row>
    <row r="100" spans="1:10" x14ac:dyDescent="0.3">
      <c r="A100" s="381" t="s">
        <v>17639</v>
      </c>
      <c r="B100" s="381"/>
      <c r="C100" s="381"/>
      <c r="D100" s="381"/>
      <c r="E100" s="381"/>
      <c r="F100" s="381"/>
      <c r="G100" s="381"/>
      <c r="H100" s="381"/>
      <c r="I100" s="381"/>
      <c r="J100" s="381"/>
    </row>
    <row r="101" spans="1:10" x14ac:dyDescent="0.3">
      <c r="A101" s="381" t="s">
        <v>17640</v>
      </c>
      <c r="B101" s="381"/>
      <c r="C101" s="381"/>
      <c r="D101" s="381"/>
      <c r="E101" s="381"/>
      <c r="F101" s="381"/>
      <c r="G101" s="381"/>
      <c r="H101" s="381"/>
      <c r="I101" s="381"/>
      <c r="J101" s="381"/>
    </row>
    <row r="102" spans="1:10" x14ac:dyDescent="0.3">
      <c r="A102" s="381"/>
      <c r="B102" s="381"/>
      <c r="C102" s="381"/>
      <c r="D102" s="381"/>
      <c r="E102" s="381"/>
      <c r="F102" s="381"/>
      <c r="G102" s="381"/>
      <c r="H102" s="381"/>
      <c r="I102" s="381"/>
      <c r="J102" s="381"/>
    </row>
    <row r="103" spans="1:10" x14ac:dyDescent="0.3">
      <c r="A103" s="458" t="s">
        <v>17541</v>
      </c>
      <c r="B103" s="381"/>
      <c r="C103" s="381"/>
      <c r="D103" s="381"/>
      <c r="E103" s="381"/>
      <c r="F103" s="381"/>
      <c r="G103" s="381"/>
      <c r="H103" s="381"/>
      <c r="I103" s="381"/>
      <c r="J103" s="381"/>
    </row>
    <row r="104" spans="1:10" x14ac:dyDescent="0.3">
      <c r="A104" s="381"/>
      <c r="B104" s="381"/>
      <c r="C104" s="381"/>
      <c r="D104" s="381"/>
      <c r="E104" s="381"/>
      <c r="F104" s="381"/>
      <c r="G104" s="381"/>
      <c r="H104" s="381"/>
      <c r="I104" s="381"/>
      <c r="J104" s="381"/>
    </row>
    <row r="105" spans="1:10" x14ac:dyDescent="0.3">
      <c r="A105" s="381" t="s">
        <v>17641</v>
      </c>
      <c r="B105" s="381"/>
      <c r="C105" s="381"/>
      <c r="D105" s="381"/>
      <c r="E105" s="381"/>
      <c r="F105" s="381"/>
      <c r="G105" s="381"/>
      <c r="H105" s="381"/>
      <c r="I105" s="381"/>
      <c r="J105" s="381"/>
    </row>
    <row r="106" spans="1:10" x14ac:dyDescent="0.3">
      <c r="A106" s="381" t="s">
        <v>17642</v>
      </c>
      <c r="B106" s="381"/>
      <c r="C106" s="381"/>
      <c r="D106" s="381"/>
      <c r="E106" s="381"/>
      <c r="F106" s="381"/>
      <c r="G106" s="381"/>
      <c r="H106" s="381"/>
      <c r="I106" s="381"/>
      <c r="J106" s="381"/>
    </row>
    <row r="107" spans="1:10" x14ac:dyDescent="0.3">
      <c r="A107" s="381" t="s">
        <v>17643</v>
      </c>
      <c r="B107" s="381"/>
      <c r="C107" s="381"/>
      <c r="D107" s="381"/>
      <c r="E107" s="381"/>
      <c r="F107" s="381"/>
      <c r="G107" s="381"/>
      <c r="H107" s="381"/>
      <c r="I107" s="381"/>
      <c r="J107" s="381"/>
    </row>
    <row r="108" spans="1:10" x14ac:dyDescent="0.3">
      <c r="A108" s="381" t="s">
        <v>17644</v>
      </c>
      <c r="B108" s="381"/>
      <c r="C108" s="381"/>
      <c r="D108" s="381"/>
      <c r="E108" s="381"/>
      <c r="F108" s="381"/>
      <c r="G108" s="381"/>
      <c r="H108" s="381"/>
      <c r="I108" s="381"/>
      <c r="J108" s="381"/>
    </row>
    <row r="109" spans="1:10" x14ac:dyDescent="0.3">
      <c r="A109" s="381" t="s">
        <v>17645</v>
      </c>
      <c r="B109" s="381"/>
      <c r="C109" s="381"/>
      <c r="D109" s="381"/>
      <c r="E109" s="381"/>
      <c r="F109" s="381"/>
      <c r="G109" s="381"/>
      <c r="H109" s="381"/>
      <c r="I109" s="381"/>
      <c r="J109" s="381"/>
    </row>
    <row r="110" spans="1:10" x14ac:dyDescent="0.3">
      <c r="A110" s="381" t="s">
        <v>17646</v>
      </c>
      <c r="B110" s="381"/>
      <c r="C110" s="381"/>
      <c r="D110" s="381"/>
      <c r="E110" s="381"/>
      <c r="F110" s="381"/>
      <c r="G110" s="381"/>
      <c r="H110" s="381"/>
      <c r="I110" s="381"/>
      <c r="J110" s="381"/>
    </row>
  </sheetData>
  <mergeCells count="3">
    <mergeCell ref="A1:I1"/>
    <mergeCell ref="A47:K47"/>
    <mergeCell ref="A57:J57"/>
  </mergeCells>
  <conditionalFormatting sqref="A4:J46 A47 A48:J56 A57 A58:J110">
    <cfRule type="expression" dxfId="31" priority="1">
      <formula>OR(AND($C$2&lt;&gt;"All",$F4&lt;&gt;$C$2),AND($E$2&lt;&gt;"All",$G4&lt;&gt;$E$2),AND($G$2&lt;&gt;"All",$H4&lt;&gt;$G$2))</formula>
    </cfRule>
  </conditionalFormatting>
  <dataValidations count="3">
    <dataValidation type="list" allowBlank="1" showInputMessage="1" showErrorMessage="1" sqref="G2" xr:uid="{6BA2F564-6A0D-4C6C-94E0-76799C924D4D}">
      <formula1>"All,Release Delay,Partial Functionality,Feature Degradation,Data Sync Issue,Critical Blocker"</formula1>
    </dataValidation>
    <dataValidation type="list" allowBlank="1" showInputMessage="1" showErrorMessage="1" sqref="E2" xr:uid="{33655E5F-D10B-4F29-A760-395FC405179D}">
      <formula1>"All,Clear,Blocked,At Risk,Resolved"</formula1>
    </dataValidation>
    <dataValidation type="list" allowBlank="1" showInputMessage="1" showErrorMessage="1" sqref="C2" xr:uid="{4DB67D89-4C74-4D00-9DD1-526C20DCCEB5}">
      <formula1>"All,Hard,Soft,External,Internal"</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2F80-C3C1-4EAF-A548-3040D2550730}">
  <sheetPr>
    <tabColor theme="5"/>
  </sheetPr>
  <dimension ref="A1:L44"/>
  <sheetViews>
    <sheetView topLeftCell="A20" workbookViewId="0">
      <selection activeCell="A8" sqref="A8:K8"/>
    </sheetView>
  </sheetViews>
  <sheetFormatPr defaultRowHeight="14.4" x14ac:dyDescent="0.3"/>
  <cols>
    <col min="1" max="1" width="14.77734375" customWidth="1"/>
    <col min="2" max="3" width="18.5546875" customWidth="1"/>
    <col min="4" max="4" width="22.21875" customWidth="1"/>
    <col min="5" max="6" width="14.77734375" customWidth="1"/>
    <col min="7" max="7" width="33.33203125" customWidth="1"/>
    <col min="8" max="8" width="24.109375" customWidth="1"/>
    <col min="9" max="9" width="33.33203125" customWidth="1"/>
    <col min="10" max="10" width="35.5546875" customWidth="1"/>
    <col min="11" max="11" width="46.33203125" customWidth="1"/>
  </cols>
  <sheetData>
    <row r="1" spans="1:12" ht="30" customHeight="1" x14ac:dyDescent="0.45">
      <c r="A1" s="444" t="s">
        <v>16419</v>
      </c>
      <c r="B1" s="444"/>
      <c r="C1" s="444"/>
      <c r="D1" s="444"/>
      <c r="E1" s="444"/>
      <c r="F1" s="444"/>
      <c r="G1" s="444"/>
      <c r="H1" s="444"/>
      <c r="I1" s="444"/>
      <c r="J1" s="444"/>
    </row>
    <row r="3" spans="1:12" ht="49.95" customHeight="1" x14ac:dyDescent="0.3">
      <c r="A3" s="445" t="s">
        <v>17099</v>
      </c>
      <c r="B3" s="445"/>
      <c r="C3" s="445"/>
      <c r="D3" s="445"/>
      <c r="E3" s="445"/>
      <c r="F3" s="445"/>
      <c r="G3" s="445"/>
      <c r="H3" s="445"/>
      <c r="I3" s="445"/>
      <c r="J3" s="445"/>
    </row>
    <row r="5" spans="1:12" x14ac:dyDescent="0.3">
      <c r="A5" s="216" t="s">
        <v>16091</v>
      </c>
      <c r="B5" s="216"/>
      <c r="C5" s="446" t="s">
        <v>16564</v>
      </c>
      <c r="D5" s="447" t="s">
        <v>16095</v>
      </c>
      <c r="E5" s="446" t="s">
        <v>17100</v>
      </c>
      <c r="F5" s="447" t="s">
        <v>16095</v>
      </c>
      <c r="G5" s="446" t="s">
        <v>17101</v>
      </c>
      <c r="H5" s="447" t="s">
        <v>16095</v>
      </c>
      <c r="I5" s="446" t="s">
        <v>16094</v>
      </c>
      <c r="J5" s="447" t="s">
        <v>16095</v>
      </c>
    </row>
    <row r="6" spans="1:12" x14ac:dyDescent="0.3">
      <c r="A6" t="s">
        <v>16099</v>
      </c>
      <c r="B6" s="219" t="s">
        <v>17102</v>
      </c>
      <c r="C6" s="219"/>
      <c r="D6" s="219"/>
    </row>
    <row r="8" spans="1:12" ht="25.05" customHeight="1" x14ac:dyDescent="0.3">
      <c r="A8" s="448" t="s">
        <v>16571</v>
      </c>
      <c r="B8" s="448" t="s">
        <v>1068</v>
      </c>
      <c r="C8" s="448" t="s">
        <v>1131</v>
      </c>
      <c r="D8" s="448" t="s">
        <v>17103</v>
      </c>
      <c r="E8" s="448" t="s">
        <v>17104</v>
      </c>
      <c r="F8" s="448" t="s">
        <v>17105</v>
      </c>
      <c r="G8" s="448" t="s">
        <v>1542</v>
      </c>
      <c r="H8" s="448" t="s">
        <v>15432</v>
      </c>
      <c r="I8" s="448" t="s">
        <v>17106</v>
      </c>
      <c r="J8" s="448" t="s">
        <v>17107</v>
      </c>
      <c r="K8" s="448" t="s">
        <v>1245</v>
      </c>
      <c r="L8" s="495" t="s">
        <v>19546</v>
      </c>
    </row>
    <row r="9" spans="1:12" x14ac:dyDescent="0.3">
      <c r="A9" s="224" t="s">
        <v>16117</v>
      </c>
      <c r="B9" s="224" t="s">
        <v>1220</v>
      </c>
      <c r="C9" s="224" t="s">
        <v>1134</v>
      </c>
      <c r="D9" s="224" t="s">
        <v>15953</v>
      </c>
      <c r="E9" s="224" t="s">
        <v>15290</v>
      </c>
      <c r="F9" s="224" t="s">
        <v>15294</v>
      </c>
      <c r="G9" s="224" t="s">
        <v>17108</v>
      </c>
      <c r="H9" s="224" t="s">
        <v>17109</v>
      </c>
      <c r="I9" s="224" t="s">
        <v>17110</v>
      </c>
      <c r="J9" s="224" t="s">
        <v>14541</v>
      </c>
      <c r="K9" s="224" t="s">
        <v>17111</v>
      </c>
      <c r="L9" t="s">
        <v>19547</v>
      </c>
    </row>
    <row r="10" spans="1:12" x14ac:dyDescent="0.3">
      <c r="A10" s="224" t="s">
        <v>17112</v>
      </c>
      <c r="B10" s="224" t="s">
        <v>1224</v>
      </c>
      <c r="C10" s="224" t="s">
        <v>1134</v>
      </c>
      <c r="D10" s="224" t="s">
        <v>16083</v>
      </c>
      <c r="E10" s="224" t="s">
        <v>15294</v>
      </c>
      <c r="F10" s="224" t="s">
        <v>15302</v>
      </c>
      <c r="G10" s="224" t="s">
        <v>17113</v>
      </c>
      <c r="H10" s="224" t="s">
        <v>17114</v>
      </c>
      <c r="I10" s="224" t="s">
        <v>17110</v>
      </c>
      <c r="J10" s="224" t="s">
        <v>14541</v>
      </c>
      <c r="K10" s="224" t="s">
        <v>17115</v>
      </c>
      <c r="L10" t="s">
        <v>19547</v>
      </c>
    </row>
    <row r="11" spans="1:12" x14ac:dyDescent="0.3">
      <c r="A11" s="224" t="s">
        <v>16134</v>
      </c>
      <c r="B11" s="224" t="s">
        <v>1232</v>
      </c>
      <c r="C11" s="224" t="s">
        <v>1132</v>
      </c>
      <c r="D11" s="224" t="s">
        <v>16086</v>
      </c>
      <c r="E11" s="224" t="s">
        <v>15298</v>
      </c>
      <c r="F11" s="224" t="s">
        <v>15308</v>
      </c>
      <c r="G11" s="224" t="s">
        <v>17116</v>
      </c>
      <c r="H11" s="224" t="s">
        <v>17117</v>
      </c>
      <c r="I11" s="224" t="s">
        <v>17118</v>
      </c>
      <c r="J11" s="224" t="s">
        <v>14541</v>
      </c>
      <c r="K11" s="224" t="s">
        <v>19439</v>
      </c>
      <c r="L11" t="s">
        <v>19547</v>
      </c>
    </row>
    <row r="12" spans="1:12" x14ac:dyDescent="0.3">
      <c r="A12" s="224" t="s">
        <v>16158</v>
      </c>
      <c r="B12" s="224" t="s">
        <v>17119</v>
      </c>
      <c r="C12" s="224" t="s">
        <v>1134</v>
      </c>
      <c r="D12" s="224" t="s">
        <v>16089</v>
      </c>
      <c r="E12" s="224" t="s">
        <v>15302</v>
      </c>
      <c r="F12" s="224" t="s">
        <v>15312</v>
      </c>
      <c r="G12" s="224" t="s">
        <v>17120</v>
      </c>
      <c r="H12" s="224" t="s">
        <v>17121</v>
      </c>
      <c r="I12" s="224" t="s">
        <v>17110</v>
      </c>
      <c r="J12" s="224" t="s">
        <v>14541</v>
      </c>
      <c r="K12" s="224" t="s">
        <v>17122</v>
      </c>
      <c r="L12" t="s">
        <v>19547</v>
      </c>
    </row>
    <row r="13" spans="1:12" x14ac:dyDescent="0.3">
      <c r="A13" s="224" t="s">
        <v>16151</v>
      </c>
      <c r="B13" s="224" t="s">
        <v>1232</v>
      </c>
      <c r="C13" s="224" t="s">
        <v>1134</v>
      </c>
      <c r="D13" s="224" t="s">
        <v>15953</v>
      </c>
      <c r="E13" s="224" t="s">
        <v>15306</v>
      </c>
      <c r="F13" s="224" t="s">
        <v>16165</v>
      </c>
      <c r="G13" s="224" t="s">
        <v>17123</v>
      </c>
      <c r="H13" s="224" t="s">
        <v>17124</v>
      </c>
      <c r="I13" s="224" t="s">
        <v>16113</v>
      </c>
      <c r="J13" s="224" t="s">
        <v>14536</v>
      </c>
      <c r="K13" s="224" t="s">
        <v>19441</v>
      </c>
      <c r="L13" t="s">
        <v>19547</v>
      </c>
    </row>
    <row r="14" spans="1:12" x14ac:dyDescent="0.3">
      <c r="A14" s="224" t="s">
        <v>16156</v>
      </c>
      <c r="B14" s="224" t="s">
        <v>1228</v>
      </c>
      <c r="C14" s="224" t="s">
        <v>1132</v>
      </c>
      <c r="D14" s="224" t="s">
        <v>16083</v>
      </c>
      <c r="E14" s="224" t="s">
        <v>15310</v>
      </c>
      <c r="F14" s="224" t="s">
        <v>16165</v>
      </c>
      <c r="G14" s="224" t="s">
        <v>17125</v>
      </c>
      <c r="H14" s="224" t="s">
        <v>17126</v>
      </c>
      <c r="I14" s="224" t="s">
        <v>17127</v>
      </c>
      <c r="J14" s="224" t="s">
        <v>14541</v>
      </c>
      <c r="K14" s="224" t="s">
        <v>17128</v>
      </c>
      <c r="L14" t="s">
        <v>19547</v>
      </c>
    </row>
    <row r="15" spans="1:12" x14ac:dyDescent="0.3">
      <c r="A15" s="224" t="s">
        <v>16163</v>
      </c>
      <c r="B15" s="224" t="s">
        <v>1220</v>
      </c>
      <c r="C15" s="224" t="s">
        <v>1134</v>
      </c>
      <c r="D15" s="224" t="s">
        <v>16086</v>
      </c>
      <c r="E15" s="224" t="s">
        <v>16160</v>
      </c>
      <c r="F15" s="224" t="s">
        <v>16168</v>
      </c>
      <c r="G15" s="224" t="s">
        <v>17129</v>
      </c>
      <c r="H15" s="224" t="s">
        <v>17130</v>
      </c>
      <c r="I15" s="224" t="s">
        <v>17131</v>
      </c>
      <c r="J15" s="224" t="s">
        <v>14541</v>
      </c>
      <c r="K15" s="224" t="s">
        <v>17132</v>
      </c>
      <c r="L15" t="s">
        <v>19547</v>
      </c>
    </row>
    <row r="16" spans="1:12" x14ac:dyDescent="0.3">
      <c r="A16" s="224" t="s">
        <v>17133</v>
      </c>
      <c r="B16" s="224" t="s">
        <v>1224</v>
      </c>
      <c r="C16" s="224" t="s">
        <v>1136</v>
      </c>
      <c r="D16" s="224" t="s">
        <v>16089</v>
      </c>
      <c r="E16" s="224" t="s">
        <v>16168</v>
      </c>
      <c r="F16" s="224" t="s">
        <v>16174</v>
      </c>
      <c r="G16" s="224" t="s">
        <v>17134</v>
      </c>
      <c r="H16" s="224" t="s">
        <v>17135</v>
      </c>
      <c r="I16" s="224" t="s">
        <v>17131</v>
      </c>
      <c r="J16" s="224" t="s">
        <v>14541</v>
      </c>
      <c r="K16" s="224" t="s">
        <v>17136</v>
      </c>
      <c r="L16" t="s">
        <v>19547</v>
      </c>
    </row>
    <row r="17" spans="1:12" x14ac:dyDescent="0.3">
      <c r="A17" s="224" t="s">
        <v>16186</v>
      </c>
      <c r="B17" s="224" t="s">
        <v>1220</v>
      </c>
      <c r="C17" s="224" t="s">
        <v>1136</v>
      </c>
      <c r="D17" s="224" t="s">
        <v>15953</v>
      </c>
      <c r="E17" s="224" t="s">
        <v>16182</v>
      </c>
      <c r="F17" s="224" t="s">
        <v>16191</v>
      </c>
      <c r="G17" s="224" t="s">
        <v>17137</v>
      </c>
      <c r="H17" s="224" t="s">
        <v>17138</v>
      </c>
      <c r="I17" s="224" t="s">
        <v>17139</v>
      </c>
      <c r="J17" s="224" t="s">
        <v>14541</v>
      </c>
      <c r="K17" s="224" t="s">
        <v>17140</v>
      </c>
      <c r="L17" t="s">
        <v>19547</v>
      </c>
    </row>
    <row r="18" spans="1:12" x14ac:dyDescent="0.3">
      <c r="A18" s="224" t="s">
        <v>16195</v>
      </c>
      <c r="B18" s="224" t="s">
        <v>1232</v>
      </c>
      <c r="C18" s="224" t="s">
        <v>1134</v>
      </c>
      <c r="D18" s="224" t="s">
        <v>16083</v>
      </c>
      <c r="E18" s="224" t="s">
        <v>16174</v>
      </c>
      <c r="F18" s="224" t="s">
        <v>16194</v>
      </c>
      <c r="G18" s="224" t="s">
        <v>17141</v>
      </c>
      <c r="H18" s="224" t="s">
        <v>17124</v>
      </c>
      <c r="I18" s="224" t="s">
        <v>17131</v>
      </c>
      <c r="J18" s="224" t="s">
        <v>14541</v>
      </c>
      <c r="K18" s="224" t="s">
        <v>17142</v>
      </c>
      <c r="L18" t="s">
        <v>19547</v>
      </c>
    </row>
    <row r="19" spans="1:12" x14ac:dyDescent="0.3">
      <c r="A19" s="224" t="s">
        <v>16211</v>
      </c>
      <c r="B19" s="224" t="s">
        <v>1220</v>
      </c>
      <c r="C19" s="224" t="s">
        <v>1134</v>
      </c>
      <c r="D19" s="224" t="s">
        <v>16086</v>
      </c>
      <c r="E19" s="224" t="s">
        <v>16191</v>
      </c>
      <c r="F19" s="224" t="s">
        <v>16210</v>
      </c>
      <c r="G19" s="224" t="s">
        <v>17143</v>
      </c>
      <c r="H19" s="224" t="s">
        <v>17117</v>
      </c>
      <c r="I19" s="224" t="s">
        <v>17139</v>
      </c>
      <c r="J19" s="224" t="s">
        <v>14541</v>
      </c>
      <c r="K19" s="224" t="s">
        <v>17144</v>
      </c>
      <c r="L19" t="s">
        <v>19547</v>
      </c>
    </row>
    <row r="20" spans="1:12" x14ac:dyDescent="0.3">
      <c r="A20" s="224" t="s">
        <v>16201</v>
      </c>
      <c r="B20" s="224" t="s">
        <v>17119</v>
      </c>
      <c r="C20" s="224" t="s">
        <v>1136</v>
      </c>
      <c r="D20" s="224" t="s">
        <v>16089</v>
      </c>
      <c r="E20" s="224" t="s">
        <v>16197</v>
      </c>
      <c r="F20" s="224" t="s">
        <v>16213</v>
      </c>
      <c r="G20" s="224" t="s">
        <v>17145</v>
      </c>
      <c r="H20" s="224" t="s">
        <v>17146</v>
      </c>
      <c r="I20" s="224" t="s">
        <v>17147</v>
      </c>
      <c r="J20" s="224" t="s">
        <v>14541</v>
      </c>
      <c r="K20" s="224" t="s">
        <v>17148</v>
      </c>
      <c r="L20" t="s">
        <v>19547</v>
      </c>
    </row>
    <row r="21" spans="1:12" x14ac:dyDescent="0.3">
      <c r="A21" s="224" t="s">
        <v>16255</v>
      </c>
      <c r="B21" s="224" t="s">
        <v>1224</v>
      </c>
      <c r="C21" s="224" t="s">
        <v>1134</v>
      </c>
      <c r="D21" s="224" t="s">
        <v>15953</v>
      </c>
      <c r="E21" s="224" t="s">
        <v>16253</v>
      </c>
      <c r="F21" s="224" t="s">
        <v>16259</v>
      </c>
      <c r="G21" s="224" t="s">
        <v>17149</v>
      </c>
      <c r="H21" s="224" t="s">
        <v>17109</v>
      </c>
      <c r="I21" s="224" t="s">
        <v>17110</v>
      </c>
      <c r="J21" s="224" t="s">
        <v>14526</v>
      </c>
      <c r="K21" s="224" t="s">
        <v>17150</v>
      </c>
      <c r="L21" t="s">
        <v>19547</v>
      </c>
    </row>
    <row r="22" spans="1:12" x14ac:dyDescent="0.3">
      <c r="A22" s="224" t="s">
        <v>16298</v>
      </c>
      <c r="B22" s="224" t="s">
        <v>1220</v>
      </c>
      <c r="C22" s="224" t="s">
        <v>1136</v>
      </c>
      <c r="D22" s="224" t="s">
        <v>16083</v>
      </c>
      <c r="E22" s="224" t="s">
        <v>16296</v>
      </c>
      <c r="F22" s="224" t="s">
        <v>16302</v>
      </c>
      <c r="G22" s="224" t="s">
        <v>17151</v>
      </c>
      <c r="H22" s="224" t="s">
        <v>17152</v>
      </c>
      <c r="I22" s="224" t="s">
        <v>17153</v>
      </c>
      <c r="J22" s="224" t="s">
        <v>14526</v>
      </c>
      <c r="K22" s="224" t="s">
        <v>17154</v>
      </c>
      <c r="L22" t="s">
        <v>19547</v>
      </c>
    </row>
    <row r="23" spans="1:12" x14ac:dyDescent="0.3">
      <c r="A23" s="224" t="s">
        <v>16328</v>
      </c>
      <c r="B23" s="224" t="s">
        <v>1224</v>
      </c>
      <c r="C23" s="224" t="s">
        <v>1134</v>
      </c>
      <c r="D23" s="224" t="s">
        <v>16086</v>
      </c>
      <c r="E23" s="224" t="s">
        <v>16325</v>
      </c>
      <c r="F23" s="224" t="s">
        <v>16332</v>
      </c>
      <c r="G23" s="224" t="s">
        <v>17155</v>
      </c>
      <c r="H23" s="224" t="s">
        <v>17156</v>
      </c>
      <c r="I23" s="224" t="s">
        <v>17157</v>
      </c>
      <c r="J23" s="224" t="s">
        <v>14526</v>
      </c>
      <c r="K23" s="224" t="s">
        <v>17158</v>
      </c>
      <c r="L23" t="s">
        <v>19547</v>
      </c>
    </row>
    <row r="24" spans="1:12" x14ac:dyDescent="0.3">
      <c r="A24" s="224" t="s">
        <v>16341</v>
      </c>
      <c r="B24" s="224" t="s">
        <v>1228</v>
      </c>
      <c r="C24" s="224" t="s">
        <v>1132</v>
      </c>
      <c r="D24" s="224" t="s">
        <v>16089</v>
      </c>
      <c r="E24" s="224" t="s">
        <v>16339</v>
      </c>
      <c r="F24" s="224" t="s">
        <v>16345</v>
      </c>
      <c r="G24" s="224" t="s">
        <v>17159</v>
      </c>
      <c r="H24" s="224" t="s">
        <v>17135</v>
      </c>
      <c r="I24" s="224" t="s">
        <v>17160</v>
      </c>
      <c r="J24" s="224" t="s">
        <v>14526</v>
      </c>
      <c r="K24" s="224" t="s">
        <v>17161</v>
      </c>
      <c r="L24" t="s">
        <v>19547</v>
      </c>
    </row>
    <row r="25" spans="1:12" x14ac:dyDescent="0.3">
      <c r="A25" s="224" t="s">
        <v>17162</v>
      </c>
      <c r="B25" s="224" t="s">
        <v>1232</v>
      </c>
      <c r="C25" s="224" t="s">
        <v>1136</v>
      </c>
      <c r="D25" s="224" t="s">
        <v>15953</v>
      </c>
      <c r="E25" s="224" t="s">
        <v>15298</v>
      </c>
      <c r="F25" s="224" t="s">
        <v>15308</v>
      </c>
      <c r="G25" s="224" t="s">
        <v>17116</v>
      </c>
      <c r="H25" s="224" t="s">
        <v>17117</v>
      </c>
      <c r="I25" s="224" t="s">
        <v>17118</v>
      </c>
      <c r="J25" s="224" t="s">
        <v>14541</v>
      </c>
      <c r="K25" s="224" t="s">
        <v>19440</v>
      </c>
      <c r="L25" t="s">
        <v>19547</v>
      </c>
    </row>
    <row r="26" spans="1:12" x14ac:dyDescent="0.3">
      <c r="A26" s="224" t="s">
        <v>17163</v>
      </c>
      <c r="B26" s="224" t="s">
        <v>1232</v>
      </c>
      <c r="C26" s="224" t="s">
        <v>1134</v>
      </c>
      <c r="D26" s="224" t="s">
        <v>16083</v>
      </c>
      <c r="E26" s="224" t="s">
        <v>15306</v>
      </c>
      <c r="F26" s="224" t="s">
        <v>15310</v>
      </c>
      <c r="G26" s="224" t="s">
        <v>17164</v>
      </c>
      <c r="H26" s="224" t="s">
        <v>17109</v>
      </c>
      <c r="I26" s="224" t="s">
        <v>17165</v>
      </c>
      <c r="J26" s="224" t="s">
        <v>14521</v>
      </c>
      <c r="K26" s="224" t="s">
        <v>19441</v>
      </c>
      <c r="L26" t="s">
        <v>19547</v>
      </c>
    </row>
    <row r="27" spans="1:12" x14ac:dyDescent="0.3">
      <c r="A27" s="224" t="s">
        <v>17166</v>
      </c>
      <c r="B27" s="224" t="s">
        <v>1220</v>
      </c>
      <c r="C27" s="224" t="s">
        <v>1136</v>
      </c>
      <c r="D27" s="224" t="s">
        <v>16086</v>
      </c>
      <c r="E27" s="224" t="s">
        <v>16165</v>
      </c>
      <c r="F27" s="224" t="s">
        <v>15310</v>
      </c>
      <c r="G27" s="224" t="s">
        <v>17167</v>
      </c>
      <c r="H27" s="224" t="s">
        <v>17168</v>
      </c>
      <c r="I27" s="224" t="s">
        <v>17127</v>
      </c>
      <c r="J27" s="224" t="s">
        <v>14541</v>
      </c>
      <c r="K27" s="224" t="s">
        <v>17169</v>
      </c>
      <c r="L27" t="s">
        <v>19547</v>
      </c>
    </row>
    <row r="28" spans="1:12" x14ac:dyDescent="0.3">
      <c r="A28" s="224" t="s">
        <v>17170</v>
      </c>
      <c r="B28" s="224" t="s">
        <v>1232</v>
      </c>
      <c r="C28" s="224" t="s">
        <v>1134</v>
      </c>
      <c r="D28" s="224" t="s">
        <v>16089</v>
      </c>
      <c r="E28" s="224" t="s">
        <v>15312</v>
      </c>
      <c r="F28" s="224" t="s">
        <v>15302</v>
      </c>
      <c r="G28" s="224" t="s">
        <v>17171</v>
      </c>
      <c r="H28" s="224" t="s">
        <v>17172</v>
      </c>
      <c r="I28" s="224" t="s">
        <v>17110</v>
      </c>
      <c r="J28" s="224" t="s">
        <v>14541</v>
      </c>
      <c r="K28" s="224" t="s">
        <v>17173</v>
      </c>
      <c r="L28" t="s">
        <v>19547</v>
      </c>
    </row>
    <row r="29" spans="1:12" x14ac:dyDescent="0.3">
      <c r="A29" s="224" t="s">
        <v>17174</v>
      </c>
      <c r="B29" s="224" t="s">
        <v>1224</v>
      </c>
      <c r="C29" s="224" t="s">
        <v>1136</v>
      </c>
      <c r="D29" s="224" t="s">
        <v>15953</v>
      </c>
      <c r="E29" s="224" t="s">
        <v>16210</v>
      </c>
      <c r="F29" s="224" t="s">
        <v>16182</v>
      </c>
      <c r="G29" s="224" t="s">
        <v>17175</v>
      </c>
      <c r="H29" s="224" t="s">
        <v>17176</v>
      </c>
      <c r="I29" s="224" t="s">
        <v>17139</v>
      </c>
      <c r="J29" s="224" t="s">
        <v>14541</v>
      </c>
      <c r="K29" s="224" t="s">
        <v>17177</v>
      </c>
      <c r="L29" t="s">
        <v>19547</v>
      </c>
    </row>
    <row r="30" spans="1:12" x14ac:dyDescent="0.3">
      <c r="A30" s="224" t="s">
        <v>17178</v>
      </c>
      <c r="B30" s="224" t="s">
        <v>1220</v>
      </c>
      <c r="C30" s="224" t="s">
        <v>1134</v>
      </c>
      <c r="D30" s="224" t="s">
        <v>16083</v>
      </c>
      <c r="E30" s="224" t="s">
        <v>16213</v>
      </c>
      <c r="F30" s="224" t="s">
        <v>16197</v>
      </c>
      <c r="G30" s="224" t="s">
        <v>17179</v>
      </c>
      <c r="H30" s="224" t="s">
        <v>17114</v>
      </c>
      <c r="I30" s="224" t="s">
        <v>17147</v>
      </c>
      <c r="J30" s="224" t="s">
        <v>14541</v>
      </c>
      <c r="K30" s="224" t="s">
        <v>17180</v>
      </c>
      <c r="L30" t="s">
        <v>19547</v>
      </c>
    </row>
    <row r="31" spans="1:12" x14ac:dyDescent="0.3">
      <c r="A31" s="224" t="s">
        <v>17181</v>
      </c>
      <c r="B31" s="224" t="s">
        <v>17119</v>
      </c>
      <c r="C31" s="224" t="s">
        <v>1136</v>
      </c>
      <c r="D31" s="224" t="s">
        <v>16086</v>
      </c>
      <c r="E31" s="224" t="s">
        <v>16259</v>
      </c>
      <c r="F31" s="224" t="s">
        <v>16253</v>
      </c>
      <c r="G31" s="224" t="s">
        <v>17182</v>
      </c>
      <c r="H31" s="224" t="s">
        <v>17183</v>
      </c>
      <c r="I31" s="224" t="s">
        <v>17110</v>
      </c>
      <c r="J31" s="224" t="s">
        <v>14526</v>
      </c>
      <c r="K31" s="224" t="s">
        <v>17184</v>
      </c>
      <c r="L31" t="s">
        <v>19547</v>
      </c>
    </row>
    <row r="32" spans="1:12" x14ac:dyDescent="0.3">
      <c r="A32" s="224" t="s">
        <v>17185</v>
      </c>
      <c r="B32" s="224" t="s">
        <v>1220</v>
      </c>
      <c r="C32" s="224" t="s">
        <v>1134</v>
      </c>
      <c r="D32" s="224" t="s">
        <v>16089</v>
      </c>
      <c r="E32" s="224" t="s">
        <v>16302</v>
      </c>
      <c r="F32" s="224" t="s">
        <v>16296</v>
      </c>
      <c r="G32" s="224" t="s">
        <v>17186</v>
      </c>
      <c r="H32" s="224" t="s">
        <v>17187</v>
      </c>
      <c r="I32" s="224" t="s">
        <v>17153</v>
      </c>
      <c r="J32" s="224" t="s">
        <v>14526</v>
      </c>
      <c r="K32" s="224" t="s">
        <v>17188</v>
      </c>
      <c r="L32" t="s">
        <v>19547</v>
      </c>
    </row>
    <row r="33" spans="1:12" x14ac:dyDescent="0.3">
      <c r="A33" s="224" t="s">
        <v>17189</v>
      </c>
      <c r="B33" s="224" t="s">
        <v>1224</v>
      </c>
      <c r="C33" s="224" t="s">
        <v>1136</v>
      </c>
      <c r="D33" s="224" t="s">
        <v>15953</v>
      </c>
      <c r="E33" s="224" t="s">
        <v>16332</v>
      </c>
      <c r="F33" s="224" t="s">
        <v>16325</v>
      </c>
      <c r="G33" s="224" t="s">
        <v>17190</v>
      </c>
      <c r="H33" s="224" t="s">
        <v>17191</v>
      </c>
      <c r="I33" s="224" t="s">
        <v>17157</v>
      </c>
      <c r="J33" s="224" t="s">
        <v>14526</v>
      </c>
      <c r="K33" s="224" t="s">
        <v>17192</v>
      </c>
      <c r="L33" t="s">
        <v>19547</v>
      </c>
    </row>
    <row r="34" spans="1:12" x14ac:dyDescent="0.3">
      <c r="A34" s="224" t="s">
        <v>17193</v>
      </c>
      <c r="B34" s="224" t="s">
        <v>1220</v>
      </c>
      <c r="C34" s="224" t="s">
        <v>1134</v>
      </c>
      <c r="D34" s="224" t="s">
        <v>16083</v>
      </c>
      <c r="E34" s="224" t="s">
        <v>16345</v>
      </c>
      <c r="F34" s="224" t="s">
        <v>16339</v>
      </c>
      <c r="G34" s="224" t="s">
        <v>17194</v>
      </c>
      <c r="H34" s="224" t="s">
        <v>17195</v>
      </c>
      <c r="I34" s="224" t="s">
        <v>17160</v>
      </c>
      <c r="J34" s="224" t="s">
        <v>14526</v>
      </c>
      <c r="K34" s="224" t="s">
        <v>17196</v>
      </c>
      <c r="L34" t="s">
        <v>19547</v>
      </c>
    </row>
    <row r="37" spans="1:12" ht="15.6" x14ac:dyDescent="0.3">
      <c r="A37" s="211" t="s">
        <v>17197</v>
      </c>
      <c r="B37" s="211"/>
      <c r="C37" s="211"/>
    </row>
    <row r="39" spans="1:12" x14ac:dyDescent="0.3">
      <c r="A39" s="16" t="s">
        <v>17198</v>
      </c>
      <c r="B39">
        <f>COUNTA(A9:A34)</f>
        <v>26</v>
      </c>
    </row>
    <row r="40" spans="1:12" x14ac:dyDescent="0.3">
      <c r="A40" s="16" t="s">
        <v>17199</v>
      </c>
      <c r="B40">
        <f>COUNTIF(B9:B34,"Open")</f>
        <v>9</v>
      </c>
    </row>
    <row r="41" spans="1:12" x14ac:dyDescent="0.3">
      <c r="A41" s="16" t="s">
        <v>17200</v>
      </c>
      <c r="B41">
        <f>COUNTIF(B9:B34,"In Progress")</f>
        <v>6</v>
      </c>
    </row>
    <row r="42" spans="1:12" x14ac:dyDescent="0.3">
      <c r="A42" s="16" t="s">
        <v>17201</v>
      </c>
      <c r="B42">
        <f>COUNTIF(B9:B34,"Pending Review")</f>
        <v>3</v>
      </c>
    </row>
    <row r="43" spans="1:12" x14ac:dyDescent="0.3">
      <c r="A43" s="16" t="s">
        <v>17202</v>
      </c>
      <c r="B43">
        <f>COUNTIF(B9:B34,"Escalated")</f>
        <v>2</v>
      </c>
    </row>
    <row r="44" spans="1:12" x14ac:dyDescent="0.3">
      <c r="A44" s="16" t="s">
        <v>17203</v>
      </c>
      <c r="B44">
        <f>COUNTIF(B9:B34,"Resolved")</f>
        <v>6</v>
      </c>
    </row>
  </sheetData>
  <mergeCells count="5">
    <mergeCell ref="A1:J1"/>
    <mergeCell ref="A3:J3"/>
    <mergeCell ref="A5:B5"/>
    <mergeCell ref="B6:D6"/>
    <mergeCell ref="A37:C37"/>
  </mergeCells>
  <conditionalFormatting sqref="B9:B34">
    <cfRule type="containsText" dxfId="30" priority="1" operator="containsText" text="Open">
      <formula>NOT(ISERROR(SEARCH("Open",B9)))</formula>
    </cfRule>
    <cfRule type="containsText" dxfId="29" priority="2" operator="containsText" text="In Progress">
      <formula>NOT(ISERROR(SEARCH("In Progress",B9)))</formula>
    </cfRule>
    <cfRule type="containsText" dxfId="28" priority="3" operator="containsText" text="Pending">
      <formula>NOT(ISERROR(SEARCH("Pending",B9)))</formula>
    </cfRule>
    <cfRule type="containsText" dxfId="27" priority="4" operator="containsText" text="Escalated">
      <formula>NOT(ISERROR(SEARCH("Escalated",B9)))</formula>
    </cfRule>
    <cfRule type="containsText" dxfId="26" priority="5" operator="containsText" text="Resolved">
      <formula>NOT(ISERROR(SEARCH("Resolved",B9)))</formula>
    </cfRule>
  </conditionalFormatting>
  <conditionalFormatting sqref="C9:C34">
    <cfRule type="containsText" dxfId="25" priority="6" operator="containsText" text="P1">
      <formula>NOT(ISERROR(SEARCH("P1",C9)))</formula>
    </cfRule>
    <cfRule type="containsText" dxfId="24" priority="7" operator="containsText" text="P2">
      <formula>NOT(ISERROR(SEARCH("P2",C9)))</formula>
    </cfRule>
    <cfRule type="containsText" dxfId="23" priority="8" operator="containsText" text="P3">
      <formula>NOT(ISERROR(SEARCH("P3",C9)))</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81FE-BFA4-461B-A649-F63EF14D8F30}">
  <sheetPr>
    <tabColor theme="5"/>
  </sheetPr>
  <dimension ref="A1:P84"/>
  <sheetViews>
    <sheetView workbookViewId="0">
      <pane ySplit="4" topLeftCell="A45" activePane="bottomLeft" state="frozen"/>
      <selection activeCell="G26" sqref="G26"/>
      <selection pane="bottomLeft" activeCell="A11" sqref="A11"/>
    </sheetView>
  </sheetViews>
  <sheetFormatPr defaultRowHeight="14.4" x14ac:dyDescent="0.3"/>
  <cols>
    <col min="1" max="1" width="13" customWidth="1"/>
    <col min="2" max="2" width="14.77734375" customWidth="1"/>
    <col min="3" max="3" width="37" customWidth="1"/>
    <col min="4" max="5" width="29.6640625" customWidth="1"/>
    <col min="6" max="6" width="14.77734375" customWidth="1"/>
    <col min="7" max="7" width="18.5546875" customWidth="1"/>
    <col min="8" max="8" width="22.21875" customWidth="1"/>
    <col min="9" max="9" width="18.5546875" customWidth="1"/>
    <col min="10" max="10" width="13" customWidth="1"/>
    <col min="11" max="11" width="64.77734375" customWidth="1"/>
    <col min="12" max="12" width="55.5546875" customWidth="1"/>
    <col min="13" max="13" width="51.88671875" customWidth="1"/>
    <col min="14" max="15" width="16.6640625" customWidth="1"/>
  </cols>
  <sheetData>
    <row r="1" spans="1:16" ht="21" x14ac:dyDescent="0.4">
      <c r="A1" s="449" t="s">
        <v>17452</v>
      </c>
      <c r="B1" s="429"/>
      <c r="C1" s="429"/>
      <c r="D1" s="429"/>
      <c r="E1" s="429"/>
      <c r="F1" s="429"/>
      <c r="G1" s="429"/>
      <c r="H1" s="429"/>
      <c r="I1" s="429"/>
      <c r="J1" s="429"/>
      <c r="K1" s="429"/>
      <c r="L1" s="429"/>
    </row>
    <row r="2" spans="1:16" x14ac:dyDescent="0.3">
      <c r="A2" s="199" t="s">
        <v>17453</v>
      </c>
      <c r="B2" s="199"/>
      <c r="C2" s="199"/>
      <c r="D2" s="199"/>
      <c r="E2" s="199"/>
      <c r="F2" s="199"/>
      <c r="G2" s="199"/>
      <c r="H2" s="199"/>
      <c r="I2" s="199"/>
      <c r="J2" s="199"/>
      <c r="K2" s="199"/>
      <c r="L2" s="199"/>
    </row>
    <row r="3" spans="1:16" x14ac:dyDescent="0.3">
      <c r="A3" s="1" t="s">
        <v>16091</v>
      </c>
      <c r="B3" s="16" t="s">
        <v>16096</v>
      </c>
      <c r="C3" s="386" t="s">
        <v>16095</v>
      </c>
      <c r="D3" s="16" t="s">
        <v>17454</v>
      </c>
      <c r="E3" s="16"/>
      <c r="F3" s="386" t="s">
        <v>16095</v>
      </c>
      <c r="G3" s="16" t="s">
        <v>17455</v>
      </c>
      <c r="H3" s="386" t="s">
        <v>16095</v>
      </c>
      <c r="I3" s="16" t="s">
        <v>17456</v>
      </c>
      <c r="J3" s="386" t="s">
        <v>16095</v>
      </c>
      <c r="K3" s="16" t="s">
        <v>16564</v>
      </c>
      <c r="L3" s="386" t="s">
        <v>16095</v>
      </c>
      <c r="M3" s="16" t="s">
        <v>16099</v>
      </c>
      <c r="N3" t="str" cm="1">
        <f t="array" ref="N3">SUMPRODUCT((A5:A72&lt;&gt;"")*IF(C3="All",1,D5:D72=C3)*IF(F3="All",1,F5:F72=F3)*IF(H3="All",1,G5:G72=H3)*IF(J3="All",1,J5:J72=J3)*IF(L3="All",1,N5:N60=L3))&amp;" of "&amp;COUNTA(A5:A72)&amp;" drifts"</f>
        <v>50 of 50 drifts</v>
      </c>
      <c r="O3" s="226" t="s">
        <v>17457</v>
      </c>
    </row>
    <row r="4" spans="1:16" ht="25.05" customHeight="1" x14ac:dyDescent="0.3">
      <c r="A4" s="1" t="s">
        <v>17458</v>
      </c>
      <c r="B4" s="1" t="s">
        <v>1537</v>
      </c>
      <c r="C4" s="1" t="s">
        <v>1541</v>
      </c>
      <c r="D4" s="1" t="s">
        <v>1542</v>
      </c>
      <c r="E4" s="1" t="s">
        <v>15432</v>
      </c>
      <c r="F4" s="1" t="s">
        <v>1140</v>
      </c>
      <c r="G4" s="1" t="s">
        <v>17455</v>
      </c>
      <c r="H4" s="1" t="s">
        <v>17459</v>
      </c>
      <c r="I4" s="1" t="s">
        <v>17460</v>
      </c>
      <c r="J4" s="1" t="s">
        <v>275</v>
      </c>
      <c r="K4" s="1" t="s">
        <v>1</v>
      </c>
      <c r="L4" s="1" t="s">
        <v>17461</v>
      </c>
      <c r="M4" s="1" t="s">
        <v>17462</v>
      </c>
      <c r="N4" s="1" t="s">
        <v>1068</v>
      </c>
      <c r="O4" s="1" t="s">
        <v>17463</v>
      </c>
      <c r="P4" s="1" t="s">
        <v>19546</v>
      </c>
    </row>
    <row r="5" spans="1:16" ht="28.8" x14ac:dyDescent="0.3">
      <c r="A5" t="s">
        <v>17464</v>
      </c>
      <c r="B5" t="s">
        <v>15296</v>
      </c>
      <c r="C5" t="s">
        <v>16597</v>
      </c>
      <c r="D5" t="s">
        <v>15622</v>
      </c>
      <c r="E5" t="str">
        <f>IFERROR(VLOOKUP(B5,[1]Releases!$A$7:$C$102,3,FALSE),"")</f>
        <v>Manufacturing</v>
      </c>
      <c r="F5" t="s">
        <v>1081</v>
      </c>
      <c r="G5" t="s">
        <v>14858</v>
      </c>
      <c r="H5" t="s">
        <v>17465</v>
      </c>
      <c r="I5" s="403">
        <v>46200</v>
      </c>
      <c r="J5" t="s">
        <v>14697</v>
      </c>
      <c r="K5" s="13" t="s">
        <v>17466</v>
      </c>
      <c r="L5" s="13" t="s">
        <v>17467</v>
      </c>
      <c r="M5" s="13" t="s">
        <v>17468</v>
      </c>
      <c r="N5" t="s">
        <v>1232</v>
      </c>
      <c r="O5" s="403">
        <v>46210</v>
      </c>
      <c r="P5" t="s">
        <v>19110</v>
      </c>
    </row>
    <row r="6" spans="1:16" ht="28.8" x14ac:dyDescent="0.3">
      <c r="A6" t="s">
        <v>17469</v>
      </c>
      <c r="B6" t="s">
        <v>15296</v>
      </c>
      <c r="C6" t="s">
        <v>16597</v>
      </c>
      <c r="D6" t="s">
        <v>15622</v>
      </c>
      <c r="E6" t="str">
        <f>IFERROR(VLOOKUP(B6,[1]Releases!$A$7:$C$102,3,FALSE),"")</f>
        <v>Manufacturing</v>
      </c>
      <c r="F6" t="s">
        <v>15444</v>
      </c>
      <c r="G6" t="s">
        <v>1066</v>
      </c>
      <c r="H6" t="s">
        <v>17470</v>
      </c>
      <c r="I6" s="403">
        <v>46201</v>
      </c>
      <c r="J6" t="s">
        <v>1125</v>
      </c>
      <c r="K6" s="13" t="s">
        <v>17471</v>
      </c>
      <c r="L6" s="13" t="s">
        <v>17472</v>
      </c>
      <c r="M6" s="13" t="s">
        <v>17473</v>
      </c>
      <c r="N6" t="s">
        <v>1232</v>
      </c>
      <c r="O6" s="403">
        <v>46208</v>
      </c>
      <c r="P6" t="s">
        <v>19547</v>
      </c>
    </row>
    <row r="7" spans="1:16" ht="28.8" x14ac:dyDescent="0.3">
      <c r="A7" t="s">
        <v>17474</v>
      </c>
      <c r="B7" t="s">
        <v>15296</v>
      </c>
      <c r="C7" t="s">
        <v>16597</v>
      </c>
      <c r="D7" t="s">
        <v>15622</v>
      </c>
      <c r="E7" t="str">
        <f>IFERROR(VLOOKUP(B7,[1]Releases!$A$7:$C$102,3,FALSE),"")</f>
        <v>Manufacturing</v>
      </c>
      <c r="F7" t="s">
        <v>15441</v>
      </c>
      <c r="G7" t="s">
        <v>14853</v>
      </c>
      <c r="H7" t="s">
        <v>17475</v>
      </c>
      <c r="I7" s="403">
        <v>46198</v>
      </c>
      <c r="J7" t="s">
        <v>14689</v>
      </c>
      <c r="K7" s="13" t="s">
        <v>17476</v>
      </c>
      <c r="L7" s="13" t="s">
        <v>17477</v>
      </c>
      <c r="M7" s="13" t="s">
        <v>17478</v>
      </c>
      <c r="N7" t="s">
        <v>1232</v>
      </c>
      <c r="O7" s="403">
        <v>46206</v>
      </c>
      <c r="P7" t="s">
        <v>19547</v>
      </c>
    </row>
    <row r="8" spans="1:16" ht="28.8" x14ac:dyDescent="0.3">
      <c r="A8" t="s">
        <v>17479</v>
      </c>
      <c r="B8" t="s">
        <v>15308</v>
      </c>
      <c r="C8" t="s">
        <v>16617</v>
      </c>
      <c r="D8" t="s">
        <v>15563</v>
      </c>
      <c r="E8" t="str">
        <f>IFERROR(VLOOKUP(B8,[1]Releases!$A$7:$C$102,3,FALSE),"")</f>
        <v>Logistics</v>
      </c>
      <c r="F8" t="s">
        <v>15444</v>
      </c>
      <c r="G8" t="s">
        <v>14858</v>
      </c>
      <c r="H8" t="s">
        <v>17480</v>
      </c>
      <c r="I8" s="403">
        <v>46199</v>
      </c>
      <c r="J8" t="s">
        <v>14588</v>
      </c>
      <c r="K8" s="13" t="s">
        <v>17481</v>
      </c>
      <c r="L8" s="13" t="s">
        <v>17482</v>
      </c>
      <c r="M8" s="13" t="s">
        <v>17483</v>
      </c>
      <c r="N8" t="s">
        <v>1232</v>
      </c>
      <c r="O8" s="403">
        <v>46212</v>
      </c>
      <c r="P8" t="s">
        <v>19110</v>
      </c>
    </row>
    <row r="9" spans="1:16" ht="28.8" x14ac:dyDescent="0.3">
      <c r="A9" t="s">
        <v>17484</v>
      </c>
      <c r="B9" t="s">
        <v>15308</v>
      </c>
      <c r="C9" t="s">
        <v>16617</v>
      </c>
      <c r="D9" t="s">
        <v>15563</v>
      </c>
      <c r="E9" t="str">
        <f>IFERROR(VLOOKUP(B9,[1]Releases!$A$7:$C$102,3,FALSE),"")</f>
        <v>Logistics</v>
      </c>
      <c r="F9" t="s">
        <v>1081</v>
      </c>
      <c r="G9" t="s">
        <v>1066</v>
      </c>
      <c r="H9" t="s">
        <v>15276</v>
      </c>
      <c r="I9" s="403">
        <v>46200</v>
      </c>
      <c r="J9" t="s">
        <v>14697</v>
      </c>
      <c r="K9" s="13" t="s">
        <v>17485</v>
      </c>
      <c r="L9" s="13" t="s">
        <v>17486</v>
      </c>
      <c r="M9" s="13" t="s">
        <v>17487</v>
      </c>
      <c r="N9" t="s">
        <v>1232</v>
      </c>
      <c r="O9" s="403">
        <v>46207</v>
      </c>
      <c r="P9" t="s">
        <v>19547</v>
      </c>
    </row>
    <row r="10" spans="1:16" ht="28.8" x14ac:dyDescent="0.3">
      <c r="A10" t="s">
        <v>17488</v>
      </c>
      <c r="B10" t="s">
        <v>15308</v>
      </c>
      <c r="C10" t="s">
        <v>16617</v>
      </c>
      <c r="D10" t="s">
        <v>15563</v>
      </c>
      <c r="E10" t="str">
        <f>IFERROR(VLOOKUP(B10,[1]Releases!$A$7:$C$102,3,FALSE),"")</f>
        <v>Logistics</v>
      </c>
      <c r="F10" t="s">
        <v>1081</v>
      </c>
      <c r="G10" t="s">
        <v>1427</v>
      </c>
      <c r="H10" t="s">
        <v>17489</v>
      </c>
      <c r="I10" s="403">
        <v>46201</v>
      </c>
      <c r="J10" t="s">
        <v>1125</v>
      </c>
      <c r="K10" s="13" t="s">
        <v>17490</v>
      </c>
      <c r="L10" s="13" t="s">
        <v>17491</v>
      </c>
      <c r="M10" s="13" t="s">
        <v>17492</v>
      </c>
      <c r="N10" t="s">
        <v>1232</v>
      </c>
      <c r="O10" s="403">
        <v>46209</v>
      </c>
      <c r="P10" t="s">
        <v>19547</v>
      </c>
    </row>
    <row r="11" spans="1:16" ht="28.8" x14ac:dyDescent="0.3">
      <c r="A11" t="s">
        <v>17493</v>
      </c>
      <c r="B11" t="s">
        <v>15308</v>
      </c>
      <c r="C11" t="s">
        <v>16617</v>
      </c>
      <c r="D11" t="s">
        <v>15563</v>
      </c>
      <c r="E11" t="str">
        <f>IFERROR(VLOOKUP(B11,[1]Releases!$A$7:$C$102,3,FALSE),"")</f>
        <v>Logistics</v>
      </c>
      <c r="F11" t="s">
        <v>15441</v>
      </c>
      <c r="G11" t="s">
        <v>152</v>
      </c>
      <c r="H11" t="s">
        <v>17494</v>
      </c>
      <c r="I11" s="403">
        <v>46195</v>
      </c>
      <c r="J11" t="s">
        <v>1125</v>
      </c>
      <c r="K11" s="13" t="s">
        <v>17495</v>
      </c>
      <c r="L11" s="13" t="s">
        <v>17496</v>
      </c>
      <c r="M11" s="13" t="s">
        <v>17497</v>
      </c>
      <c r="N11" t="s">
        <v>1232</v>
      </c>
      <c r="O11" s="403">
        <v>46205</v>
      </c>
      <c r="P11" t="s">
        <v>19110</v>
      </c>
    </row>
    <row r="12" spans="1:16" x14ac:dyDescent="0.3">
      <c r="A12" t="s">
        <v>19686</v>
      </c>
      <c r="B12" t="s">
        <v>15292</v>
      </c>
      <c r="C12" t="s">
        <v>16589</v>
      </c>
      <c r="D12" t="s">
        <v>15560</v>
      </c>
      <c r="E12" t="s">
        <v>14994</v>
      </c>
      <c r="F12" t="s">
        <v>15444</v>
      </c>
      <c r="G12" t="s">
        <v>1066</v>
      </c>
      <c r="H12" t="s">
        <v>15276</v>
      </c>
      <c r="I12" s="403">
        <v>46243</v>
      </c>
      <c r="J12" t="s">
        <v>1125</v>
      </c>
      <c r="K12" s="13" t="s">
        <v>19687</v>
      </c>
      <c r="L12" s="13" t="s">
        <v>19688</v>
      </c>
      <c r="M12" s="13" t="s">
        <v>19689</v>
      </c>
      <c r="N12" s="13" t="s">
        <v>1232</v>
      </c>
      <c r="O12" s="403">
        <v>46246</v>
      </c>
      <c r="P12" s="13" t="s">
        <v>19547</v>
      </c>
    </row>
    <row r="13" spans="1:16" x14ac:dyDescent="0.3">
      <c r="A13" t="s">
        <v>19690</v>
      </c>
      <c r="B13" t="s">
        <v>15294</v>
      </c>
      <c r="C13" t="s">
        <v>16593</v>
      </c>
      <c r="D13" t="s">
        <v>15608</v>
      </c>
      <c r="E13" t="s">
        <v>14993</v>
      </c>
      <c r="F13" t="s">
        <v>1081</v>
      </c>
      <c r="G13" t="s">
        <v>14853</v>
      </c>
      <c r="H13" t="s">
        <v>17475</v>
      </c>
      <c r="I13" s="403">
        <v>46240</v>
      </c>
      <c r="J13" t="s">
        <v>14689</v>
      </c>
      <c r="K13" s="13" t="s">
        <v>19691</v>
      </c>
      <c r="L13" s="13" t="s">
        <v>19692</v>
      </c>
      <c r="M13" s="13" t="s">
        <v>19693</v>
      </c>
      <c r="N13" s="13" t="s">
        <v>1232</v>
      </c>
      <c r="O13" s="403">
        <v>46244</v>
      </c>
      <c r="P13" s="13" t="s">
        <v>19547</v>
      </c>
    </row>
    <row r="14" spans="1:16" x14ac:dyDescent="0.3">
      <c r="A14" t="s">
        <v>19694</v>
      </c>
      <c r="B14" t="s">
        <v>15298</v>
      </c>
      <c r="C14" t="s">
        <v>16601</v>
      </c>
      <c r="D14" t="s">
        <v>15664</v>
      </c>
      <c r="E14" t="s">
        <v>14991</v>
      </c>
      <c r="F14" t="s">
        <v>15444</v>
      </c>
      <c r="G14" t="s">
        <v>152</v>
      </c>
      <c r="H14" t="s">
        <v>19695</v>
      </c>
      <c r="I14" s="403">
        <v>46215</v>
      </c>
      <c r="J14" t="s">
        <v>14697</v>
      </c>
      <c r="K14" s="13" t="s">
        <v>19696</v>
      </c>
      <c r="L14" s="13" t="s">
        <v>19697</v>
      </c>
      <c r="M14" s="13" t="s">
        <v>19698</v>
      </c>
      <c r="N14" s="13" t="s">
        <v>1232</v>
      </c>
      <c r="O14" s="403">
        <v>46219</v>
      </c>
      <c r="P14" s="13" t="s">
        <v>19110</v>
      </c>
    </row>
    <row r="15" spans="1:16" x14ac:dyDescent="0.3">
      <c r="A15" t="s">
        <v>19699</v>
      </c>
      <c r="B15" t="s">
        <v>15302</v>
      </c>
      <c r="C15" t="s">
        <v>16607</v>
      </c>
      <c r="D15" t="s">
        <v>15705</v>
      </c>
      <c r="E15" t="s">
        <v>14990</v>
      </c>
      <c r="F15" t="s">
        <v>15441</v>
      </c>
      <c r="G15" t="s">
        <v>1427</v>
      </c>
      <c r="H15" t="s">
        <v>19700</v>
      </c>
      <c r="I15" s="403">
        <v>46244</v>
      </c>
      <c r="J15" t="s">
        <v>1125</v>
      </c>
      <c r="K15" s="13" t="s">
        <v>19701</v>
      </c>
      <c r="L15" s="13" t="s">
        <v>19702</v>
      </c>
      <c r="M15" s="13" t="s">
        <v>19703</v>
      </c>
      <c r="N15" s="13" t="s">
        <v>1224</v>
      </c>
      <c r="O15" s="403">
        <v>46249</v>
      </c>
      <c r="P15" s="13" t="s">
        <v>19110</v>
      </c>
    </row>
    <row r="16" spans="1:16" x14ac:dyDescent="0.3">
      <c r="A16" t="s">
        <v>19704</v>
      </c>
      <c r="B16" t="s">
        <v>15312</v>
      </c>
      <c r="C16" t="s">
        <v>16621</v>
      </c>
      <c r="D16" t="s">
        <v>15631</v>
      </c>
      <c r="E16" t="s">
        <v>14992</v>
      </c>
      <c r="F16" t="s">
        <v>15441</v>
      </c>
      <c r="G16" t="s">
        <v>14853</v>
      </c>
      <c r="H16" t="s">
        <v>19705</v>
      </c>
      <c r="I16" s="403">
        <v>46240</v>
      </c>
      <c r="J16" t="s">
        <v>14689</v>
      </c>
      <c r="K16" s="13" t="s">
        <v>19706</v>
      </c>
      <c r="L16" s="13" t="s">
        <v>19707</v>
      </c>
      <c r="M16" s="13" t="s">
        <v>19708</v>
      </c>
      <c r="N16" s="13" t="s">
        <v>1220</v>
      </c>
      <c r="O16" s="403">
        <v>46246</v>
      </c>
      <c r="P16" s="13" t="s">
        <v>19547</v>
      </c>
    </row>
    <row r="17" spans="1:16" x14ac:dyDescent="0.3">
      <c r="A17" t="s">
        <v>19709</v>
      </c>
      <c r="B17" t="s">
        <v>16177</v>
      </c>
      <c r="C17" t="s">
        <v>16637</v>
      </c>
      <c r="D17" t="s">
        <v>15557</v>
      </c>
      <c r="E17" t="s">
        <v>14994</v>
      </c>
      <c r="F17" t="s">
        <v>1081</v>
      </c>
      <c r="G17" t="s">
        <v>1066</v>
      </c>
      <c r="H17" t="s">
        <v>19710</v>
      </c>
      <c r="I17" s="403">
        <v>46271</v>
      </c>
      <c r="J17" t="s">
        <v>1125</v>
      </c>
      <c r="K17" s="13" t="s">
        <v>19711</v>
      </c>
      <c r="L17" s="13" t="s">
        <v>19712</v>
      </c>
      <c r="M17" s="13" t="s">
        <v>19713</v>
      </c>
      <c r="N17" s="13" t="s">
        <v>1232</v>
      </c>
      <c r="O17" s="403">
        <v>46276</v>
      </c>
      <c r="P17" s="13" t="s">
        <v>19547</v>
      </c>
    </row>
    <row r="18" spans="1:16" x14ac:dyDescent="0.3">
      <c r="A18" t="s">
        <v>19714</v>
      </c>
      <c r="B18" t="s">
        <v>16188</v>
      </c>
      <c r="C18" t="s">
        <v>16641</v>
      </c>
      <c r="D18" t="s">
        <v>15619</v>
      </c>
      <c r="E18" t="s">
        <v>14992</v>
      </c>
      <c r="F18" t="s">
        <v>15444</v>
      </c>
      <c r="G18" t="s">
        <v>14858</v>
      </c>
      <c r="H18" t="s">
        <v>19715</v>
      </c>
      <c r="I18" s="403">
        <v>46228</v>
      </c>
      <c r="J18" t="s">
        <v>14588</v>
      </c>
      <c r="K18" s="13" t="s">
        <v>19716</v>
      </c>
      <c r="L18" s="13" t="s">
        <v>19717</v>
      </c>
      <c r="M18" s="13" t="s">
        <v>19718</v>
      </c>
      <c r="N18" s="13" t="s">
        <v>1232</v>
      </c>
      <c r="O18" s="403">
        <v>46236</v>
      </c>
      <c r="P18" s="13" t="s">
        <v>19110</v>
      </c>
    </row>
    <row r="19" spans="1:16" x14ac:dyDescent="0.3">
      <c r="A19" t="s">
        <v>19719</v>
      </c>
      <c r="B19" t="s">
        <v>16216</v>
      </c>
      <c r="C19" t="s">
        <v>16662</v>
      </c>
      <c r="D19" t="s">
        <v>15614</v>
      </c>
      <c r="E19" t="s">
        <v>14992</v>
      </c>
      <c r="F19" t="s">
        <v>15444</v>
      </c>
      <c r="G19" t="s">
        <v>1427</v>
      </c>
      <c r="H19" t="s">
        <v>19720</v>
      </c>
      <c r="I19" s="403">
        <v>46230</v>
      </c>
      <c r="J19" t="s">
        <v>14697</v>
      </c>
      <c r="K19" s="13" t="s">
        <v>19721</v>
      </c>
      <c r="L19" s="13" t="s">
        <v>19722</v>
      </c>
      <c r="M19" s="13" t="s">
        <v>19723</v>
      </c>
      <c r="N19" s="13" t="s">
        <v>1220</v>
      </c>
      <c r="O19" s="403">
        <v>46320</v>
      </c>
      <c r="P19" s="13" t="s">
        <v>19547</v>
      </c>
    </row>
    <row r="20" spans="1:16" x14ac:dyDescent="0.3">
      <c r="A20" t="s">
        <v>19724</v>
      </c>
      <c r="B20" t="s">
        <v>16239</v>
      </c>
      <c r="C20" t="s">
        <v>16680</v>
      </c>
      <c r="D20" t="s">
        <v>15655</v>
      </c>
      <c r="E20" t="s">
        <v>14991</v>
      </c>
      <c r="F20" t="s">
        <v>15444</v>
      </c>
      <c r="G20" t="s">
        <v>14858</v>
      </c>
      <c r="H20" t="s">
        <v>19725</v>
      </c>
      <c r="I20" s="403">
        <v>46340</v>
      </c>
      <c r="J20" t="s">
        <v>14697</v>
      </c>
      <c r="K20" s="13" t="s">
        <v>19726</v>
      </c>
      <c r="L20" s="13" t="s">
        <v>19727</v>
      </c>
      <c r="M20" s="13" t="s">
        <v>19728</v>
      </c>
      <c r="N20" s="13" t="s">
        <v>1224</v>
      </c>
      <c r="O20" s="403">
        <v>46355</v>
      </c>
      <c r="P20" s="13" t="s">
        <v>19110</v>
      </c>
    </row>
    <row r="21" spans="1:16" x14ac:dyDescent="0.3">
      <c r="A21" t="s">
        <v>19729</v>
      </c>
      <c r="B21" t="s">
        <v>16293</v>
      </c>
      <c r="C21" t="s">
        <v>16716</v>
      </c>
      <c r="D21" t="s">
        <v>15717</v>
      </c>
      <c r="E21" t="s">
        <v>14990</v>
      </c>
      <c r="F21" t="s">
        <v>1081</v>
      </c>
      <c r="G21" t="s">
        <v>152</v>
      </c>
      <c r="H21" t="s">
        <v>19730</v>
      </c>
      <c r="I21" s="403">
        <v>46420</v>
      </c>
      <c r="J21" t="s">
        <v>1125</v>
      </c>
      <c r="K21" s="13" t="s">
        <v>19731</v>
      </c>
      <c r="L21" s="13" t="s">
        <v>19732</v>
      </c>
      <c r="M21" s="13" t="s">
        <v>19733</v>
      </c>
      <c r="N21" s="13" t="s">
        <v>1220</v>
      </c>
      <c r="O21" s="403">
        <v>46437</v>
      </c>
      <c r="P21" s="13" t="s">
        <v>19110</v>
      </c>
    </row>
    <row r="22" spans="1:16" x14ac:dyDescent="0.3">
      <c r="E22" t="str">
        <f>IFERROR(VLOOKUP(B22,[1]Releases!$A$7:$C$102,3,FALSE),"")</f>
        <v/>
      </c>
    </row>
    <row r="23" spans="1:16" x14ac:dyDescent="0.3">
      <c r="E23" t="str">
        <f>IFERROR(VLOOKUP(B23,[1]Releases!$A$7:$C$102,3,FALSE),"")</f>
        <v/>
      </c>
    </row>
    <row r="24" spans="1:16" x14ac:dyDescent="0.3">
      <c r="E24" t="str">
        <f>IFERROR(VLOOKUP(B24,[1]Releases!$A$7:$C$102,3,FALSE),"")</f>
        <v/>
      </c>
    </row>
    <row r="25" spans="1:16" ht="18" x14ac:dyDescent="0.35">
      <c r="A25" s="378" t="s">
        <v>17498</v>
      </c>
      <c r="B25" s="378"/>
      <c r="C25" s="378"/>
      <c r="D25" s="378"/>
      <c r="E25" s="378"/>
      <c r="F25" s="378"/>
      <c r="G25" s="378"/>
      <c r="H25" s="378"/>
      <c r="I25" s="378"/>
      <c r="J25" s="378"/>
      <c r="K25" s="378"/>
      <c r="L25" s="84"/>
      <c r="M25" s="84"/>
      <c r="N25" s="84"/>
      <c r="O25" s="84"/>
    </row>
    <row r="26" spans="1:16" x14ac:dyDescent="0.3">
      <c r="A26" s="379"/>
      <c r="B26" s="379"/>
      <c r="C26" s="379"/>
      <c r="D26" s="379"/>
      <c r="E26" s="379" t="str">
        <f>IFERROR(VLOOKUP(B26,[1]Releases!$A$7:$C$102,3,FALSE),"")</f>
        <v/>
      </c>
      <c r="F26" s="379"/>
      <c r="G26" s="379"/>
      <c r="H26" s="379"/>
      <c r="I26" s="379"/>
      <c r="J26" s="379"/>
      <c r="K26" s="379"/>
    </row>
    <row r="27" spans="1:16" x14ac:dyDescent="0.3">
      <c r="A27" s="379" t="s">
        <v>17499</v>
      </c>
      <c r="B27" s="379"/>
      <c r="C27" s="379"/>
      <c r="D27" s="379"/>
      <c r="E27" s="379" t="str">
        <f>IFERROR(VLOOKUP(B27,[1]Releases!$A$7:$C$102,3,FALSE),"")</f>
        <v/>
      </c>
      <c r="F27" s="379"/>
      <c r="G27" s="379"/>
      <c r="H27" s="379"/>
      <c r="I27" s="379"/>
      <c r="J27" s="379"/>
      <c r="K27" s="379"/>
      <c r="L27" s="381"/>
      <c r="M27" s="381"/>
      <c r="N27" s="381"/>
      <c r="O27" s="381"/>
    </row>
    <row r="28" spans="1:16" x14ac:dyDescent="0.3">
      <c r="A28" s="379"/>
      <c r="B28" s="379"/>
      <c r="C28" s="379"/>
      <c r="D28" s="379"/>
      <c r="E28" s="379" t="str">
        <f>IFERROR(VLOOKUP(B28,[1]Releases!$A$7:$C$102,3,FALSE),"")</f>
        <v/>
      </c>
      <c r="F28" s="379"/>
      <c r="G28" s="379"/>
      <c r="H28" s="379"/>
      <c r="I28" s="379"/>
      <c r="J28" s="379"/>
      <c r="K28" s="379"/>
      <c r="L28" s="381"/>
      <c r="M28" s="381"/>
      <c r="N28" s="381"/>
      <c r="O28" s="381"/>
    </row>
    <row r="29" spans="1:16" x14ac:dyDescent="0.3">
      <c r="A29" s="379" t="s">
        <v>17500</v>
      </c>
      <c r="B29" s="379"/>
      <c r="C29" s="379"/>
      <c r="D29" s="379"/>
      <c r="E29" s="379" t="str">
        <f>IFERROR(VLOOKUP(B29,[1]Releases!$A$7:$C$102,3,FALSE),"")</f>
        <v/>
      </c>
      <c r="F29" s="379"/>
      <c r="G29" s="379"/>
      <c r="H29" s="379"/>
      <c r="I29" s="379"/>
      <c r="J29" s="379"/>
      <c r="K29" s="379"/>
      <c r="L29" s="381"/>
      <c r="M29" s="381"/>
      <c r="N29" s="381"/>
      <c r="O29" s="381"/>
    </row>
    <row r="30" spans="1:16" x14ac:dyDescent="0.3">
      <c r="A30" s="379"/>
      <c r="B30" s="379"/>
      <c r="C30" s="379"/>
      <c r="D30" s="379"/>
      <c r="E30" s="379" t="str">
        <f>IFERROR(VLOOKUP(B30,[1]Releases!$A$7:$C$102,3,FALSE),"")</f>
        <v/>
      </c>
      <c r="F30" s="379"/>
      <c r="G30" s="379"/>
      <c r="H30" s="379"/>
      <c r="I30" s="379"/>
      <c r="J30" s="379"/>
      <c r="K30" s="379"/>
      <c r="L30" s="381"/>
      <c r="M30" s="381"/>
      <c r="N30" s="381"/>
      <c r="O30" s="381"/>
    </row>
    <row r="31" spans="1:16" x14ac:dyDescent="0.3">
      <c r="A31" s="379" t="s">
        <v>17501</v>
      </c>
      <c r="B31" s="379"/>
      <c r="C31" s="379"/>
      <c r="D31" s="379"/>
      <c r="E31" s="379" t="str">
        <f>IFERROR(VLOOKUP(B31,[1]Releases!$A$7:$C$102,3,FALSE),"")</f>
        <v/>
      </c>
      <c r="F31" s="379"/>
      <c r="G31" s="379"/>
      <c r="H31" s="379"/>
      <c r="I31" s="379"/>
      <c r="J31" s="379"/>
      <c r="K31" s="379"/>
      <c r="L31" s="381"/>
      <c r="M31" s="381"/>
      <c r="N31" s="381"/>
      <c r="O31" s="381"/>
    </row>
    <row r="32" spans="1:16" x14ac:dyDescent="0.3">
      <c r="A32" s="379"/>
      <c r="B32" s="379"/>
      <c r="C32" s="379"/>
      <c r="D32" s="379"/>
      <c r="E32" s="379" t="str">
        <f>IFERROR(VLOOKUP(B32,[1]Releases!$A$7:$C$102,3,FALSE),"")</f>
        <v/>
      </c>
      <c r="F32" s="379"/>
      <c r="G32" s="379"/>
      <c r="H32" s="379"/>
      <c r="I32" s="379"/>
      <c r="J32" s="379"/>
      <c r="K32" s="379"/>
      <c r="L32" s="381"/>
      <c r="M32" s="381"/>
      <c r="N32" s="381"/>
      <c r="O32" s="381"/>
    </row>
    <row r="33" spans="1:15" x14ac:dyDescent="0.3">
      <c r="A33" s="379" t="s">
        <v>17502</v>
      </c>
      <c r="B33" s="379"/>
      <c r="C33" s="379"/>
      <c r="D33" s="379"/>
      <c r="E33" s="379" t="str">
        <f>IFERROR(VLOOKUP(B33,[1]Releases!$A$7:$C$102,3,FALSE),"")</f>
        <v/>
      </c>
      <c r="F33" s="379"/>
      <c r="G33" s="379"/>
      <c r="H33" s="379"/>
      <c r="I33" s="379"/>
      <c r="J33" s="379"/>
      <c r="K33" s="379"/>
      <c r="L33" s="381"/>
      <c r="M33" s="381"/>
      <c r="N33" s="381"/>
      <c r="O33" s="381"/>
    </row>
    <row r="34" spans="1:15" x14ac:dyDescent="0.3">
      <c r="E34" t="str">
        <f>IFERROR(VLOOKUP(B34,[1]Releases!$A$7:$C$102,3,FALSE),"")</f>
        <v/>
      </c>
      <c r="L34" s="381"/>
      <c r="M34" s="381"/>
      <c r="N34" s="381"/>
      <c r="O34" s="381"/>
    </row>
    <row r="35" spans="1:15" x14ac:dyDescent="0.3">
      <c r="E35" t="str">
        <f>IFERROR(VLOOKUP(B35,[1]Releases!$A$7:$C$102,3,FALSE),"")</f>
        <v/>
      </c>
      <c r="L35" s="381"/>
      <c r="M35" s="381"/>
      <c r="N35" s="381"/>
      <c r="O35" s="381"/>
    </row>
    <row r="36" spans="1:15" x14ac:dyDescent="0.3">
      <c r="E36" t="str">
        <f>IFERROR(VLOOKUP(B36,[1]Releases!$A$7:$C$102,3,FALSE),"")</f>
        <v/>
      </c>
      <c r="L36" s="381"/>
      <c r="M36" s="381"/>
      <c r="N36" s="381"/>
      <c r="O36" s="381"/>
    </row>
    <row r="37" spans="1:15" ht="18" x14ac:dyDescent="0.35">
      <c r="A37" s="84" t="s">
        <v>17503</v>
      </c>
      <c r="B37" s="84"/>
      <c r="C37" s="84"/>
      <c r="D37" s="84"/>
      <c r="E37" s="84" t="str">
        <f>IFERROR(VLOOKUP(B37,[1]Releases!$A$7:$C$102,3,FALSE),"")</f>
        <v/>
      </c>
      <c r="F37" s="84"/>
      <c r="G37" s="84"/>
      <c r="H37" s="84"/>
      <c r="I37" s="84"/>
      <c r="J37" s="84"/>
      <c r="K37" s="84"/>
      <c r="L37" s="381"/>
      <c r="M37" s="381"/>
      <c r="N37" s="381"/>
      <c r="O37" s="381"/>
    </row>
    <row r="38" spans="1:15" x14ac:dyDescent="0.3">
      <c r="E38" t="str">
        <f>IFERROR(VLOOKUP(B38,[1]Releases!$A$7:$C$102,3,FALSE),"")</f>
        <v/>
      </c>
      <c r="L38" s="381"/>
      <c r="M38" s="381"/>
      <c r="N38" s="381"/>
      <c r="O38" s="381"/>
    </row>
    <row r="39" spans="1:15" ht="15.6" x14ac:dyDescent="0.3">
      <c r="A39" s="380" t="s">
        <v>17504</v>
      </c>
      <c r="B39" s="381"/>
      <c r="C39" s="381"/>
      <c r="D39" s="381"/>
      <c r="E39" s="381" t="str">
        <f>IFERROR(VLOOKUP(B39,[1]Releases!$A$7:$C$102,3,FALSE),"")</f>
        <v/>
      </c>
      <c r="F39" s="381"/>
      <c r="G39" s="381"/>
      <c r="H39" s="381"/>
      <c r="I39" s="381"/>
      <c r="J39" s="381"/>
      <c r="K39" s="381"/>
      <c r="L39" s="381"/>
      <c r="M39" s="381"/>
      <c r="N39" s="381"/>
      <c r="O39" s="381"/>
    </row>
    <row r="40" spans="1:15" x14ac:dyDescent="0.3">
      <c r="A40" s="381" t="s">
        <v>17505</v>
      </c>
      <c r="B40" s="381"/>
      <c r="C40" s="381"/>
      <c r="D40" s="381"/>
      <c r="E40" s="381" t="str">
        <f>IFERROR(VLOOKUP(B40,[1]Releases!$A$7:$C$102,3,FALSE),"")</f>
        <v/>
      </c>
      <c r="F40" s="381"/>
      <c r="G40" s="381"/>
      <c r="H40" s="381"/>
      <c r="I40" s="381"/>
      <c r="J40" s="381"/>
      <c r="K40" s="381"/>
      <c r="L40" s="381"/>
      <c r="M40" s="381"/>
      <c r="N40" s="381"/>
      <c r="O40" s="381"/>
    </row>
    <row r="41" spans="1:15" x14ac:dyDescent="0.3">
      <c r="A41" s="381" t="s">
        <v>17506</v>
      </c>
      <c r="B41" s="381"/>
      <c r="C41" s="381"/>
      <c r="D41" s="381"/>
      <c r="E41" s="381" t="str">
        <f>IFERROR(VLOOKUP(B41,[1]Releases!$A$7:$C$102,3,FALSE),"")</f>
        <v/>
      </c>
      <c r="F41" s="381"/>
      <c r="G41" s="381"/>
      <c r="H41" s="381"/>
      <c r="I41" s="381"/>
      <c r="J41" s="381"/>
      <c r="K41" s="381"/>
      <c r="L41" s="381"/>
      <c r="M41" s="381"/>
      <c r="N41" s="381"/>
      <c r="O41" s="381"/>
    </row>
    <row r="42" spans="1:15" x14ac:dyDescent="0.3">
      <c r="A42" s="381" t="s">
        <v>17507</v>
      </c>
      <c r="B42" s="381"/>
      <c r="C42" s="381"/>
      <c r="D42" s="381"/>
      <c r="E42" s="381" t="str">
        <f>IFERROR(VLOOKUP(B42,[1]Releases!$A$7:$C$102,3,FALSE),"")</f>
        <v/>
      </c>
      <c r="F42" s="381"/>
      <c r="G42" s="381"/>
      <c r="H42" s="381"/>
      <c r="I42" s="381"/>
      <c r="J42" s="381"/>
      <c r="K42" s="381"/>
      <c r="L42" s="381"/>
      <c r="M42" s="381"/>
      <c r="N42" s="381"/>
      <c r="O42" s="381"/>
    </row>
    <row r="43" spans="1:15" x14ac:dyDescent="0.3">
      <c r="A43" s="381"/>
      <c r="B43" s="381"/>
      <c r="C43" s="381"/>
      <c r="D43" s="381"/>
      <c r="E43" s="381" t="str">
        <f>IFERROR(VLOOKUP(B43,[1]Releases!$A$7:$C$102,3,FALSE),"")</f>
        <v/>
      </c>
      <c r="F43" s="381"/>
      <c r="G43" s="381"/>
      <c r="H43" s="381"/>
      <c r="I43" s="381"/>
      <c r="J43" s="381"/>
      <c r="K43" s="381"/>
      <c r="L43" s="381"/>
      <c r="M43" s="381"/>
      <c r="N43" s="381"/>
      <c r="O43" s="381"/>
    </row>
    <row r="44" spans="1:15" x14ac:dyDescent="0.3">
      <c r="A44" s="381" t="s">
        <v>17508</v>
      </c>
      <c r="B44" s="381"/>
      <c r="C44" s="381"/>
      <c r="D44" s="381"/>
      <c r="E44" s="381" t="str">
        <f>IFERROR(VLOOKUP(B44,[1]Releases!$A$7:$C$102,3,FALSE),"")</f>
        <v/>
      </c>
      <c r="F44" s="381"/>
      <c r="G44" s="381"/>
      <c r="H44" s="381"/>
      <c r="I44" s="381"/>
      <c r="J44" s="381"/>
      <c r="K44" s="381"/>
      <c r="L44" s="381"/>
      <c r="M44" s="381"/>
      <c r="N44" s="381"/>
      <c r="O44" s="381"/>
    </row>
    <row r="45" spans="1:15" x14ac:dyDescent="0.3">
      <c r="A45" s="381" t="s">
        <v>17509</v>
      </c>
      <c r="B45" s="381"/>
      <c r="C45" s="381"/>
      <c r="D45" s="381"/>
      <c r="E45" s="381" t="str">
        <f>IFERROR(VLOOKUP(B45,[1]Releases!$A$7:$C$102,3,FALSE),"")</f>
        <v/>
      </c>
      <c r="F45" s="381"/>
      <c r="G45" s="381"/>
      <c r="H45" s="381"/>
      <c r="I45" s="381"/>
      <c r="J45" s="381"/>
      <c r="K45" s="381"/>
      <c r="L45" s="381"/>
      <c r="M45" s="381"/>
      <c r="N45" s="381"/>
      <c r="O45" s="381"/>
    </row>
    <row r="46" spans="1:15" x14ac:dyDescent="0.3">
      <c r="A46" s="381" t="s">
        <v>17510</v>
      </c>
      <c r="B46" s="381"/>
      <c r="C46" s="381"/>
      <c r="D46" s="381"/>
      <c r="E46" s="381" t="str">
        <f>IFERROR(VLOOKUP(B46,[1]Releases!$A$7:$C$102,3,FALSE),"")</f>
        <v/>
      </c>
      <c r="F46" s="381"/>
      <c r="G46" s="381"/>
      <c r="H46" s="381"/>
      <c r="I46" s="381"/>
      <c r="J46" s="381"/>
      <c r="K46" s="381"/>
      <c r="L46" s="381"/>
      <c r="M46" s="381"/>
      <c r="N46" s="381"/>
      <c r="O46" s="381"/>
    </row>
    <row r="47" spans="1:15" x14ac:dyDescent="0.3">
      <c r="A47" s="381" t="s">
        <v>17511</v>
      </c>
      <c r="B47" s="381"/>
      <c r="C47" s="381"/>
      <c r="D47" s="381"/>
      <c r="E47" s="381" t="str">
        <f>IFERROR(VLOOKUP(B47,[1]Releases!$A$7:$C$102,3,FALSE),"")</f>
        <v/>
      </c>
      <c r="F47" s="381"/>
      <c r="G47" s="381"/>
      <c r="H47" s="381"/>
      <c r="I47" s="381"/>
      <c r="J47" s="381"/>
      <c r="K47" s="381"/>
      <c r="L47" s="381"/>
      <c r="M47" s="381"/>
      <c r="N47" s="381"/>
      <c r="O47" s="381"/>
    </row>
    <row r="48" spans="1:15" x14ac:dyDescent="0.3">
      <c r="A48" s="381" t="s">
        <v>17512</v>
      </c>
      <c r="B48" s="381"/>
      <c r="C48" s="381"/>
      <c r="D48" s="381"/>
      <c r="E48" s="381" t="str">
        <f>IFERROR(VLOOKUP(B48,[1]Releases!$A$7:$C$102,3,FALSE),"")</f>
        <v/>
      </c>
      <c r="F48" s="381"/>
      <c r="G48" s="381"/>
      <c r="H48" s="381"/>
      <c r="I48" s="381"/>
      <c r="J48" s="381"/>
      <c r="K48" s="381"/>
      <c r="L48" s="381"/>
      <c r="M48" s="381"/>
      <c r="N48" s="381"/>
      <c r="O48" s="381"/>
    </row>
    <row r="49" spans="1:15" x14ac:dyDescent="0.3">
      <c r="A49" s="381"/>
      <c r="B49" s="381"/>
      <c r="C49" s="381"/>
      <c r="D49" s="381"/>
      <c r="E49" s="381" t="str">
        <f>IFERROR(VLOOKUP(B49,[1]Releases!$A$7:$C$102,3,FALSE),"")</f>
        <v/>
      </c>
      <c r="F49" s="381"/>
      <c r="G49" s="381"/>
      <c r="H49" s="381"/>
      <c r="I49" s="381"/>
      <c r="J49" s="381"/>
      <c r="K49" s="381"/>
      <c r="L49" s="381"/>
      <c r="M49" s="381"/>
      <c r="N49" s="381"/>
      <c r="O49" s="381"/>
    </row>
    <row r="50" spans="1:15" ht="15.6" x14ac:dyDescent="0.3">
      <c r="A50" s="380" t="s">
        <v>17513</v>
      </c>
      <c r="B50" s="381"/>
      <c r="C50" s="381"/>
      <c r="D50" s="381"/>
      <c r="E50" s="381" t="str">
        <f>IFERROR(VLOOKUP(B50,[1]Releases!$A$7:$C$102,3,FALSE),"")</f>
        <v/>
      </c>
      <c r="F50" s="381"/>
      <c r="G50" s="381"/>
      <c r="H50" s="381"/>
      <c r="I50" s="381"/>
      <c r="J50" s="381"/>
      <c r="K50" s="381"/>
      <c r="L50" s="381"/>
      <c r="M50" s="381"/>
      <c r="N50" s="381"/>
      <c r="O50" s="381"/>
    </row>
    <row r="51" spans="1:15" x14ac:dyDescent="0.3">
      <c r="A51" s="381"/>
      <c r="B51" s="381"/>
      <c r="C51" s="381"/>
      <c r="D51" s="381"/>
      <c r="E51" s="381" t="str">
        <f>IFERROR(VLOOKUP(B51,[1]Releases!$A$7:$C$102,3,FALSE),"")</f>
        <v/>
      </c>
      <c r="F51" s="381"/>
      <c r="G51" s="381"/>
      <c r="H51" s="381"/>
      <c r="I51" s="381"/>
      <c r="J51" s="381"/>
      <c r="K51" s="381"/>
      <c r="L51" s="381"/>
      <c r="M51" s="381"/>
      <c r="N51" s="381"/>
      <c r="O51" s="381"/>
    </row>
    <row r="52" spans="1:15" x14ac:dyDescent="0.3">
      <c r="A52" s="382" t="s">
        <v>1397</v>
      </c>
      <c r="B52" s="382" t="s">
        <v>17514</v>
      </c>
      <c r="C52" s="382" t="s">
        <v>17515</v>
      </c>
      <c r="D52" s="381"/>
      <c r="E52" s="381" t="str">
        <f>IFERROR(VLOOKUP(B52,[1]Releases!$A$7:$C$102,3,FALSE),"")</f>
        <v/>
      </c>
      <c r="F52" s="381"/>
      <c r="G52" s="381"/>
      <c r="H52" s="381"/>
      <c r="I52" s="381"/>
      <c r="J52" s="381"/>
      <c r="K52" s="381"/>
      <c r="L52" s="381"/>
      <c r="M52" s="381"/>
      <c r="N52" s="381"/>
      <c r="O52" s="381"/>
    </row>
    <row r="53" spans="1:15" x14ac:dyDescent="0.3">
      <c r="A53" s="381" t="s">
        <v>14858</v>
      </c>
      <c r="B53" s="381" t="s">
        <v>17516</v>
      </c>
      <c r="C53" s="381" t="s">
        <v>17517</v>
      </c>
      <c r="D53" s="381"/>
      <c r="E53" s="381" t="str">
        <f>IFERROR(VLOOKUP(B53,[1]Releases!$A$7:$C$102,3,FALSE),"")</f>
        <v/>
      </c>
      <c r="F53" s="381"/>
      <c r="G53" s="381"/>
      <c r="H53" s="381"/>
      <c r="I53" s="381"/>
      <c r="J53" s="381"/>
      <c r="K53" s="381"/>
      <c r="L53" s="381"/>
      <c r="M53" s="381"/>
      <c r="N53" s="381"/>
      <c r="O53" s="381"/>
    </row>
    <row r="54" spans="1:15" x14ac:dyDescent="0.3">
      <c r="A54" s="381" t="s">
        <v>1066</v>
      </c>
      <c r="B54" s="381" t="s">
        <v>17518</v>
      </c>
      <c r="C54" s="381" t="s">
        <v>17519</v>
      </c>
      <c r="D54" s="381"/>
      <c r="E54" s="381" t="str">
        <f>IFERROR(VLOOKUP(B54,[1]Releases!$A$7:$C$102,3,FALSE),"")</f>
        <v/>
      </c>
      <c r="F54" s="381"/>
      <c r="G54" s="381"/>
      <c r="H54" s="381"/>
      <c r="I54" s="381"/>
      <c r="J54" s="381"/>
      <c r="K54" s="381"/>
      <c r="L54" s="381"/>
      <c r="M54" s="381"/>
      <c r="N54" s="381"/>
      <c r="O54" s="381"/>
    </row>
    <row r="55" spans="1:15" x14ac:dyDescent="0.3">
      <c r="A55" s="381" t="s">
        <v>17465</v>
      </c>
      <c r="B55" s="381" t="s">
        <v>17520</v>
      </c>
      <c r="C55" s="381" t="s">
        <v>17521</v>
      </c>
      <c r="D55" s="381"/>
      <c r="E55" s="381" t="str">
        <f>IFERROR(VLOOKUP(B55,[1]Releases!$A$7:$C$102,3,FALSE),"")</f>
        <v/>
      </c>
      <c r="F55" s="381"/>
      <c r="G55" s="381"/>
      <c r="H55" s="381"/>
      <c r="I55" s="381"/>
      <c r="J55" s="381"/>
      <c r="K55" s="381"/>
      <c r="L55" s="381"/>
      <c r="M55" s="381"/>
      <c r="N55" s="381"/>
      <c r="O55" s="381"/>
    </row>
    <row r="56" spans="1:15" x14ac:dyDescent="0.3">
      <c r="A56" s="381" t="s">
        <v>14853</v>
      </c>
      <c r="B56" s="381" t="s">
        <v>17522</v>
      </c>
      <c r="C56" s="381" t="s">
        <v>17523</v>
      </c>
      <c r="D56" s="381"/>
      <c r="E56" s="381" t="str">
        <f>IFERROR(VLOOKUP(B56,[1]Releases!$A$7:$C$102,3,FALSE),"")</f>
        <v/>
      </c>
      <c r="F56" s="381"/>
      <c r="G56" s="381"/>
      <c r="H56" s="381"/>
      <c r="I56" s="381"/>
      <c r="J56" s="381"/>
      <c r="K56" s="381"/>
      <c r="L56" s="381"/>
      <c r="M56" s="381"/>
      <c r="N56" s="381"/>
      <c r="O56" s="381"/>
    </row>
    <row r="57" spans="1:15" x14ac:dyDescent="0.3">
      <c r="A57" s="381" t="s">
        <v>1427</v>
      </c>
      <c r="B57" s="381" t="s">
        <v>17524</v>
      </c>
      <c r="C57" s="381" t="s">
        <v>17525</v>
      </c>
      <c r="D57" s="381"/>
      <c r="E57" s="381" t="str">
        <f>IFERROR(VLOOKUP(B57,[1]Releases!$A$7:$C$102,3,FALSE),"")</f>
        <v/>
      </c>
      <c r="F57" s="381"/>
      <c r="G57" s="381"/>
      <c r="H57" s="381"/>
      <c r="I57" s="381"/>
      <c r="J57" s="381"/>
      <c r="K57" s="381"/>
      <c r="L57" s="381"/>
      <c r="M57" s="381"/>
      <c r="N57" s="381"/>
      <c r="O57" s="381"/>
    </row>
    <row r="58" spans="1:15" x14ac:dyDescent="0.3">
      <c r="A58" s="381" t="s">
        <v>152</v>
      </c>
      <c r="B58" s="381" t="s">
        <v>17526</v>
      </c>
      <c r="C58" s="381" t="s">
        <v>17527</v>
      </c>
      <c r="D58" s="381"/>
      <c r="E58" s="381" t="str">
        <f>IFERROR(VLOOKUP(B58,[1]Releases!$A$7:$C$102,3,FALSE),"")</f>
        <v/>
      </c>
      <c r="F58" s="381"/>
      <c r="G58" s="381"/>
      <c r="H58" s="381"/>
      <c r="I58" s="381"/>
      <c r="J58" s="381"/>
      <c r="K58" s="381"/>
      <c r="L58" s="381"/>
      <c r="M58" s="381"/>
      <c r="N58" s="381"/>
      <c r="O58" s="381"/>
    </row>
    <row r="59" spans="1:15" x14ac:dyDescent="0.3">
      <c r="A59" s="381"/>
      <c r="B59" s="381"/>
      <c r="C59" s="381"/>
      <c r="D59" s="381"/>
      <c r="E59" s="381" t="str">
        <f>IFERROR(VLOOKUP(B59,[1]Releases!$A$7:$C$102,3,FALSE),"")</f>
        <v/>
      </c>
      <c r="F59" s="381"/>
      <c r="G59" s="381"/>
      <c r="H59" s="381"/>
      <c r="I59" s="381"/>
      <c r="J59" s="381"/>
      <c r="K59" s="381"/>
      <c r="L59" s="381"/>
      <c r="M59" s="381"/>
      <c r="N59" s="381"/>
      <c r="O59" s="381"/>
    </row>
    <row r="60" spans="1:15" ht="15.6" x14ac:dyDescent="0.3">
      <c r="A60" s="380" t="s">
        <v>17528</v>
      </c>
      <c r="B60" s="381"/>
      <c r="C60" s="381"/>
      <c r="D60" s="381"/>
      <c r="E60" s="381" t="str">
        <f>IFERROR(VLOOKUP(B60,[1]Releases!$A$7:$C$102,3,FALSE),"")</f>
        <v/>
      </c>
      <c r="F60" s="381"/>
      <c r="G60" s="381"/>
      <c r="H60" s="381"/>
      <c r="I60" s="381"/>
      <c r="J60" s="381"/>
      <c r="K60" s="381"/>
      <c r="L60" s="381"/>
      <c r="M60" s="381"/>
      <c r="N60" s="381"/>
      <c r="O60" s="381"/>
    </row>
    <row r="61" spans="1:15" x14ac:dyDescent="0.3">
      <c r="A61" s="381"/>
      <c r="B61" s="381"/>
      <c r="C61" s="381"/>
      <c r="D61" s="381"/>
      <c r="E61" s="381" t="str">
        <f>IFERROR(VLOOKUP(B61,[1]Releases!$A$7:$C$102,3,FALSE),"")</f>
        <v/>
      </c>
      <c r="F61" s="381"/>
      <c r="G61" s="381"/>
      <c r="H61" s="381"/>
      <c r="I61" s="381"/>
      <c r="J61" s="381"/>
      <c r="K61" s="381"/>
      <c r="L61" s="381"/>
      <c r="M61" s="381"/>
      <c r="N61" s="381"/>
      <c r="O61" s="381"/>
    </row>
    <row r="62" spans="1:15" x14ac:dyDescent="0.3">
      <c r="A62" s="381" t="s">
        <v>17529</v>
      </c>
      <c r="B62" s="381"/>
      <c r="C62" s="381"/>
      <c r="D62" s="381"/>
      <c r="E62" s="381" t="str">
        <f>IFERROR(VLOOKUP(B62,[1]Releases!$A$7:$C$102,3,FALSE),"")</f>
        <v/>
      </c>
      <c r="F62" s="381"/>
      <c r="G62" s="381"/>
      <c r="H62" s="381"/>
      <c r="I62" s="381"/>
      <c r="J62" s="381"/>
      <c r="K62" s="381"/>
      <c r="L62" s="381"/>
      <c r="M62" s="381"/>
      <c r="N62" s="381"/>
      <c r="O62" s="381"/>
    </row>
    <row r="63" spans="1:15" x14ac:dyDescent="0.3">
      <c r="A63" s="381" t="s">
        <v>17530</v>
      </c>
      <c r="B63" s="381"/>
      <c r="C63" s="381"/>
      <c r="D63" s="381"/>
      <c r="E63" s="381" t="str">
        <f>IFERROR(VLOOKUP(B63,[1]Releases!$A$7:$C$102,3,FALSE),"")</f>
        <v/>
      </c>
      <c r="F63" s="381"/>
      <c r="G63" s="381"/>
      <c r="H63" s="381"/>
      <c r="I63" s="381"/>
      <c r="J63" s="381"/>
      <c r="K63" s="381"/>
      <c r="L63" s="381"/>
      <c r="M63" s="381"/>
      <c r="N63" s="381"/>
      <c r="O63" s="381"/>
    </row>
    <row r="64" spans="1:15" x14ac:dyDescent="0.3">
      <c r="A64" s="381" t="s">
        <v>17531</v>
      </c>
      <c r="B64" s="381"/>
      <c r="C64" s="381"/>
      <c r="D64" s="381"/>
      <c r="E64" s="381" t="str">
        <f>IFERROR(VLOOKUP(B64,[1]Releases!$A$7:$C$102,3,FALSE),"")</f>
        <v/>
      </c>
      <c r="F64" s="381"/>
      <c r="G64" s="381"/>
      <c r="H64" s="381"/>
      <c r="I64" s="381"/>
      <c r="J64" s="381"/>
      <c r="K64" s="381"/>
      <c r="L64" s="381"/>
      <c r="M64" s="381"/>
      <c r="N64" s="381"/>
      <c r="O64" s="381"/>
    </row>
    <row r="65" spans="1:15" x14ac:dyDescent="0.3">
      <c r="A65" s="381" t="s">
        <v>17532</v>
      </c>
      <c r="B65" s="381"/>
      <c r="C65" s="381"/>
      <c r="D65" s="381"/>
      <c r="E65" s="381"/>
      <c r="F65" s="381"/>
      <c r="G65" s="381"/>
      <c r="H65" s="381"/>
      <c r="I65" s="381"/>
      <c r="J65" s="381"/>
      <c r="K65" s="381"/>
      <c r="L65" s="381"/>
      <c r="M65" s="381"/>
      <c r="N65" s="381"/>
      <c r="O65" s="381"/>
    </row>
    <row r="66" spans="1:15" x14ac:dyDescent="0.3">
      <c r="A66" s="381"/>
      <c r="B66" s="381"/>
      <c r="C66" s="381"/>
      <c r="D66" s="381"/>
      <c r="E66" s="381"/>
      <c r="F66" s="381"/>
      <c r="G66" s="381"/>
      <c r="H66" s="381"/>
      <c r="I66" s="381"/>
      <c r="J66" s="381"/>
      <c r="K66" s="381"/>
      <c r="L66" s="381"/>
      <c r="M66" s="381"/>
      <c r="N66" s="381"/>
      <c r="O66" s="381"/>
    </row>
    <row r="67" spans="1:15" x14ac:dyDescent="0.3">
      <c r="A67" s="381" t="s">
        <v>17533</v>
      </c>
      <c r="B67" s="381"/>
      <c r="C67" s="381"/>
      <c r="D67" s="381"/>
      <c r="E67" s="381"/>
      <c r="F67" s="381"/>
      <c r="G67" s="381"/>
      <c r="H67" s="381"/>
      <c r="I67" s="381"/>
      <c r="J67" s="381"/>
      <c r="K67" s="381"/>
      <c r="L67" s="381"/>
      <c r="M67" s="381"/>
      <c r="N67" s="381"/>
      <c r="O67" s="381"/>
    </row>
    <row r="68" spans="1:15" x14ac:dyDescent="0.3">
      <c r="A68" s="381" t="s">
        <v>17534</v>
      </c>
      <c r="B68" s="381"/>
      <c r="C68" s="381"/>
      <c r="D68" s="381"/>
      <c r="E68" s="381"/>
      <c r="F68" s="381"/>
      <c r="G68" s="381"/>
      <c r="H68" s="381"/>
      <c r="I68" s="381"/>
      <c r="J68" s="381"/>
      <c r="K68" s="381"/>
      <c r="L68" s="381"/>
      <c r="M68" s="381"/>
      <c r="N68" s="381"/>
      <c r="O68" s="381"/>
    </row>
    <row r="69" spans="1:15" x14ac:dyDescent="0.3">
      <c r="A69" s="381" t="s">
        <v>17535</v>
      </c>
      <c r="B69" s="381"/>
      <c r="C69" s="381"/>
      <c r="D69" s="381"/>
      <c r="E69" s="381"/>
      <c r="F69" s="381"/>
      <c r="G69" s="381"/>
      <c r="H69" s="381"/>
      <c r="I69" s="381"/>
      <c r="J69" s="381"/>
      <c r="K69" s="381"/>
      <c r="L69" s="381"/>
      <c r="M69" s="381"/>
      <c r="N69" s="381"/>
      <c r="O69" s="381"/>
    </row>
    <row r="70" spans="1:15" x14ac:dyDescent="0.3">
      <c r="A70" s="381" t="s">
        <v>17536</v>
      </c>
      <c r="B70" s="381"/>
      <c r="C70" s="381"/>
      <c r="D70" s="381"/>
      <c r="E70" s="381"/>
      <c r="F70" s="381"/>
      <c r="G70" s="381"/>
      <c r="H70" s="381"/>
      <c r="I70" s="381"/>
      <c r="J70" s="381"/>
      <c r="K70" s="381"/>
      <c r="L70" s="381"/>
      <c r="M70" s="381"/>
      <c r="N70" s="381"/>
      <c r="O70" s="381"/>
    </row>
    <row r="71" spans="1:15" x14ac:dyDescent="0.3">
      <c r="A71" s="381"/>
      <c r="B71" s="381"/>
      <c r="C71" s="381"/>
      <c r="D71" s="381"/>
      <c r="E71" s="381"/>
      <c r="F71" s="381"/>
      <c r="G71" s="381"/>
      <c r="H71" s="381"/>
      <c r="I71" s="381"/>
      <c r="J71" s="381"/>
      <c r="K71" s="381"/>
      <c r="L71" s="381"/>
      <c r="M71" s="381"/>
      <c r="N71" s="381"/>
      <c r="O71" s="381"/>
    </row>
    <row r="72" spans="1:15" x14ac:dyDescent="0.3">
      <c r="A72" s="381" t="s">
        <v>17537</v>
      </c>
      <c r="B72" s="381"/>
      <c r="C72" s="381"/>
      <c r="D72" s="381"/>
      <c r="E72" s="381"/>
      <c r="F72" s="381"/>
      <c r="G72" s="381"/>
      <c r="H72" s="381"/>
      <c r="I72" s="381"/>
      <c r="J72" s="381"/>
      <c r="K72" s="381"/>
      <c r="L72" s="381"/>
      <c r="M72" s="381"/>
      <c r="N72" s="381"/>
      <c r="O72" s="381"/>
    </row>
    <row r="73" spans="1:15" x14ac:dyDescent="0.3">
      <c r="A73" s="381" t="s">
        <v>17538</v>
      </c>
      <c r="B73" s="381"/>
      <c r="C73" s="381"/>
      <c r="D73" s="381"/>
      <c r="E73" s="381"/>
      <c r="F73" s="381"/>
      <c r="G73" s="381"/>
      <c r="H73" s="381"/>
      <c r="I73" s="381"/>
      <c r="J73" s="381"/>
      <c r="K73" s="381"/>
    </row>
    <row r="74" spans="1:15" x14ac:dyDescent="0.3">
      <c r="A74" s="381" t="s">
        <v>17539</v>
      </c>
      <c r="B74" s="381"/>
      <c r="C74" s="381"/>
      <c r="D74" s="381"/>
      <c r="E74" s="381"/>
      <c r="F74" s="381"/>
      <c r="G74" s="381"/>
      <c r="H74" s="381"/>
      <c r="I74" s="381"/>
      <c r="J74" s="381"/>
      <c r="K74" s="381"/>
    </row>
    <row r="75" spans="1:15" x14ac:dyDescent="0.3">
      <c r="A75" s="381" t="s">
        <v>17540</v>
      </c>
      <c r="B75" s="381"/>
      <c r="C75" s="381"/>
      <c r="D75" s="381"/>
      <c r="E75" s="381"/>
      <c r="F75" s="381"/>
      <c r="G75" s="381"/>
      <c r="H75" s="381"/>
      <c r="I75" s="381"/>
      <c r="J75" s="381"/>
      <c r="K75" s="381"/>
    </row>
    <row r="76" spans="1:15" x14ac:dyDescent="0.3">
      <c r="A76" s="381"/>
      <c r="B76" s="381"/>
      <c r="C76" s="381"/>
      <c r="D76" s="381"/>
      <c r="E76" s="381"/>
      <c r="F76" s="381"/>
      <c r="G76" s="381"/>
      <c r="H76" s="381"/>
      <c r="I76" s="381"/>
      <c r="J76" s="381"/>
      <c r="K76" s="381"/>
    </row>
    <row r="77" spans="1:15" x14ac:dyDescent="0.3">
      <c r="A77" s="458" t="s">
        <v>17541</v>
      </c>
      <c r="B77" s="381"/>
      <c r="C77" s="381"/>
      <c r="D77" s="381"/>
      <c r="E77" s="381"/>
      <c r="F77" s="381"/>
      <c r="G77" s="381"/>
      <c r="H77" s="381"/>
      <c r="I77" s="381"/>
      <c r="J77" s="381"/>
      <c r="K77" s="381"/>
    </row>
    <row r="78" spans="1:15" x14ac:dyDescent="0.3">
      <c r="A78" s="381"/>
      <c r="B78" s="381"/>
      <c r="C78" s="381"/>
      <c r="D78" s="381"/>
      <c r="E78" s="381"/>
      <c r="F78" s="381"/>
      <c r="G78" s="381"/>
      <c r="H78" s="381"/>
      <c r="I78" s="381"/>
      <c r="J78" s="381"/>
      <c r="K78" s="381"/>
    </row>
    <row r="79" spans="1:15" x14ac:dyDescent="0.3">
      <c r="A79" s="381" t="s">
        <v>17542</v>
      </c>
      <c r="B79" s="381"/>
      <c r="C79" s="381"/>
      <c r="D79" s="381"/>
      <c r="E79" s="381"/>
      <c r="F79" s="381"/>
      <c r="G79" s="381"/>
      <c r="H79" s="381"/>
      <c r="I79" s="381"/>
      <c r="J79" s="381"/>
      <c r="K79" s="381"/>
    </row>
    <row r="80" spans="1:15" x14ac:dyDescent="0.3">
      <c r="A80" s="381" t="s">
        <v>17543</v>
      </c>
      <c r="B80" s="381"/>
      <c r="C80" s="381"/>
      <c r="D80" s="381"/>
      <c r="E80" s="381"/>
      <c r="F80" s="381"/>
      <c r="G80" s="381"/>
      <c r="H80" s="381"/>
      <c r="I80" s="381"/>
      <c r="J80" s="381"/>
      <c r="K80" s="381"/>
    </row>
    <row r="81" spans="1:11" x14ac:dyDescent="0.3">
      <c r="A81" s="381" t="s">
        <v>17544</v>
      </c>
      <c r="B81" s="381"/>
      <c r="C81" s="381"/>
      <c r="D81" s="381"/>
      <c r="E81" s="381"/>
      <c r="F81" s="381"/>
      <c r="G81" s="381"/>
      <c r="H81" s="381"/>
      <c r="I81" s="381"/>
      <c r="J81" s="381"/>
      <c r="K81" s="381"/>
    </row>
    <row r="82" spans="1:11" x14ac:dyDescent="0.3">
      <c r="A82" s="381" t="s">
        <v>17545</v>
      </c>
      <c r="B82" s="381"/>
      <c r="C82" s="381"/>
      <c r="D82" s="381"/>
      <c r="E82" s="381"/>
      <c r="F82" s="381"/>
      <c r="G82" s="381"/>
      <c r="H82" s="381"/>
      <c r="I82" s="381"/>
      <c r="J82" s="381"/>
      <c r="K82" s="381"/>
    </row>
    <row r="83" spans="1:11" x14ac:dyDescent="0.3">
      <c r="A83" s="381" t="s">
        <v>17546</v>
      </c>
      <c r="B83" s="381"/>
      <c r="C83" s="381"/>
      <c r="D83" s="381"/>
      <c r="E83" s="381"/>
      <c r="F83" s="381"/>
      <c r="G83" s="381"/>
      <c r="H83" s="381"/>
      <c r="I83" s="381"/>
      <c r="J83" s="381"/>
      <c r="K83" s="381"/>
    </row>
    <row r="84" spans="1:11" x14ac:dyDescent="0.3">
      <c r="A84" s="381" t="s">
        <v>17547</v>
      </c>
      <c r="B84" s="381"/>
      <c r="C84" s="381"/>
      <c r="D84" s="381"/>
      <c r="E84" s="381"/>
      <c r="F84" s="381"/>
      <c r="G84" s="381"/>
      <c r="H84" s="381"/>
      <c r="I84" s="381"/>
      <c r="J84" s="381"/>
      <c r="K84" s="381"/>
    </row>
  </sheetData>
  <mergeCells count="3">
    <mergeCell ref="A1:L1"/>
    <mergeCell ref="A2:L2"/>
    <mergeCell ref="A25:K25"/>
  </mergeCells>
  <conditionalFormatting sqref="A37 A38:K72">
    <cfRule type="expression" dxfId="22" priority="14">
      <formula>OR(AND($C$3&lt;&gt;"All",$D37&lt;&gt;$C$3),AND($F$3&lt;&gt;"All",$F37&lt;&gt;$F$3),AND($H$3&lt;&gt;"All",$G37&lt;&gt;$H$3),AND($J$3&lt;&gt;"All",$J37&lt;&gt;$J$3),AND($L$3&lt;&gt;"All",$N25&lt;&gt;$L$3))</formula>
    </cfRule>
  </conditionalFormatting>
  <conditionalFormatting sqref="A26:K26">
    <cfRule type="expression" dxfId="21" priority="2">
      <formula>OR(AND($C$3&lt;&gt;"All",$D26&lt;&gt;$C$3),AND($F$3&lt;&gt;"All",$F26&lt;&gt;$F$3),AND($H$3&lt;&gt;"All",$G26&lt;&gt;$H$3),AND($J$3&lt;&gt;"All",$J26&lt;&gt;$J$3),AND($L$3&lt;&gt;"All",$N25&lt;&gt;$L$3))</formula>
    </cfRule>
  </conditionalFormatting>
  <conditionalFormatting sqref="A27:K27">
    <cfRule type="expression" dxfId="20" priority="3">
      <formula>OR(AND($C$3&lt;&gt;"All",$D27&lt;&gt;$C$3),AND($F$3&lt;&gt;"All",$F27&lt;&gt;$F$3),AND($H$3&lt;&gt;"All",$G27&lt;&gt;$H$3),AND($J$3&lt;&gt;"All",$J27&lt;&gt;$J$3),AND($L$3&lt;&gt;"All",$N25&lt;&gt;$L$3))</formula>
    </cfRule>
  </conditionalFormatting>
  <conditionalFormatting sqref="A28:K28">
    <cfRule type="expression" dxfId="19" priority="4">
      <formula>OR(AND($C$3&lt;&gt;"All",$D28&lt;&gt;$C$3),AND($F$3&lt;&gt;"All",$F28&lt;&gt;$F$3),AND($H$3&lt;&gt;"All",$G28&lt;&gt;$H$3),AND($J$3&lt;&gt;"All",$J28&lt;&gt;$J$3),AND($L$3&lt;&gt;"All",$N25&lt;&gt;$L$3))</formula>
    </cfRule>
  </conditionalFormatting>
  <conditionalFormatting sqref="A29:K29">
    <cfRule type="expression" dxfId="18" priority="5">
      <formula>OR(AND($C$3&lt;&gt;"All",$D29&lt;&gt;$C$3),AND($F$3&lt;&gt;"All",$F29&lt;&gt;$F$3),AND($H$3&lt;&gt;"All",$G29&lt;&gt;$H$3),AND($J$3&lt;&gt;"All",$J29&lt;&gt;$J$3),AND($L$3&lt;&gt;"All",$N25&lt;&gt;$L$3))</formula>
    </cfRule>
  </conditionalFormatting>
  <conditionalFormatting sqref="A30:K30">
    <cfRule type="expression" dxfId="17" priority="6">
      <formula>OR(AND($C$3&lt;&gt;"All",$D30&lt;&gt;$C$3),AND($F$3&lt;&gt;"All",$F30&lt;&gt;$F$3),AND($H$3&lt;&gt;"All",$G30&lt;&gt;$H$3),AND($J$3&lt;&gt;"All",$J30&lt;&gt;$J$3),AND($L$3&lt;&gt;"All",$N25&lt;&gt;$L$3))</formula>
    </cfRule>
  </conditionalFormatting>
  <conditionalFormatting sqref="A31:K31">
    <cfRule type="expression" dxfId="16" priority="7">
      <formula>OR(AND($C$3&lt;&gt;"All",$D31&lt;&gt;$C$3),AND($F$3&lt;&gt;"All",$F31&lt;&gt;$F$3),AND($H$3&lt;&gt;"All",$G31&lt;&gt;$H$3),AND($J$3&lt;&gt;"All",$J31&lt;&gt;$J$3),AND($L$3&lt;&gt;"All",$N25&lt;&gt;$L$3))</formula>
    </cfRule>
  </conditionalFormatting>
  <conditionalFormatting sqref="A32:K32">
    <cfRule type="expression" dxfId="15" priority="8">
      <formula>OR(AND($C$3&lt;&gt;"All",$D32&lt;&gt;$C$3),AND($F$3&lt;&gt;"All",$F32&lt;&gt;$F$3),AND($H$3&lt;&gt;"All",$G32&lt;&gt;$H$3),AND($J$3&lt;&gt;"All",$J32&lt;&gt;$J$3),AND($L$3&lt;&gt;"All",$N25&lt;&gt;$L$3))</formula>
    </cfRule>
  </conditionalFormatting>
  <conditionalFormatting sqref="A33:K33">
    <cfRule type="expression" dxfId="14" priority="9">
      <formula>OR(AND($C$3&lt;&gt;"All",$D33&lt;&gt;$C$3),AND($F$3&lt;&gt;"All",$F33&lt;&gt;$F$3),AND($H$3&lt;&gt;"All",$G33&lt;&gt;$H$3),AND($J$3&lt;&gt;"All",$J33&lt;&gt;$J$3),AND($L$3&lt;&gt;"All",$N25&lt;&gt;$L$3))</formula>
    </cfRule>
  </conditionalFormatting>
  <conditionalFormatting sqref="A34:K34">
    <cfRule type="expression" dxfId="13" priority="10">
      <formula>OR(AND($C$3&lt;&gt;"All",$D34&lt;&gt;$C$3),AND($F$3&lt;&gt;"All",$F34&lt;&gt;$F$3),AND($H$3&lt;&gt;"All",$G34&lt;&gt;$H$3),AND($J$3&lt;&gt;"All",$J34&lt;&gt;$J$3),AND($L$3&lt;&gt;"All",$N25&lt;&gt;$L$3))</formula>
    </cfRule>
  </conditionalFormatting>
  <conditionalFormatting sqref="A35:K35">
    <cfRule type="expression" dxfId="12" priority="11">
      <formula>OR(AND($C$3&lt;&gt;"All",$D35&lt;&gt;$C$3),AND($F$3&lt;&gt;"All",$F35&lt;&gt;$F$3),AND($H$3&lt;&gt;"All",$G35&lt;&gt;$H$3),AND($J$3&lt;&gt;"All",$J35&lt;&gt;$J$3),AND($L$3&lt;&gt;"All",$N25&lt;&gt;$L$3))</formula>
    </cfRule>
  </conditionalFormatting>
  <conditionalFormatting sqref="A36:K36">
    <cfRule type="expression" dxfId="11" priority="12">
      <formula>OR(AND($C$3&lt;&gt;"All",$D36&lt;&gt;$C$3),AND($F$3&lt;&gt;"All",$F36&lt;&gt;$F$3),AND($H$3&lt;&gt;"All",$G36&lt;&gt;$H$3),AND($J$3&lt;&gt;"All",$J36&lt;&gt;$J$3),AND($L$3&lt;&gt;"All",$N25&lt;&gt;$L$3))</formula>
    </cfRule>
  </conditionalFormatting>
  <conditionalFormatting sqref="A5:P24 A25">
    <cfRule type="expression" dxfId="10" priority="1">
      <formula>OR(AND($C$3&lt;&gt;"All",$D5&lt;&gt;$C$3),AND($F$3&lt;&gt;"All",$F5&lt;&gt;$F$3),AND($H$3&lt;&gt;"All",$G5&lt;&gt;$H$3),AND($J$3&lt;&gt;"All",$J5&lt;&gt;$J$3),AND($L$3&lt;&gt;"All",$N5&lt;&gt;$L$3))</formula>
    </cfRule>
  </conditionalFormatting>
  <conditionalFormatting sqref="P25 L26:P60">
    <cfRule type="expression" dxfId="9" priority="13">
      <formula>OR(AND($C$3&lt;&gt;"All",$D37&lt;&gt;$C$3),AND($F$3&lt;&gt;"All",$F37&lt;&gt;$F$3),AND($H$3&lt;&gt;"All",$G37&lt;&gt;$H$3),AND($J$3&lt;&gt;"All",$J37&lt;&gt;$J$3),AND($L$3&lt;&gt;"All",$N25&lt;&gt;$L$3))</formula>
    </cfRule>
  </conditionalFormatting>
  <dataValidations count="5">
    <dataValidation type="list" allowBlank="1" showInputMessage="1" showErrorMessage="1" sqref="L3" xr:uid="{6F9C42DC-80C0-4198-AEFD-A29832ADF90C}">
      <formula1>"All,Open,In Progress,Resolved,Accepted"</formula1>
    </dataValidation>
    <dataValidation type="list" allowBlank="1" showInputMessage="1" showErrorMessage="1" sqref="J3" xr:uid="{C4D9284C-5DB0-4A53-BFA6-17A616C439A8}">
      <formula1>"All,Critical,High,Medium,Low"</formula1>
    </dataValidation>
    <dataValidation type="list" allowBlank="1" showInputMessage="1" showErrorMessage="1" sqref="H3" xr:uid="{7E8A183E-4BEA-48D0-AC7B-2D7A07F4916E}">
      <formula1>"All,Infrastructure,Configuration,Data,Code,Security"</formula1>
    </dataValidation>
    <dataValidation type="list" allowBlank="1" showInputMessage="1" showErrorMessage="1" sqref="F3" xr:uid="{40B47811-E1DF-41A9-8BCF-D8A1FDB159A4}">
      <formula1>"All,Dev,Test,UAT,Pre-prod,Prod,DR"</formula1>
    </dataValidation>
    <dataValidation type="list" allowBlank="1" showInputMessage="1" showErrorMessage="1" sqref="C3" xr:uid="{DFDE2D5C-B842-4A9F-82B9-4B016293C4D8}">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6A5E-FD1D-47CF-B0E2-34B1F13DFA52}">
  <sheetPr>
    <tabColor theme="5"/>
  </sheetPr>
  <dimension ref="A1:L86"/>
  <sheetViews>
    <sheetView workbookViewId="0">
      <selection activeCell="H16" sqref="H16"/>
    </sheetView>
  </sheetViews>
  <sheetFormatPr defaultRowHeight="14.4" x14ac:dyDescent="0.3"/>
  <cols>
    <col min="1" max="1" width="10.5546875" bestFit="1" customWidth="1"/>
    <col min="2" max="2" width="17" customWidth="1"/>
    <col min="3" max="3" width="25.109375" bestFit="1" customWidth="1"/>
    <col min="4" max="4" width="13.5546875" bestFit="1" customWidth="1"/>
    <col min="5" max="5" width="8.21875" bestFit="1" customWidth="1"/>
    <col min="6" max="6" width="55.77734375" bestFit="1" customWidth="1"/>
    <col min="7" max="7" width="13.44140625" bestFit="1" customWidth="1"/>
    <col min="8" max="8" width="9.109375" bestFit="1" customWidth="1"/>
    <col min="9" max="10" width="15.44140625" bestFit="1" customWidth="1"/>
    <col min="11" max="11" width="12.21875" bestFit="1" customWidth="1"/>
  </cols>
  <sheetData>
    <row r="1" spans="1:12" x14ac:dyDescent="0.3">
      <c r="A1" s="43" t="s">
        <v>18817</v>
      </c>
      <c r="B1" s="43" t="s">
        <v>18665</v>
      </c>
      <c r="C1" s="43" t="s">
        <v>1542</v>
      </c>
      <c r="D1" s="43" t="s">
        <v>15432</v>
      </c>
      <c r="E1" s="43" t="s">
        <v>275</v>
      </c>
      <c r="F1" s="43" t="s">
        <v>16501</v>
      </c>
      <c r="G1" s="43" t="s">
        <v>1068</v>
      </c>
      <c r="H1" s="43" t="s">
        <v>16381</v>
      </c>
      <c r="I1" s="43" t="s">
        <v>17103</v>
      </c>
      <c r="J1" s="43" t="s">
        <v>18818</v>
      </c>
      <c r="K1" s="43" t="s">
        <v>1140</v>
      </c>
      <c r="L1" s="43" t="s">
        <v>19546</v>
      </c>
    </row>
    <row r="2" spans="1:12" x14ac:dyDescent="0.3">
      <c r="A2" t="s">
        <v>18819</v>
      </c>
      <c r="B2" s="476">
        <v>46201.95</v>
      </c>
      <c r="C2" t="s">
        <v>18670</v>
      </c>
      <c r="D2" t="s">
        <v>1158</v>
      </c>
      <c r="E2" t="s">
        <v>1852</v>
      </c>
      <c r="F2" t="s">
        <v>18820</v>
      </c>
      <c r="G2" t="s">
        <v>1075</v>
      </c>
      <c r="H2" t="s">
        <v>18821</v>
      </c>
      <c r="I2" t="s">
        <v>15769</v>
      </c>
      <c r="J2" t="s">
        <v>16168</v>
      </c>
      <c r="K2" t="s">
        <v>15446</v>
      </c>
      <c r="L2" t="s">
        <v>19110</v>
      </c>
    </row>
    <row r="3" spans="1:12" x14ac:dyDescent="0.3">
      <c r="A3" t="s">
        <v>18822</v>
      </c>
      <c r="B3" s="476">
        <v>46201.85</v>
      </c>
      <c r="C3" t="s">
        <v>15563</v>
      </c>
      <c r="D3" t="s">
        <v>14994</v>
      </c>
      <c r="E3" t="s">
        <v>1852</v>
      </c>
      <c r="F3" t="s">
        <v>18823</v>
      </c>
      <c r="G3" t="s">
        <v>1305</v>
      </c>
      <c r="H3" t="s">
        <v>18821</v>
      </c>
      <c r="I3" t="s">
        <v>15773</v>
      </c>
      <c r="J3" t="s">
        <v>15292</v>
      </c>
      <c r="K3" t="s">
        <v>15446</v>
      </c>
      <c r="L3" t="s">
        <v>19110</v>
      </c>
    </row>
    <row r="4" spans="1:12" x14ac:dyDescent="0.3">
      <c r="A4" t="s">
        <v>18824</v>
      </c>
      <c r="B4" s="476">
        <v>46201.75</v>
      </c>
      <c r="C4" t="s">
        <v>15664</v>
      </c>
      <c r="D4" t="s">
        <v>14991</v>
      </c>
      <c r="E4" t="s">
        <v>1852</v>
      </c>
      <c r="F4" t="s">
        <v>18825</v>
      </c>
      <c r="G4" t="s">
        <v>1075</v>
      </c>
      <c r="H4" t="s">
        <v>18821</v>
      </c>
      <c r="I4" t="s">
        <v>15776</v>
      </c>
      <c r="K4" t="s">
        <v>15446</v>
      </c>
      <c r="L4" t="s">
        <v>19110</v>
      </c>
    </row>
    <row r="5" spans="1:12" x14ac:dyDescent="0.3">
      <c r="A5" t="s">
        <v>18826</v>
      </c>
      <c r="B5" s="476">
        <v>46201.65</v>
      </c>
      <c r="C5" t="s">
        <v>15587</v>
      </c>
      <c r="D5" t="s">
        <v>14993</v>
      </c>
      <c r="E5" t="s">
        <v>1868</v>
      </c>
      <c r="F5" t="s">
        <v>18827</v>
      </c>
      <c r="G5" t="s">
        <v>1075</v>
      </c>
      <c r="H5" t="s">
        <v>18749</v>
      </c>
      <c r="I5" t="s">
        <v>15779</v>
      </c>
      <c r="J5" t="s">
        <v>15312</v>
      </c>
      <c r="K5" t="s">
        <v>15446</v>
      </c>
      <c r="L5" t="s">
        <v>19110</v>
      </c>
    </row>
    <row r="6" spans="1:12" x14ac:dyDescent="0.3">
      <c r="A6" t="s">
        <v>18828</v>
      </c>
      <c r="B6" s="476">
        <v>46201.55</v>
      </c>
      <c r="C6" t="s">
        <v>15732</v>
      </c>
      <c r="D6" t="s">
        <v>152</v>
      </c>
      <c r="E6" t="s">
        <v>1868</v>
      </c>
      <c r="F6" t="s">
        <v>18829</v>
      </c>
      <c r="G6" t="s">
        <v>1305</v>
      </c>
      <c r="H6" t="s">
        <v>18749</v>
      </c>
      <c r="I6" t="s">
        <v>15782</v>
      </c>
      <c r="K6" t="s">
        <v>15446</v>
      </c>
      <c r="L6" t="s">
        <v>19110</v>
      </c>
    </row>
    <row r="7" spans="1:12" x14ac:dyDescent="0.3">
      <c r="A7" t="s">
        <v>18830</v>
      </c>
      <c r="B7" s="476">
        <v>46201.45</v>
      </c>
      <c r="C7" t="s">
        <v>15744</v>
      </c>
      <c r="D7" t="s">
        <v>152</v>
      </c>
      <c r="E7" t="s">
        <v>1868</v>
      </c>
      <c r="F7" t="s">
        <v>18831</v>
      </c>
      <c r="G7" t="s">
        <v>1075</v>
      </c>
      <c r="H7" t="s">
        <v>18744</v>
      </c>
      <c r="I7" t="s">
        <v>15785</v>
      </c>
      <c r="J7" t="s">
        <v>16177</v>
      </c>
      <c r="K7" t="s">
        <v>15446</v>
      </c>
      <c r="L7" t="s">
        <v>19110</v>
      </c>
    </row>
    <row r="8" spans="1:12" x14ac:dyDescent="0.3">
      <c r="A8" t="s">
        <v>18832</v>
      </c>
      <c r="B8" s="476">
        <v>46201.35</v>
      </c>
      <c r="C8" t="s">
        <v>15560</v>
      </c>
      <c r="D8" t="s">
        <v>14994</v>
      </c>
      <c r="E8" t="s">
        <v>1868</v>
      </c>
      <c r="F8" t="s">
        <v>18833</v>
      </c>
      <c r="G8" t="s">
        <v>1371</v>
      </c>
      <c r="H8" t="s">
        <v>18749</v>
      </c>
      <c r="I8" t="s">
        <v>15788</v>
      </c>
      <c r="K8" t="s">
        <v>1081</v>
      </c>
      <c r="L8" t="s">
        <v>19110</v>
      </c>
    </row>
    <row r="9" spans="1:12" x14ac:dyDescent="0.3">
      <c r="A9" t="s">
        <v>18834</v>
      </c>
      <c r="B9" s="476">
        <v>46201.25</v>
      </c>
      <c r="C9" t="s">
        <v>15652</v>
      </c>
      <c r="D9" t="s">
        <v>14991</v>
      </c>
      <c r="E9" t="s">
        <v>1873</v>
      </c>
      <c r="F9" t="s">
        <v>18835</v>
      </c>
      <c r="G9" t="s">
        <v>1075</v>
      </c>
      <c r="H9" t="s">
        <v>18744</v>
      </c>
      <c r="I9" t="s">
        <v>15791</v>
      </c>
      <c r="K9" t="s">
        <v>15446</v>
      </c>
      <c r="L9" t="s">
        <v>19547</v>
      </c>
    </row>
    <row r="10" spans="1:12" x14ac:dyDescent="0.3">
      <c r="A10" t="s">
        <v>18836</v>
      </c>
      <c r="B10" s="476">
        <v>46201.15</v>
      </c>
      <c r="C10" t="s">
        <v>15608</v>
      </c>
      <c r="D10" t="s">
        <v>14993</v>
      </c>
      <c r="E10" t="s">
        <v>1873</v>
      </c>
      <c r="F10" t="s">
        <v>18837</v>
      </c>
      <c r="G10" t="s">
        <v>1305</v>
      </c>
      <c r="H10" t="s">
        <v>18744</v>
      </c>
      <c r="I10" t="s">
        <v>15794</v>
      </c>
      <c r="J10" t="s">
        <v>15294</v>
      </c>
      <c r="K10" t="s">
        <v>15446</v>
      </c>
      <c r="L10" t="s">
        <v>19547</v>
      </c>
    </row>
    <row r="11" spans="1:12" x14ac:dyDescent="0.3">
      <c r="A11" t="s">
        <v>18838</v>
      </c>
      <c r="B11" s="476">
        <v>46201.05</v>
      </c>
      <c r="C11" t="s">
        <v>15622</v>
      </c>
      <c r="D11" t="s">
        <v>14992</v>
      </c>
      <c r="E11" t="s">
        <v>1873</v>
      </c>
      <c r="F11" t="s">
        <v>18839</v>
      </c>
      <c r="G11" t="s">
        <v>1232</v>
      </c>
      <c r="H11" t="s">
        <v>18744</v>
      </c>
      <c r="I11" t="s">
        <v>15797</v>
      </c>
      <c r="J11" t="s">
        <v>15296</v>
      </c>
      <c r="K11" t="s">
        <v>1081</v>
      </c>
      <c r="L11" t="s">
        <v>19547</v>
      </c>
    </row>
    <row r="12" spans="1:12" x14ac:dyDescent="0.3">
      <c r="A12" t="s">
        <v>18840</v>
      </c>
      <c r="B12" s="476">
        <v>46200.95</v>
      </c>
      <c r="C12" t="s">
        <v>15467</v>
      </c>
      <c r="D12" t="s">
        <v>1158</v>
      </c>
      <c r="E12" t="s">
        <v>1868</v>
      </c>
      <c r="F12" t="s">
        <v>18841</v>
      </c>
      <c r="G12" t="s">
        <v>1075</v>
      </c>
      <c r="H12" t="s">
        <v>18749</v>
      </c>
      <c r="I12" t="s">
        <v>15800</v>
      </c>
      <c r="J12" t="s">
        <v>15290</v>
      </c>
      <c r="K12" t="s">
        <v>15446</v>
      </c>
      <c r="L12" t="s">
        <v>19110</v>
      </c>
    </row>
    <row r="13" spans="1:12" x14ac:dyDescent="0.3">
      <c r="A13" t="s">
        <v>18842</v>
      </c>
      <c r="B13" s="476">
        <v>46200.85</v>
      </c>
      <c r="C13" t="s">
        <v>15458</v>
      </c>
      <c r="D13" t="s">
        <v>1158</v>
      </c>
      <c r="E13" t="s">
        <v>1873</v>
      </c>
      <c r="F13" t="s">
        <v>18843</v>
      </c>
      <c r="G13" t="s">
        <v>1371</v>
      </c>
      <c r="H13" t="s">
        <v>18744</v>
      </c>
      <c r="I13" t="s">
        <v>15803</v>
      </c>
      <c r="K13" t="s">
        <v>15446</v>
      </c>
      <c r="L13" t="s">
        <v>19547</v>
      </c>
    </row>
    <row r="14" spans="1:12" x14ac:dyDescent="0.3">
      <c r="A14" t="s">
        <v>18844</v>
      </c>
      <c r="B14" s="476">
        <v>46200.75</v>
      </c>
      <c r="C14" t="s">
        <v>15631</v>
      </c>
      <c r="D14" t="s">
        <v>14992</v>
      </c>
      <c r="E14" t="s">
        <v>1852</v>
      </c>
      <c r="F14" t="s">
        <v>18845</v>
      </c>
      <c r="G14" t="s">
        <v>1305</v>
      </c>
      <c r="H14" t="s">
        <v>18821</v>
      </c>
      <c r="I14" t="s">
        <v>15806</v>
      </c>
      <c r="J14" t="s">
        <v>16206</v>
      </c>
      <c r="K14" t="s">
        <v>15446</v>
      </c>
      <c r="L14" t="s">
        <v>19110</v>
      </c>
    </row>
    <row r="15" spans="1:12" x14ac:dyDescent="0.3">
      <c r="A15" t="s">
        <v>18846</v>
      </c>
      <c r="B15" s="476">
        <v>46200.65</v>
      </c>
      <c r="C15" t="s">
        <v>15747</v>
      </c>
      <c r="D15" t="s">
        <v>152</v>
      </c>
      <c r="E15" t="s">
        <v>1868</v>
      </c>
      <c r="F15" t="s">
        <v>18847</v>
      </c>
      <c r="G15" t="s">
        <v>1075</v>
      </c>
      <c r="H15" t="s">
        <v>18749</v>
      </c>
      <c r="I15" t="s">
        <v>15810</v>
      </c>
      <c r="K15" t="s">
        <v>15446</v>
      </c>
      <c r="L15" t="s">
        <v>19110</v>
      </c>
    </row>
    <row r="16" spans="1:12" x14ac:dyDescent="0.3">
      <c r="A16" t="s">
        <v>18848</v>
      </c>
      <c r="B16" s="476">
        <v>46200.55</v>
      </c>
      <c r="C16" t="s">
        <v>15646</v>
      </c>
      <c r="D16" t="s">
        <v>14991</v>
      </c>
      <c r="E16" t="s">
        <v>1873</v>
      </c>
      <c r="F16" t="s">
        <v>18849</v>
      </c>
      <c r="G16" t="s">
        <v>1232</v>
      </c>
      <c r="H16" t="s">
        <v>18744</v>
      </c>
      <c r="I16" t="s">
        <v>15813</v>
      </c>
      <c r="K16" t="s">
        <v>15446</v>
      </c>
      <c r="L16" t="s">
        <v>19547</v>
      </c>
    </row>
    <row r="17" spans="1:12" x14ac:dyDescent="0.3">
      <c r="A17" t="s">
        <v>18850</v>
      </c>
      <c r="B17" s="476">
        <v>46200</v>
      </c>
      <c r="C17" t="s">
        <v>15673</v>
      </c>
      <c r="D17" t="s">
        <v>1159</v>
      </c>
      <c r="E17" t="s">
        <v>1868</v>
      </c>
      <c r="F17" t="s">
        <v>18851</v>
      </c>
      <c r="G17" t="s">
        <v>1232</v>
      </c>
      <c r="H17" t="s">
        <v>18749</v>
      </c>
      <c r="I17" t="s">
        <v>15816</v>
      </c>
      <c r="J17" t="s">
        <v>16194</v>
      </c>
      <c r="K17" t="s">
        <v>15446</v>
      </c>
      <c r="L17" t="s">
        <v>19110</v>
      </c>
    </row>
    <row r="18" spans="1:12" x14ac:dyDescent="0.3">
      <c r="A18" t="s">
        <v>18852</v>
      </c>
      <c r="B18" s="476">
        <v>46199.5</v>
      </c>
      <c r="C18" t="s">
        <v>15676</v>
      </c>
      <c r="D18" t="s">
        <v>1159</v>
      </c>
      <c r="E18" t="s">
        <v>1873</v>
      </c>
      <c r="F18" t="s">
        <v>18853</v>
      </c>
      <c r="G18" t="s">
        <v>1232</v>
      </c>
      <c r="H18" t="s">
        <v>18744</v>
      </c>
      <c r="I18" t="s">
        <v>15819</v>
      </c>
      <c r="K18" t="s">
        <v>15446</v>
      </c>
      <c r="L18" t="s">
        <v>19547</v>
      </c>
    </row>
    <row r="19" spans="1:12" x14ac:dyDescent="0.3">
      <c r="A19" t="s">
        <v>18854</v>
      </c>
      <c r="B19" s="476">
        <v>46199</v>
      </c>
      <c r="C19" t="s">
        <v>15596</v>
      </c>
      <c r="D19" t="s">
        <v>14993</v>
      </c>
      <c r="E19" t="s">
        <v>1873</v>
      </c>
      <c r="F19" t="s">
        <v>18855</v>
      </c>
      <c r="G19" t="s">
        <v>1232</v>
      </c>
      <c r="H19" t="s">
        <v>18744</v>
      </c>
      <c r="I19" t="s">
        <v>15822</v>
      </c>
      <c r="K19" t="s">
        <v>15446</v>
      </c>
      <c r="L19" t="s">
        <v>19547</v>
      </c>
    </row>
    <row r="22" spans="1:12" ht="15.6" x14ac:dyDescent="0.3">
      <c r="A22" s="378" t="s">
        <v>18856</v>
      </c>
      <c r="B22" s="378"/>
      <c r="C22" s="378"/>
      <c r="D22" s="378"/>
      <c r="E22" s="378"/>
      <c r="F22" s="378"/>
      <c r="G22" s="378"/>
      <c r="H22" s="378"/>
      <c r="I22" s="378"/>
      <c r="J22" s="378"/>
      <c r="K22" s="378"/>
    </row>
    <row r="23" spans="1:12" x14ac:dyDescent="0.3">
      <c r="A23" s="379"/>
      <c r="B23" s="379"/>
      <c r="C23" s="379"/>
      <c r="D23" s="379"/>
      <c r="E23" s="379"/>
      <c r="F23" s="379"/>
      <c r="G23" s="379"/>
      <c r="H23" s="379"/>
      <c r="I23" s="379"/>
      <c r="J23" s="379"/>
      <c r="K23" s="379"/>
    </row>
    <row r="24" spans="1:12" x14ac:dyDescent="0.3">
      <c r="A24" s="379" t="s">
        <v>18857</v>
      </c>
      <c r="B24" s="379"/>
      <c r="C24" s="379"/>
      <c r="D24" s="379"/>
      <c r="E24" s="379"/>
      <c r="F24" s="379"/>
      <c r="G24" s="379"/>
      <c r="H24" s="379"/>
      <c r="I24" s="379"/>
      <c r="J24" s="379"/>
      <c r="K24" s="379"/>
    </row>
    <row r="25" spans="1:12" x14ac:dyDescent="0.3">
      <c r="A25" s="379"/>
      <c r="B25" s="379"/>
      <c r="C25" s="379"/>
      <c r="D25" s="379"/>
      <c r="E25" s="379"/>
      <c r="F25" s="379"/>
      <c r="G25" s="379"/>
      <c r="H25" s="379"/>
      <c r="I25" s="379"/>
      <c r="J25" s="379"/>
      <c r="K25" s="379"/>
    </row>
    <row r="26" spans="1:12" x14ac:dyDescent="0.3">
      <c r="A26" s="379" t="s">
        <v>18858</v>
      </c>
      <c r="B26" s="379"/>
      <c r="C26" s="379"/>
      <c r="D26" s="379"/>
      <c r="E26" s="379"/>
      <c r="F26" s="379"/>
      <c r="G26" s="379"/>
      <c r="H26" s="379"/>
      <c r="I26" s="379"/>
      <c r="J26" s="379"/>
      <c r="K26" s="379"/>
    </row>
    <row r="27" spans="1:12" x14ac:dyDescent="0.3">
      <c r="A27" s="379"/>
      <c r="B27" s="379"/>
      <c r="C27" s="379"/>
      <c r="D27" s="379"/>
      <c r="E27" s="379"/>
      <c r="F27" s="379"/>
      <c r="G27" s="379"/>
      <c r="H27" s="379"/>
      <c r="I27" s="379"/>
      <c r="J27" s="379"/>
      <c r="K27" s="379"/>
    </row>
    <row r="28" spans="1:12" x14ac:dyDescent="0.3">
      <c r="A28" s="379" t="s">
        <v>18859</v>
      </c>
      <c r="B28" s="379"/>
      <c r="C28" s="379"/>
      <c r="D28" s="379"/>
      <c r="E28" s="379"/>
      <c r="F28" s="379"/>
      <c r="G28" s="379"/>
      <c r="H28" s="379"/>
      <c r="I28" s="379"/>
      <c r="J28" s="379"/>
      <c r="K28" s="379"/>
    </row>
    <row r="29" spans="1:12" x14ac:dyDescent="0.3">
      <c r="A29" s="379"/>
      <c r="B29" s="379"/>
      <c r="C29" s="379"/>
      <c r="D29" s="379"/>
      <c r="E29" s="379"/>
      <c r="F29" s="379"/>
      <c r="G29" s="379"/>
      <c r="H29" s="379"/>
      <c r="I29" s="379"/>
      <c r="J29" s="379"/>
      <c r="K29" s="379"/>
    </row>
    <row r="30" spans="1:12" x14ac:dyDescent="0.3">
      <c r="A30" s="379" t="s">
        <v>17502</v>
      </c>
      <c r="B30" s="379"/>
      <c r="C30" s="379"/>
      <c r="D30" s="379"/>
      <c r="E30" s="379"/>
      <c r="F30" s="379"/>
      <c r="G30" s="379"/>
      <c r="H30" s="379"/>
      <c r="I30" s="379"/>
      <c r="J30" s="379"/>
      <c r="K30" s="379"/>
    </row>
    <row r="32" spans="1:12" ht="18" x14ac:dyDescent="0.35">
      <c r="A32" s="358" t="s">
        <v>18860</v>
      </c>
      <c r="B32" s="358"/>
      <c r="C32" s="358"/>
      <c r="D32" s="358"/>
      <c r="E32" s="358"/>
      <c r="F32" s="358"/>
      <c r="G32" s="358"/>
      <c r="H32" s="358"/>
      <c r="I32" s="358"/>
      <c r="J32" s="358"/>
      <c r="K32" s="358"/>
    </row>
    <row r="34" spans="1:11" ht="15.6" x14ac:dyDescent="0.3">
      <c r="A34" s="380" t="s">
        <v>18861</v>
      </c>
      <c r="B34" s="381"/>
      <c r="C34" s="381"/>
      <c r="D34" s="381"/>
      <c r="E34" s="381"/>
      <c r="F34" s="381"/>
      <c r="G34" s="381"/>
      <c r="H34" s="381"/>
      <c r="I34" s="381"/>
      <c r="J34" s="381"/>
      <c r="K34" s="381"/>
    </row>
    <row r="35" spans="1:11" x14ac:dyDescent="0.3">
      <c r="A35" s="381" t="s">
        <v>18862</v>
      </c>
      <c r="B35" s="381"/>
      <c r="C35" s="381"/>
      <c r="D35" s="381"/>
      <c r="E35" s="381"/>
      <c r="F35" s="381"/>
      <c r="G35" s="381"/>
      <c r="H35" s="381"/>
      <c r="I35" s="381"/>
      <c r="J35" s="381"/>
      <c r="K35" s="381"/>
    </row>
    <row r="36" spans="1:11" x14ac:dyDescent="0.3">
      <c r="A36" s="381" t="s">
        <v>18863</v>
      </c>
      <c r="B36" s="381"/>
      <c r="C36" s="381"/>
      <c r="D36" s="381"/>
      <c r="E36" s="381"/>
      <c r="F36" s="381"/>
      <c r="G36" s="381"/>
      <c r="H36" s="381"/>
      <c r="I36" s="381"/>
      <c r="J36" s="381"/>
      <c r="K36" s="381"/>
    </row>
    <row r="37" spans="1:11" x14ac:dyDescent="0.3">
      <c r="A37" s="381"/>
      <c r="B37" s="381"/>
      <c r="C37" s="381"/>
      <c r="D37" s="381"/>
      <c r="E37" s="381"/>
      <c r="F37" s="381"/>
      <c r="G37" s="381"/>
      <c r="H37" s="381"/>
      <c r="I37" s="381"/>
      <c r="J37" s="381"/>
      <c r="K37" s="381"/>
    </row>
    <row r="38" spans="1:11" x14ac:dyDescent="0.3">
      <c r="A38" s="381" t="s">
        <v>18864</v>
      </c>
      <c r="B38" s="381"/>
      <c r="C38" s="381"/>
      <c r="D38" s="381"/>
      <c r="E38" s="381"/>
      <c r="F38" s="381"/>
      <c r="G38" s="381"/>
      <c r="H38" s="381"/>
      <c r="I38" s="381"/>
      <c r="J38" s="381"/>
      <c r="K38" s="381"/>
    </row>
    <row r="39" spans="1:11" x14ac:dyDescent="0.3">
      <c r="A39" s="381" t="s">
        <v>18865</v>
      </c>
      <c r="B39" s="381"/>
      <c r="C39" s="381"/>
      <c r="D39" s="381"/>
      <c r="E39" s="381"/>
      <c r="F39" s="381"/>
      <c r="G39" s="381"/>
      <c r="H39" s="381"/>
      <c r="I39" s="381"/>
      <c r="J39" s="381"/>
      <c r="K39" s="381"/>
    </row>
    <row r="40" spans="1:11" x14ac:dyDescent="0.3">
      <c r="A40" s="381" t="s">
        <v>18866</v>
      </c>
      <c r="B40" s="381"/>
      <c r="C40" s="381"/>
      <c r="D40" s="381"/>
      <c r="E40" s="381"/>
      <c r="F40" s="381"/>
      <c r="G40" s="381"/>
      <c r="H40" s="381"/>
      <c r="I40" s="381"/>
      <c r="J40" s="381"/>
      <c r="K40" s="381"/>
    </row>
    <row r="41" spans="1:11" x14ac:dyDescent="0.3">
      <c r="A41" s="381" t="s">
        <v>18867</v>
      </c>
      <c r="B41" s="381"/>
      <c r="C41" s="381"/>
      <c r="D41" s="381"/>
      <c r="E41" s="381"/>
      <c r="F41" s="381"/>
      <c r="G41" s="381"/>
      <c r="H41" s="381"/>
      <c r="I41" s="381"/>
      <c r="J41" s="381"/>
      <c r="K41" s="381"/>
    </row>
    <row r="42" spans="1:11" x14ac:dyDescent="0.3">
      <c r="A42" s="381" t="s">
        <v>18868</v>
      </c>
      <c r="B42" s="381"/>
      <c r="C42" s="381"/>
      <c r="D42" s="381"/>
      <c r="E42" s="381"/>
      <c r="F42" s="381"/>
      <c r="G42" s="381"/>
      <c r="H42" s="381"/>
      <c r="I42" s="381"/>
      <c r="J42" s="381"/>
      <c r="K42" s="381"/>
    </row>
    <row r="43" spans="1:11" x14ac:dyDescent="0.3">
      <c r="A43" s="381"/>
      <c r="B43" s="381"/>
      <c r="C43" s="381"/>
      <c r="D43" s="381"/>
      <c r="E43" s="381"/>
      <c r="F43" s="381"/>
      <c r="G43" s="381"/>
      <c r="H43" s="381"/>
      <c r="I43" s="381"/>
      <c r="J43" s="381"/>
      <c r="K43" s="381"/>
    </row>
    <row r="44" spans="1:11" ht="15.6" x14ac:dyDescent="0.3">
      <c r="A44" s="380" t="s">
        <v>18869</v>
      </c>
      <c r="B44" s="381"/>
      <c r="C44" s="381"/>
      <c r="D44" s="381"/>
      <c r="E44" s="381"/>
      <c r="F44" s="381"/>
      <c r="G44" s="381"/>
      <c r="H44" s="381"/>
      <c r="I44" s="381"/>
      <c r="J44" s="381"/>
      <c r="K44" s="381"/>
    </row>
    <row r="45" spans="1:11" x14ac:dyDescent="0.3">
      <c r="A45" s="381"/>
      <c r="B45" s="381"/>
      <c r="C45" s="381"/>
      <c r="D45" s="381"/>
      <c r="E45" s="381"/>
      <c r="F45" s="381"/>
      <c r="G45" s="381"/>
      <c r="H45" s="381"/>
      <c r="I45" s="381"/>
      <c r="J45" s="381"/>
      <c r="K45" s="381"/>
    </row>
    <row r="46" spans="1:11" x14ac:dyDescent="0.3">
      <c r="A46" s="382" t="s">
        <v>18870</v>
      </c>
      <c r="B46" s="381"/>
      <c r="C46" s="381"/>
      <c r="D46" s="381"/>
      <c r="E46" s="381"/>
      <c r="F46" s="381"/>
      <c r="G46" s="381"/>
      <c r="H46" s="381"/>
      <c r="I46" s="381"/>
      <c r="J46" s="381"/>
      <c r="K46" s="381"/>
    </row>
    <row r="47" spans="1:11" x14ac:dyDescent="0.3">
      <c r="A47" s="381" t="s">
        <v>18113</v>
      </c>
      <c r="B47" s="381"/>
      <c r="C47" s="381"/>
      <c r="D47" s="381"/>
      <c r="E47" s="381"/>
      <c r="F47" s="381"/>
      <c r="G47" s="381"/>
      <c r="H47" s="381"/>
      <c r="I47" s="381"/>
      <c r="J47" s="381"/>
      <c r="K47" s="381"/>
    </row>
    <row r="48" spans="1:11" x14ac:dyDescent="0.3">
      <c r="A48" s="381" t="s">
        <v>18871</v>
      </c>
      <c r="B48" s="381"/>
      <c r="C48" s="381"/>
      <c r="D48" s="381"/>
      <c r="E48" s="381"/>
      <c r="F48" s="381"/>
      <c r="G48" s="381"/>
      <c r="H48" s="381"/>
      <c r="I48" s="381"/>
      <c r="J48" s="381"/>
      <c r="K48" s="381"/>
    </row>
    <row r="49" spans="1:11" x14ac:dyDescent="0.3">
      <c r="A49" s="381" t="s">
        <v>18872</v>
      </c>
      <c r="B49" s="381"/>
      <c r="C49" s="381"/>
      <c r="D49" s="381"/>
      <c r="E49" s="381"/>
      <c r="F49" s="381"/>
      <c r="G49" s="381"/>
      <c r="H49" s="381"/>
      <c r="I49" s="381"/>
      <c r="J49" s="381"/>
      <c r="K49" s="381"/>
    </row>
    <row r="50" spans="1:11" x14ac:dyDescent="0.3">
      <c r="A50" s="381" t="s">
        <v>18873</v>
      </c>
      <c r="B50" s="381"/>
      <c r="C50" s="381"/>
      <c r="D50" s="381"/>
      <c r="E50" s="381"/>
      <c r="F50" s="381"/>
      <c r="G50" s="381"/>
      <c r="H50" s="381"/>
      <c r="I50" s="381"/>
      <c r="J50" s="381"/>
      <c r="K50" s="381"/>
    </row>
    <row r="51" spans="1:11" x14ac:dyDescent="0.3">
      <c r="A51" s="381"/>
      <c r="B51" s="381"/>
      <c r="C51" s="381"/>
      <c r="D51" s="381"/>
      <c r="E51" s="381"/>
      <c r="F51" s="381"/>
      <c r="G51" s="381"/>
      <c r="H51" s="381"/>
      <c r="I51" s="381"/>
      <c r="J51" s="381"/>
      <c r="K51" s="381"/>
    </row>
    <row r="52" spans="1:11" x14ac:dyDescent="0.3">
      <c r="A52" s="381" t="s">
        <v>18874</v>
      </c>
      <c r="B52" s="381"/>
      <c r="C52" s="381"/>
      <c r="D52" s="381"/>
      <c r="E52" s="381"/>
      <c r="F52" s="381"/>
      <c r="G52" s="381"/>
      <c r="H52" s="381"/>
      <c r="I52" s="381"/>
      <c r="J52" s="381"/>
      <c r="K52" s="381"/>
    </row>
    <row r="53" spans="1:11" x14ac:dyDescent="0.3">
      <c r="A53" s="381" t="s">
        <v>18875</v>
      </c>
      <c r="B53" s="381"/>
      <c r="C53" s="381"/>
      <c r="D53" s="381"/>
      <c r="E53" s="381"/>
      <c r="F53" s="381"/>
      <c r="G53" s="381"/>
      <c r="H53" s="381"/>
      <c r="I53" s="381"/>
      <c r="J53" s="381"/>
      <c r="K53" s="381"/>
    </row>
    <row r="54" spans="1:11" x14ac:dyDescent="0.3">
      <c r="A54" s="381" t="s">
        <v>18876</v>
      </c>
      <c r="B54" s="381"/>
      <c r="C54" s="381"/>
      <c r="D54" s="381"/>
      <c r="E54" s="381"/>
      <c r="F54" s="381"/>
      <c r="G54" s="381"/>
      <c r="H54" s="381"/>
      <c r="I54" s="381"/>
      <c r="J54" s="381"/>
      <c r="K54" s="381"/>
    </row>
    <row r="55" spans="1:11" x14ac:dyDescent="0.3">
      <c r="A55" s="381" t="s">
        <v>18877</v>
      </c>
      <c r="B55" s="381"/>
      <c r="C55" s="381"/>
      <c r="D55" s="381"/>
      <c r="E55" s="381"/>
      <c r="F55" s="381"/>
      <c r="G55" s="381"/>
      <c r="H55" s="381"/>
      <c r="I55" s="381"/>
      <c r="J55" s="381"/>
      <c r="K55" s="381"/>
    </row>
    <row r="56" spans="1:11" x14ac:dyDescent="0.3">
      <c r="A56" s="381" t="s">
        <v>18878</v>
      </c>
      <c r="B56" s="381"/>
      <c r="C56" s="381"/>
      <c r="D56" s="381"/>
      <c r="E56" s="381"/>
      <c r="F56" s="381"/>
      <c r="G56" s="381"/>
      <c r="H56" s="381"/>
      <c r="I56" s="381"/>
      <c r="J56" s="381"/>
      <c r="K56" s="381"/>
    </row>
    <row r="57" spans="1:11" x14ac:dyDescent="0.3">
      <c r="A57" s="381"/>
      <c r="B57" s="381"/>
      <c r="C57" s="381"/>
      <c r="D57" s="381"/>
      <c r="E57" s="381"/>
      <c r="F57" s="381"/>
      <c r="G57" s="381"/>
      <c r="H57" s="381"/>
      <c r="I57" s="381"/>
      <c r="J57" s="381"/>
      <c r="K57" s="381"/>
    </row>
    <row r="58" spans="1:11" ht="15.6" x14ac:dyDescent="0.3">
      <c r="A58" s="380" t="s">
        <v>18879</v>
      </c>
      <c r="B58" s="381"/>
      <c r="C58" s="381"/>
      <c r="D58" s="381"/>
      <c r="E58" s="381"/>
      <c r="F58" s="381"/>
      <c r="G58" s="381"/>
      <c r="H58" s="381"/>
      <c r="I58" s="381"/>
      <c r="J58" s="381"/>
      <c r="K58" s="381"/>
    </row>
    <row r="59" spans="1:11" x14ac:dyDescent="0.3">
      <c r="A59" s="381"/>
      <c r="B59" s="381"/>
      <c r="C59" s="381"/>
      <c r="D59" s="381"/>
      <c r="E59" s="381"/>
      <c r="F59" s="381"/>
      <c r="G59" s="381"/>
      <c r="H59" s="381"/>
      <c r="I59" s="381"/>
      <c r="J59" s="381"/>
      <c r="K59" s="381"/>
    </row>
    <row r="60" spans="1:11" x14ac:dyDescent="0.3">
      <c r="A60" s="381" t="s">
        <v>18798</v>
      </c>
      <c r="B60" s="381"/>
      <c r="C60" s="381"/>
      <c r="D60" s="381"/>
      <c r="E60" s="381"/>
      <c r="F60" s="381"/>
      <c r="G60" s="381"/>
      <c r="H60" s="381"/>
      <c r="I60" s="381"/>
      <c r="J60" s="381"/>
      <c r="K60" s="381"/>
    </row>
    <row r="61" spans="1:11" x14ac:dyDescent="0.3">
      <c r="A61" s="381"/>
      <c r="B61" s="381"/>
      <c r="C61" s="381"/>
      <c r="D61" s="381"/>
      <c r="E61" s="381"/>
      <c r="F61" s="381"/>
      <c r="G61" s="381"/>
      <c r="H61" s="381"/>
      <c r="I61" s="381"/>
      <c r="J61" s="381"/>
      <c r="K61" s="381"/>
    </row>
    <row r="62" spans="1:11" x14ac:dyDescent="0.3">
      <c r="A62" s="381" t="s">
        <v>18880</v>
      </c>
      <c r="B62" s="381"/>
      <c r="C62" s="381"/>
      <c r="D62" s="381"/>
      <c r="E62" s="381"/>
      <c r="F62" s="381"/>
      <c r="G62" s="381"/>
      <c r="H62" s="381"/>
      <c r="I62" s="381"/>
      <c r="J62" s="381"/>
      <c r="K62" s="381"/>
    </row>
    <row r="63" spans="1:11" x14ac:dyDescent="0.3">
      <c r="A63" s="381" t="s">
        <v>18881</v>
      </c>
      <c r="B63" s="381"/>
      <c r="C63" s="381"/>
      <c r="D63" s="381"/>
      <c r="E63" s="381"/>
      <c r="F63" s="381"/>
      <c r="G63" s="381"/>
      <c r="H63" s="381"/>
      <c r="I63" s="381"/>
      <c r="J63" s="381"/>
      <c r="K63" s="381"/>
    </row>
    <row r="64" spans="1:11" x14ac:dyDescent="0.3">
      <c r="A64" s="381" t="s">
        <v>18882</v>
      </c>
      <c r="B64" s="381"/>
      <c r="C64" s="381"/>
      <c r="D64" s="381"/>
      <c r="E64" s="381"/>
      <c r="F64" s="381"/>
      <c r="G64" s="381"/>
      <c r="H64" s="381"/>
      <c r="I64" s="381"/>
      <c r="J64" s="381"/>
      <c r="K64" s="381"/>
    </row>
    <row r="65" spans="1:11" x14ac:dyDescent="0.3">
      <c r="A65" s="381" t="s">
        <v>18883</v>
      </c>
      <c r="B65" s="381"/>
      <c r="C65" s="381"/>
      <c r="D65" s="381"/>
      <c r="E65" s="381"/>
      <c r="F65" s="381"/>
      <c r="G65" s="381"/>
      <c r="H65" s="381"/>
      <c r="I65" s="381"/>
      <c r="J65" s="381"/>
      <c r="K65" s="381"/>
    </row>
    <row r="66" spans="1:11" x14ac:dyDescent="0.3">
      <c r="A66" s="381"/>
      <c r="B66" s="381"/>
      <c r="C66" s="381"/>
      <c r="D66" s="381"/>
      <c r="E66" s="381"/>
      <c r="F66" s="381"/>
      <c r="G66" s="381"/>
      <c r="H66" s="381"/>
      <c r="I66" s="381"/>
      <c r="J66" s="381"/>
      <c r="K66" s="381"/>
    </row>
    <row r="67" spans="1:11" x14ac:dyDescent="0.3">
      <c r="A67" s="381" t="s">
        <v>18884</v>
      </c>
      <c r="B67" s="381"/>
      <c r="C67" s="381"/>
      <c r="D67" s="381"/>
      <c r="E67" s="381"/>
      <c r="F67" s="381"/>
      <c r="G67" s="381"/>
      <c r="H67" s="381"/>
      <c r="I67" s="381"/>
      <c r="J67" s="381"/>
      <c r="K67" s="381"/>
    </row>
    <row r="68" spans="1:11" x14ac:dyDescent="0.3">
      <c r="A68" s="381" t="s">
        <v>18885</v>
      </c>
      <c r="B68" s="381"/>
      <c r="C68" s="381"/>
      <c r="D68" s="381"/>
      <c r="E68" s="381"/>
      <c r="F68" s="381"/>
      <c r="G68" s="381"/>
      <c r="H68" s="381"/>
      <c r="I68" s="381"/>
      <c r="J68" s="381"/>
      <c r="K68" s="381"/>
    </row>
    <row r="69" spans="1:11" x14ac:dyDescent="0.3">
      <c r="A69" s="381" t="s">
        <v>18886</v>
      </c>
      <c r="B69" s="381"/>
      <c r="C69" s="381"/>
      <c r="D69" s="381"/>
      <c r="E69" s="381"/>
      <c r="F69" s="381"/>
      <c r="G69" s="381"/>
      <c r="H69" s="381"/>
      <c r="I69" s="381"/>
      <c r="J69" s="381"/>
      <c r="K69" s="381"/>
    </row>
    <row r="70" spans="1:11" x14ac:dyDescent="0.3">
      <c r="A70" s="381" t="s">
        <v>18887</v>
      </c>
      <c r="B70" s="381"/>
      <c r="C70" s="381"/>
      <c r="D70" s="381"/>
      <c r="E70" s="381"/>
      <c r="F70" s="381"/>
      <c r="G70" s="381"/>
      <c r="H70" s="381"/>
      <c r="I70" s="381"/>
      <c r="J70" s="381"/>
      <c r="K70" s="381"/>
    </row>
    <row r="71" spans="1:11" x14ac:dyDescent="0.3">
      <c r="A71" s="381" t="s">
        <v>18888</v>
      </c>
      <c r="B71" s="381"/>
      <c r="C71" s="381"/>
      <c r="D71" s="381"/>
      <c r="E71" s="381"/>
      <c r="F71" s="381"/>
      <c r="G71" s="381"/>
      <c r="H71" s="381"/>
      <c r="I71" s="381"/>
      <c r="J71" s="381"/>
      <c r="K71" s="381"/>
    </row>
    <row r="72" spans="1:11" x14ac:dyDescent="0.3">
      <c r="A72" s="381" t="s">
        <v>18889</v>
      </c>
      <c r="B72" s="381"/>
      <c r="C72" s="381"/>
      <c r="D72" s="381"/>
      <c r="E72" s="381"/>
      <c r="F72" s="381"/>
      <c r="G72" s="381"/>
      <c r="H72" s="381"/>
      <c r="I72" s="381"/>
      <c r="J72" s="381"/>
      <c r="K72" s="381"/>
    </row>
    <row r="73" spans="1:11" x14ac:dyDescent="0.3">
      <c r="A73" s="381"/>
      <c r="B73" s="381"/>
      <c r="C73" s="381"/>
      <c r="D73" s="381"/>
      <c r="E73" s="381"/>
      <c r="F73" s="381"/>
      <c r="G73" s="381"/>
      <c r="H73" s="381"/>
      <c r="I73" s="381"/>
      <c r="J73" s="381"/>
      <c r="K73" s="381"/>
    </row>
    <row r="74" spans="1:11" ht="15.6" x14ac:dyDescent="0.3">
      <c r="A74" s="380" t="s">
        <v>15424</v>
      </c>
      <c r="B74" s="381"/>
      <c r="C74" s="381"/>
      <c r="D74" s="381"/>
      <c r="E74" s="381"/>
      <c r="F74" s="381"/>
      <c r="G74" s="381"/>
      <c r="H74" s="381"/>
      <c r="I74" s="381"/>
      <c r="J74" s="381"/>
      <c r="K74" s="381"/>
    </row>
    <row r="75" spans="1:11" x14ac:dyDescent="0.3">
      <c r="A75" s="381"/>
      <c r="B75" s="381"/>
      <c r="C75" s="381"/>
      <c r="D75" s="381"/>
      <c r="E75" s="381"/>
      <c r="F75" s="381"/>
      <c r="G75" s="381"/>
      <c r="H75" s="381"/>
      <c r="I75" s="381"/>
      <c r="J75" s="381"/>
      <c r="K75" s="381"/>
    </row>
    <row r="76" spans="1:11" x14ac:dyDescent="0.3">
      <c r="A76" s="381" t="s">
        <v>18890</v>
      </c>
      <c r="B76" s="381"/>
      <c r="C76" s="381"/>
      <c r="D76" s="381"/>
      <c r="E76" s="381"/>
      <c r="F76" s="381"/>
      <c r="G76" s="381"/>
      <c r="H76" s="381"/>
      <c r="I76" s="381"/>
      <c r="J76" s="381"/>
      <c r="K76" s="381"/>
    </row>
    <row r="77" spans="1:11" x14ac:dyDescent="0.3">
      <c r="A77" s="381" t="s">
        <v>18891</v>
      </c>
      <c r="B77" s="381"/>
      <c r="C77" s="381"/>
      <c r="D77" s="381"/>
      <c r="E77" s="381"/>
      <c r="F77" s="381"/>
      <c r="G77" s="381"/>
      <c r="H77" s="381"/>
      <c r="I77" s="381"/>
      <c r="J77" s="381"/>
      <c r="K77" s="381"/>
    </row>
    <row r="78" spans="1:11" x14ac:dyDescent="0.3">
      <c r="A78" s="381" t="s">
        <v>18892</v>
      </c>
      <c r="B78" s="381"/>
      <c r="C78" s="381"/>
      <c r="D78" s="381"/>
      <c r="E78" s="381"/>
      <c r="F78" s="381"/>
      <c r="G78" s="381"/>
      <c r="H78" s="381"/>
      <c r="I78" s="381"/>
      <c r="J78" s="381"/>
      <c r="K78" s="381"/>
    </row>
    <row r="79" spans="1:11" x14ac:dyDescent="0.3">
      <c r="A79" s="381" t="s">
        <v>18893</v>
      </c>
      <c r="B79" s="381"/>
      <c r="C79" s="381"/>
      <c r="D79" s="381"/>
      <c r="E79" s="381"/>
      <c r="F79" s="381"/>
      <c r="G79" s="381"/>
      <c r="H79" s="381"/>
      <c r="I79" s="381"/>
      <c r="J79" s="381"/>
      <c r="K79" s="381"/>
    </row>
    <row r="80" spans="1:11" x14ac:dyDescent="0.3">
      <c r="A80" s="381" t="s">
        <v>18894</v>
      </c>
      <c r="B80" s="381"/>
      <c r="C80" s="381"/>
      <c r="D80" s="381"/>
      <c r="E80" s="381"/>
      <c r="F80" s="381"/>
      <c r="G80" s="381"/>
      <c r="H80" s="381"/>
      <c r="I80" s="381"/>
      <c r="J80" s="381"/>
      <c r="K80" s="381"/>
    </row>
    <row r="81" spans="1:11" x14ac:dyDescent="0.3">
      <c r="A81" s="381" t="s">
        <v>18895</v>
      </c>
      <c r="B81" s="381"/>
      <c r="C81" s="381"/>
      <c r="D81" s="381"/>
      <c r="E81" s="381"/>
      <c r="F81" s="381"/>
      <c r="G81" s="381"/>
      <c r="H81" s="381"/>
      <c r="I81" s="381"/>
      <c r="J81" s="381"/>
      <c r="K81" s="381"/>
    </row>
    <row r="82" spans="1:11" x14ac:dyDescent="0.3">
      <c r="A82" s="381" t="s">
        <v>18896</v>
      </c>
      <c r="B82" s="381"/>
      <c r="C82" s="381"/>
      <c r="D82" s="381"/>
      <c r="E82" s="381"/>
      <c r="F82" s="381"/>
      <c r="G82" s="381"/>
      <c r="H82" s="381"/>
      <c r="I82" s="381"/>
      <c r="J82" s="381"/>
      <c r="K82" s="381"/>
    </row>
    <row r="83" spans="1:11" x14ac:dyDescent="0.3">
      <c r="A83" s="381"/>
      <c r="B83" s="381"/>
      <c r="C83" s="381"/>
      <c r="D83" s="381"/>
      <c r="E83" s="381"/>
      <c r="F83" s="381"/>
      <c r="G83" s="381"/>
      <c r="H83" s="381"/>
      <c r="I83" s="381"/>
      <c r="J83" s="381"/>
      <c r="K83" s="381"/>
    </row>
    <row r="84" spans="1:11" x14ac:dyDescent="0.3">
      <c r="A84" s="381" t="s">
        <v>18897</v>
      </c>
      <c r="B84" s="381"/>
      <c r="C84" s="381"/>
      <c r="D84" s="381"/>
      <c r="E84" s="381"/>
      <c r="F84" s="381"/>
      <c r="G84" s="381"/>
      <c r="H84" s="381"/>
      <c r="I84" s="381"/>
      <c r="J84" s="381"/>
      <c r="K84" s="381"/>
    </row>
    <row r="85" spans="1:11" x14ac:dyDescent="0.3">
      <c r="A85" s="381" t="s">
        <v>18898</v>
      </c>
      <c r="B85" s="381"/>
      <c r="C85" s="381"/>
      <c r="D85" s="381"/>
      <c r="E85" s="381"/>
      <c r="F85" s="381"/>
      <c r="G85" s="381"/>
      <c r="H85" s="381"/>
      <c r="I85" s="381"/>
      <c r="J85" s="381"/>
      <c r="K85" s="381"/>
    </row>
    <row r="86" spans="1:11" x14ac:dyDescent="0.3">
      <c r="A86" s="381" t="s">
        <v>18899</v>
      </c>
      <c r="B86" s="381"/>
      <c r="C86" s="381"/>
      <c r="D86" s="381"/>
      <c r="E86" s="381"/>
      <c r="F86" s="381"/>
      <c r="G86" s="381"/>
      <c r="H86" s="381"/>
      <c r="I86" s="381"/>
      <c r="J86" s="381"/>
      <c r="K86" s="381"/>
    </row>
  </sheetData>
  <mergeCells count="2">
    <mergeCell ref="A22:K22"/>
    <mergeCell ref="A32:K3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18A92-6B83-4FD5-B94E-8B0428E25D7D}">
  <sheetPr>
    <tabColor theme="5"/>
  </sheetPr>
  <dimension ref="A1:M122"/>
  <sheetViews>
    <sheetView workbookViewId="0">
      <selection activeCell="H16" sqref="H16"/>
    </sheetView>
  </sheetViews>
  <sheetFormatPr defaultRowHeight="14.4" x14ac:dyDescent="0.3"/>
  <cols>
    <col min="1" max="1" width="7.5546875" bestFit="1" customWidth="1"/>
    <col min="2" max="2" width="21.21875" customWidth="1"/>
    <col min="3" max="3" width="32.109375" bestFit="1" customWidth="1"/>
    <col min="4" max="4" width="13.5546875" bestFit="1" customWidth="1"/>
    <col min="5" max="5" width="33.5546875" bestFit="1" customWidth="1"/>
    <col min="6" max="6" width="8.21875" bestFit="1" customWidth="1"/>
    <col min="7" max="7" width="14" bestFit="1" customWidth="1"/>
    <col min="8" max="8" width="9.6640625" bestFit="1" customWidth="1"/>
    <col min="9" max="9" width="13.21875" bestFit="1" customWidth="1"/>
    <col min="10" max="10" width="13.44140625" bestFit="1" customWidth="1"/>
    <col min="11" max="11" width="15.44140625" bestFit="1" customWidth="1"/>
    <col min="12" max="12" width="12.21875" bestFit="1" customWidth="1"/>
  </cols>
  <sheetData>
    <row r="1" spans="1:13" x14ac:dyDescent="0.3">
      <c r="A1" s="1" t="s">
        <v>18664</v>
      </c>
      <c r="B1" s="1" t="s">
        <v>18665</v>
      </c>
      <c r="C1" s="1" t="s">
        <v>1542</v>
      </c>
      <c r="D1" s="1" t="s">
        <v>15432</v>
      </c>
      <c r="E1" s="1" t="s">
        <v>18666</v>
      </c>
      <c r="F1" s="1" t="s">
        <v>275</v>
      </c>
      <c r="G1" s="1" t="s">
        <v>13582</v>
      </c>
      <c r="H1" s="1" t="s">
        <v>18667</v>
      </c>
      <c r="I1" s="1" t="s">
        <v>18668</v>
      </c>
      <c r="J1" s="1" t="s">
        <v>1068</v>
      </c>
      <c r="K1" s="1" t="s">
        <v>17103</v>
      </c>
      <c r="L1" s="1" t="s">
        <v>1140</v>
      </c>
      <c r="M1" s="1" t="s">
        <v>19546</v>
      </c>
    </row>
    <row r="2" spans="1:13" x14ac:dyDescent="0.3">
      <c r="A2" t="s">
        <v>18669</v>
      </c>
      <c r="B2" s="476">
        <v>46201.9</v>
      </c>
      <c r="C2" t="s">
        <v>18670</v>
      </c>
      <c r="D2" t="s">
        <v>1158</v>
      </c>
      <c r="E2" t="s">
        <v>18671</v>
      </c>
      <c r="F2" t="s">
        <v>14588</v>
      </c>
      <c r="G2" t="s">
        <v>18672</v>
      </c>
      <c r="H2" s="37">
        <v>0.85</v>
      </c>
      <c r="I2" s="37">
        <v>0.94</v>
      </c>
      <c r="J2" t="s">
        <v>1075</v>
      </c>
      <c r="K2" t="s">
        <v>15769</v>
      </c>
      <c r="L2" t="s">
        <v>15446</v>
      </c>
      <c r="M2" t="s">
        <v>19110</v>
      </c>
    </row>
    <row r="3" spans="1:13" x14ac:dyDescent="0.3">
      <c r="A3" t="s">
        <v>18673</v>
      </c>
      <c r="B3" s="476">
        <v>46201.8</v>
      </c>
      <c r="C3" t="s">
        <v>15458</v>
      </c>
      <c r="D3" t="s">
        <v>1158</v>
      </c>
      <c r="E3" t="s">
        <v>18674</v>
      </c>
      <c r="F3" t="s">
        <v>14589</v>
      </c>
      <c r="G3" t="s">
        <v>18675</v>
      </c>
      <c r="H3" s="37">
        <v>0.8</v>
      </c>
      <c r="I3" s="37">
        <v>0.82</v>
      </c>
      <c r="J3" t="s">
        <v>1075</v>
      </c>
      <c r="K3" t="s">
        <v>15773</v>
      </c>
      <c r="L3" t="s">
        <v>15446</v>
      </c>
      <c r="M3" t="s">
        <v>19110</v>
      </c>
    </row>
    <row r="4" spans="1:13" x14ac:dyDescent="0.3">
      <c r="A4" t="s">
        <v>18676</v>
      </c>
      <c r="B4" s="476">
        <v>46201.7</v>
      </c>
      <c r="C4" t="s">
        <v>15587</v>
      </c>
      <c r="D4" t="s">
        <v>14993</v>
      </c>
      <c r="E4" t="s">
        <v>18677</v>
      </c>
      <c r="F4" t="s">
        <v>14588</v>
      </c>
      <c r="G4" t="s">
        <v>14957</v>
      </c>
      <c r="H4" t="s">
        <v>18678</v>
      </c>
      <c r="I4" t="s">
        <v>18679</v>
      </c>
      <c r="J4" t="s">
        <v>1075</v>
      </c>
      <c r="K4" t="s">
        <v>15776</v>
      </c>
      <c r="L4" t="s">
        <v>15446</v>
      </c>
      <c r="M4" t="s">
        <v>19110</v>
      </c>
    </row>
    <row r="5" spans="1:13" x14ac:dyDescent="0.3">
      <c r="A5" t="s">
        <v>18680</v>
      </c>
      <c r="B5" s="476">
        <v>46201.599999999999</v>
      </c>
      <c r="C5" t="s">
        <v>15560</v>
      </c>
      <c r="D5" t="s">
        <v>14994</v>
      </c>
      <c r="E5" t="s">
        <v>18681</v>
      </c>
      <c r="F5" t="s">
        <v>14589</v>
      </c>
      <c r="G5" t="s">
        <v>18682</v>
      </c>
      <c r="H5" s="37">
        <v>0.9</v>
      </c>
      <c r="I5" s="37">
        <v>0.88</v>
      </c>
      <c r="J5" t="s">
        <v>1371</v>
      </c>
      <c r="K5" t="s">
        <v>15779</v>
      </c>
      <c r="L5" t="s">
        <v>1081</v>
      </c>
      <c r="M5" t="s">
        <v>19110</v>
      </c>
    </row>
    <row r="6" spans="1:13" x14ac:dyDescent="0.3">
      <c r="A6" t="s">
        <v>18683</v>
      </c>
      <c r="B6" s="476">
        <v>46201.5</v>
      </c>
      <c r="C6" t="s">
        <v>15664</v>
      </c>
      <c r="D6" t="s">
        <v>14991</v>
      </c>
      <c r="E6" t="s">
        <v>18684</v>
      </c>
      <c r="F6" t="s">
        <v>14588</v>
      </c>
      <c r="G6" t="s">
        <v>18685</v>
      </c>
      <c r="H6" s="37">
        <v>0.01</v>
      </c>
      <c r="I6" s="37">
        <v>0.05</v>
      </c>
      <c r="J6" t="s">
        <v>1075</v>
      </c>
      <c r="K6" t="s">
        <v>15782</v>
      </c>
      <c r="L6" t="s">
        <v>15446</v>
      </c>
      <c r="M6" t="s">
        <v>19110</v>
      </c>
    </row>
    <row r="7" spans="1:13" x14ac:dyDescent="0.3">
      <c r="A7" t="s">
        <v>18686</v>
      </c>
      <c r="B7" s="476">
        <v>46201.4</v>
      </c>
      <c r="C7" t="s">
        <v>15732</v>
      </c>
      <c r="D7" t="s">
        <v>152</v>
      </c>
      <c r="E7" t="s">
        <v>18687</v>
      </c>
      <c r="F7" t="s">
        <v>14588</v>
      </c>
      <c r="G7" t="s">
        <v>18688</v>
      </c>
      <c r="H7" t="s">
        <v>18689</v>
      </c>
      <c r="I7" t="s">
        <v>14942</v>
      </c>
      <c r="J7" t="s">
        <v>1075</v>
      </c>
      <c r="K7" t="s">
        <v>15785</v>
      </c>
      <c r="L7" t="s">
        <v>15446</v>
      </c>
      <c r="M7" t="s">
        <v>19110</v>
      </c>
    </row>
    <row r="8" spans="1:13" x14ac:dyDescent="0.3">
      <c r="A8" t="s">
        <v>18690</v>
      </c>
      <c r="B8" s="476">
        <v>46201.3</v>
      </c>
      <c r="C8" t="s">
        <v>15608</v>
      </c>
      <c r="D8" t="s">
        <v>14993</v>
      </c>
      <c r="E8" t="s">
        <v>18691</v>
      </c>
      <c r="F8" t="s">
        <v>14589</v>
      </c>
      <c r="G8" t="s">
        <v>18692</v>
      </c>
      <c r="H8" s="37">
        <v>0.01</v>
      </c>
      <c r="I8" s="477">
        <v>3.2000000000000001E-2</v>
      </c>
      <c r="J8" t="s">
        <v>1075</v>
      </c>
      <c r="K8" t="s">
        <v>15788</v>
      </c>
      <c r="L8" t="s">
        <v>15441</v>
      </c>
      <c r="M8" t="s">
        <v>19110</v>
      </c>
    </row>
    <row r="9" spans="1:13" x14ac:dyDescent="0.3">
      <c r="A9" t="s">
        <v>18693</v>
      </c>
      <c r="B9" s="476">
        <v>46201.2</v>
      </c>
      <c r="C9" t="s">
        <v>15563</v>
      </c>
      <c r="D9" t="s">
        <v>14994</v>
      </c>
      <c r="E9" t="s">
        <v>18694</v>
      </c>
      <c r="F9" t="s">
        <v>14588</v>
      </c>
      <c r="G9" t="s">
        <v>18695</v>
      </c>
      <c r="H9" s="37">
        <v>0.8</v>
      </c>
      <c r="I9" s="37">
        <v>1</v>
      </c>
      <c r="J9" t="s">
        <v>1075</v>
      </c>
      <c r="K9" t="s">
        <v>15791</v>
      </c>
      <c r="L9" t="s">
        <v>15446</v>
      </c>
      <c r="M9" t="s">
        <v>19110</v>
      </c>
    </row>
    <row r="10" spans="1:13" x14ac:dyDescent="0.3">
      <c r="A10" t="s">
        <v>18696</v>
      </c>
      <c r="B10" s="476">
        <v>46201.1</v>
      </c>
      <c r="C10" t="s">
        <v>15596</v>
      </c>
      <c r="D10" t="s">
        <v>14993</v>
      </c>
      <c r="E10" t="s">
        <v>18697</v>
      </c>
      <c r="F10" t="s">
        <v>14589</v>
      </c>
      <c r="G10" t="s">
        <v>18698</v>
      </c>
      <c r="H10" t="s">
        <v>18699</v>
      </c>
      <c r="I10" t="s">
        <v>18700</v>
      </c>
      <c r="J10" t="s">
        <v>1371</v>
      </c>
      <c r="K10" t="s">
        <v>15794</v>
      </c>
      <c r="L10" t="s">
        <v>15446</v>
      </c>
      <c r="M10" t="s">
        <v>19110</v>
      </c>
    </row>
    <row r="11" spans="1:13" x14ac:dyDescent="0.3">
      <c r="A11" t="s">
        <v>18701</v>
      </c>
      <c r="B11" s="476">
        <v>46201</v>
      </c>
      <c r="C11" t="s">
        <v>15744</v>
      </c>
      <c r="D11" t="s">
        <v>152</v>
      </c>
      <c r="E11" t="s">
        <v>18702</v>
      </c>
      <c r="F11" t="s">
        <v>14589</v>
      </c>
      <c r="G11" t="s">
        <v>18703</v>
      </c>
      <c r="H11">
        <v>30</v>
      </c>
      <c r="I11">
        <v>14</v>
      </c>
      <c r="J11" t="s">
        <v>1075</v>
      </c>
      <c r="K11" t="s">
        <v>15797</v>
      </c>
      <c r="L11" t="s">
        <v>15446</v>
      </c>
      <c r="M11" t="s">
        <v>19110</v>
      </c>
    </row>
    <row r="12" spans="1:13" x14ac:dyDescent="0.3">
      <c r="A12" t="s">
        <v>18704</v>
      </c>
      <c r="B12" s="476">
        <v>46200.9</v>
      </c>
      <c r="C12" t="s">
        <v>15676</v>
      </c>
      <c r="D12" t="s">
        <v>1159</v>
      </c>
      <c r="E12" t="s">
        <v>18705</v>
      </c>
      <c r="F12" t="s">
        <v>14588</v>
      </c>
      <c r="G12" t="s">
        <v>18706</v>
      </c>
      <c r="H12" t="s">
        <v>18707</v>
      </c>
      <c r="I12" t="s">
        <v>14942</v>
      </c>
      <c r="J12" t="s">
        <v>1075</v>
      </c>
      <c r="K12" t="s">
        <v>15800</v>
      </c>
      <c r="L12" t="s">
        <v>15446</v>
      </c>
      <c r="M12" t="s">
        <v>19110</v>
      </c>
    </row>
    <row r="13" spans="1:13" x14ac:dyDescent="0.3">
      <c r="A13" t="s">
        <v>18708</v>
      </c>
      <c r="B13" s="476">
        <v>46200.800000000003</v>
      </c>
      <c r="C13" t="s">
        <v>15678</v>
      </c>
      <c r="D13" t="s">
        <v>1159</v>
      </c>
      <c r="E13" t="s">
        <v>18709</v>
      </c>
      <c r="F13" t="s">
        <v>14589</v>
      </c>
      <c r="G13" t="s">
        <v>18710</v>
      </c>
      <c r="H13" t="s">
        <v>18711</v>
      </c>
      <c r="I13" t="s">
        <v>18712</v>
      </c>
      <c r="J13" t="s">
        <v>1075</v>
      </c>
      <c r="K13" t="s">
        <v>15803</v>
      </c>
      <c r="L13" t="s">
        <v>1152</v>
      </c>
      <c r="M13" t="s">
        <v>19110</v>
      </c>
    </row>
    <row r="14" spans="1:13" x14ac:dyDescent="0.3">
      <c r="A14" t="s">
        <v>18713</v>
      </c>
      <c r="B14" s="476">
        <v>46200.7</v>
      </c>
      <c r="C14" t="s">
        <v>15449</v>
      </c>
      <c r="D14" t="s">
        <v>1158</v>
      </c>
      <c r="E14" t="s">
        <v>18714</v>
      </c>
      <c r="F14" t="s">
        <v>14589</v>
      </c>
      <c r="G14" t="s">
        <v>18715</v>
      </c>
      <c r="H14">
        <v>1000</v>
      </c>
      <c r="I14">
        <v>2500</v>
      </c>
      <c r="J14" t="s">
        <v>1371</v>
      </c>
      <c r="K14" t="s">
        <v>15806</v>
      </c>
      <c r="L14" t="s">
        <v>15446</v>
      </c>
      <c r="M14" t="s">
        <v>19110</v>
      </c>
    </row>
    <row r="15" spans="1:13" x14ac:dyDescent="0.3">
      <c r="A15" t="s">
        <v>18716</v>
      </c>
      <c r="B15" s="476">
        <v>46200.6</v>
      </c>
      <c r="C15" t="s">
        <v>15476</v>
      </c>
      <c r="D15" t="s">
        <v>1158</v>
      </c>
      <c r="E15" t="s">
        <v>18717</v>
      </c>
      <c r="F15" t="s">
        <v>18718</v>
      </c>
      <c r="G15" t="s">
        <v>18719</v>
      </c>
      <c r="H15" s="37">
        <v>0.95</v>
      </c>
      <c r="I15" s="37">
        <v>0.87</v>
      </c>
      <c r="J15" t="s">
        <v>1075</v>
      </c>
      <c r="K15" t="s">
        <v>15810</v>
      </c>
      <c r="L15" t="s">
        <v>15446</v>
      </c>
      <c r="M15" t="s">
        <v>19110</v>
      </c>
    </row>
    <row r="16" spans="1:13" x14ac:dyDescent="0.3">
      <c r="A16" t="s">
        <v>18720</v>
      </c>
      <c r="B16" s="476">
        <v>46200.5</v>
      </c>
      <c r="C16" t="s">
        <v>15652</v>
      </c>
      <c r="D16" t="s">
        <v>14991</v>
      </c>
      <c r="E16" t="s">
        <v>18721</v>
      </c>
      <c r="F16" t="s">
        <v>14588</v>
      </c>
      <c r="G16" t="s">
        <v>18722</v>
      </c>
      <c r="H16" t="s">
        <v>18723</v>
      </c>
      <c r="I16" t="s">
        <v>18724</v>
      </c>
      <c r="J16" t="s">
        <v>1075</v>
      </c>
      <c r="K16" t="s">
        <v>15813</v>
      </c>
      <c r="L16" t="s">
        <v>15446</v>
      </c>
      <c r="M16" t="s">
        <v>19110</v>
      </c>
    </row>
    <row r="17" spans="1:13" x14ac:dyDescent="0.3">
      <c r="A17" t="s">
        <v>18725</v>
      </c>
      <c r="B17" s="476">
        <v>46200.4</v>
      </c>
      <c r="C17" t="s">
        <v>15590</v>
      </c>
      <c r="D17" t="s">
        <v>14993</v>
      </c>
      <c r="E17" t="s">
        <v>18726</v>
      </c>
      <c r="F17" t="s">
        <v>14589</v>
      </c>
      <c r="G17" t="s">
        <v>18727</v>
      </c>
      <c r="H17" t="s">
        <v>18728</v>
      </c>
      <c r="I17" t="s">
        <v>18729</v>
      </c>
      <c r="J17" t="s">
        <v>1075</v>
      </c>
      <c r="K17" t="s">
        <v>15816</v>
      </c>
      <c r="L17" t="s">
        <v>15446</v>
      </c>
      <c r="M17" t="s">
        <v>19110</v>
      </c>
    </row>
    <row r="18" spans="1:13" x14ac:dyDescent="0.3">
      <c r="A18" t="s">
        <v>18730</v>
      </c>
      <c r="B18" s="476">
        <v>46200.3</v>
      </c>
      <c r="C18" t="s">
        <v>15631</v>
      </c>
      <c r="D18" t="s">
        <v>14992</v>
      </c>
      <c r="E18" t="s">
        <v>18671</v>
      </c>
      <c r="F18" t="s">
        <v>14589</v>
      </c>
      <c r="G18" t="s">
        <v>18672</v>
      </c>
      <c r="H18" s="37">
        <v>0.85</v>
      </c>
      <c r="I18" s="37">
        <v>0.86</v>
      </c>
      <c r="J18" t="s">
        <v>1232</v>
      </c>
      <c r="K18" t="s">
        <v>15819</v>
      </c>
      <c r="L18" t="s">
        <v>15441</v>
      </c>
      <c r="M18" t="s">
        <v>19110</v>
      </c>
    </row>
    <row r="19" spans="1:13" x14ac:dyDescent="0.3">
      <c r="A19" t="s">
        <v>18731</v>
      </c>
      <c r="B19" s="476">
        <v>46200.2</v>
      </c>
      <c r="C19" t="s">
        <v>15622</v>
      </c>
      <c r="D19" t="s">
        <v>14992</v>
      </c>
      <c r="E19" t="s">
        <v>18674</v>
      </c>
      <c r="F19" t="s">
        <v>18718</v>
      </c>
      <c r="G19" t="s">
        <v>18675</v>
      </c>
      <c r="H19" s="37">
        <v>0.8</v>
      </c>
      <c r="I19" s="37">
        <v>0.75</v>
      </c>
      <c r="J19" t="s">
        <v>1232</v>
      </c>
      <c r="K19" t="s">
        <v>15822</v>
      </c>
      <c r="L19" t="s">
        <v>15437</v>
      </c>
      <c r="M19" t="s">
        <v>19110</v>
      </c>
    </row>
    <row r="20" spans="1:13" x14ac:dyDescent="0.3">
      <c r="A20" t="s">
        <v>18732</v>
      </c>
      <c r="B20" s="476">
        <v>46200.1</v>
      </c>
      <c r="C20" t="s">
        <v>15673</v>
      </c>
      <c r="D20" t="s">
        <v>1159</v>
      </c>
      <c r="E20" t="s">
        <v>18677</v>
      </c>
      <c r="F20" t="s">
        <v>14589</v>
      </c>
      <c r="G20" t="s">
        <v>14957</v>
      </c>
      <c r="H20" t="s">
        <v>18678</v>
      </c>
      <c r="I20" t="s">
        <v>18733</v>
      </c>
      <c r="J20" t="s">
        <v>1075</v>
      </c>
      <c r="K20" t="s">
        <v>15825</v>
      </c>
      <c r="L20" t="s">
        <v>15446</v>
      </c>
      <c r="M20" t="s">
        <v>19110</v>
      </c>
    </row>
    <row r="21" spans="1:13" x14ac:dyDescent="0.3">
      <c r="A21" t="s">
        <v>18734</v>
      </c>
      <c r="B21" s="476">
        <v>46200</v>
      </c>
      <c r="C21" t="s">
        <v>15717</v>
      </c>
      <c r="D21" t="s">
        <v>14990</v>
      </c>
      <c r="E21" t="s">
        <v>18681</v>
      </c>
      <c r="F21" t="s">
        <v>18718</v>
      </c>
      <c r="G21" t="s">
        <v>18682</v>
      </c>
      <c r="H21" s="37">
        <v>0.9</v>
      </c>
      <c r="I21" s="37">
        <v>0.85</v>
      </c>
      <c r="J21" t="s">
        <v>1232</v>
      </c>
      <c r="K21" t="s">
        <v>15828</v>
      </c>
      <c r="L21" t="s">
        <v>1081</v>
      </c>
      <c r="M21" t="s">
        <v>19110</v>
      </c>
    </row>
    <row r="22" spans="1:13" x14ac:dyDescent="0.3">
      <c r="A22" t="s">
        <v>18735</v>
      </c>
      <c r="B22" s="476">
        <v>46201.85</v>
      </c>
      <c r="C22" t="s">
        <v>15467</v>
      </c>
      <c r="D22" t="s">
        <v>1158</v>
      </c>
      <c r="E22" t="s">
        <v>18671</v>
      </c>
      <c r="F22" t="s">
        <v>14588</v>
      </c>
      <c r="G22" t="s">
        <v>18672</v>
      </c>
      <c r="H22" s="37">
        <v>0.85</v>
      </c>
      <c r="I22" s="37">
        <v>0.92</v>
      </c>
      <c r="J22" t="s">
        <v>1075</v>
      </c>
      <c r="K22" t="s">
        <v>15769</v>
      </c>
      <c r="L22" t="s">
        <v>15446</v>
      </c>
      <c r="M22" t="s">
        <v>19110</v>
      </c>
    </row>
    <row r="23" spans="1:13" x14ac:dyDescent="0.3">
      <c r="A23" t="s">
        <v>18736</v>
      </c>
      <c r="B23" s="476">
        <v>46201.75</v>
      </c>
      <c r="C23" t="s">
        <v>15705</v>
      </c>
      <c r="D23" t="s">
        <v>14990</v>
      </c>
      <c r="E23" t="s">
        <v>18694</v>
      </c>
      <c r="F23" t="s">
        <v>14589</v>
      </c>
      <c r="G23" t="s">
        <v>18695</v>
      </c>
      <c r="H23" s="37">
        <v>0.8</v>
      </c>
      <c r="I23" s="37">
        <v>0.85</v>
      </c>
      <c r="J23" t="s">
        <v>1075</v>
      </c>
      <c r="K23" t="s">
        <v>15773</v>
      </c>
      <c r="L23" t="s">
        <v>15446</v>
      </c>
      <c r="M23" t="s">
        <v>19110</v>
      </c>
    </row>
    <row r="24" spans="1:13" x14ac:dyDescent="0.3">
      <c r="A24" t="s">
        <v>18737</v>
      </c>
      <c r="B24" s="476">
        <v>46201.65</v>
      </c>
      <c r="C24" t="s">
        <v>15655</v>
      </c>
      <c r="D24" t="s">
        <v>14991</v>
      </c>
      <c r="E24" t="s">
        <v>18691</v>
      </c>
      <c r="F24" t="s">
        <v>14589</v>
      </c>
      <c r="G24" t="s">
        <v>18692</v>
      </c>
      <c r="H24" s="37">
        <v>0.01</v>
      </c>
      <c r="I24" s="477">
        <v>2.1000000000000001E-2</v>
      </c>
      <c r="J24" t="s">
        <v>1371</v>
      </c>
      <c r="K24" t="s">
        <v>15776</v>
      </c>
      <c r="L24" t="s">
        <v>15446</v>
      </c>
      <c r="M24" t="s">
        <v>19110</v>
      </c>
    </row>
    <row r="25" spans="1:13" x14ac:dyDescent="0.3">
      <c r="A25" t="s">
        <v>18738</v>
      </c>
      <c r="B25" s="476">
        <v>46201.55</v>
      </c>
      <c r="C25" t="s">
        <v>15747</v>
      </c>
      <c r="D25" t="s">
        <v>152</v>
      </c>
      <c r="E25" t="s">
        <v>18726</v>
      </c>
      <c r="F25" t="s">
        <v>14588</v>
      </c>
      <c r="G25" t="s">
        <v>18727</v>
      </c>
      <c r="H25" t="s">
        <v>18728</v>
      </c>
      <c r="I25" t="s">
        <v>18739</v>
      </c>
      <c r="J25" t="s">
        <v>1075</v>
      </c>
      <c r="K25" t="s">
        <v>15779</v>
      </c>
      <c r="L25" t="s">
        <v>15446</v>
      </c>
      <c r="M25" t="s">
        <v>19110</v>
      </c>
    </row>
    <row r="26" spans="1:13" x14ac:dyDescent="0.3">
      <c r="A26" t="s">
        <v>18740</v>
      </c>
      <c r="B26" s="476">
        <v>46201.45</v>
      </c>
      <c r="C26" t="s">
        <v>15649</v>
      </c>
      <c r="D26" t="s">
        <v>14991</v>
      </c>
      <c r="E26" t="s">
        <v>18697</v>
      </c>
      <c r="F26" t="s">
        <v>18718</v>
      </c>
      <c r="G26" t="s">
        <v>18698</v>
      </c>
      <c r="H26" t="s">
        <v>18699</v>
      </c>
      <c r="I26" t="s">
        <v>18741</v>
      </c>
      <c r="J26" t="s">
        <v>1075</v>
      </c>
      <c r="K26" t="s">
        <v>15782</v>
      </c>
      <c r="L26" t="s">
        <v>15441</v>
      </c>
      <c r="M26" t="s">
        <v>19110</v>
      </c>
    </row>
    <row r="27" spans="1:13" x14ac:dyDescent="0.3">
      <c r="A27" t="s">
        <v>18742</v>
      </c>
      <c r="B27" s="476">
        <v>46201.35</v>
      </c>
      <c r="C27" t="s">
        <v>15619</v>
      </c>
      <c r="D27" t="s">
        <v>14992</v>
      </c>
      <c r="E27" t="s">
        <v>18684</v>
      </c>
      <c r="F27" t="s">
        <v>14589</v>
      </c>
      <c r="G27" t="s">
        <v>18685</v>
      </c>
      <c r="H27" s="37">
        <v>0.01</v>
      </c>
      <c r="I27" s="477">
        <v>2.5000000000000001E-2</v>
      </c>
      <c r="J27" t="s">
        <v>1075</v>
      </c>
      <c r="K27" t="s">
        <v>15785</v>
      </c>
      <c r="L27" t="s">
        <v>15446</v>
      </c>
      <c r="M27" t="s">
        <v>19110</v>
      </c>
    </row>
    <row r="28" spans="1:13" x14ac:dyDescent="0.3">
      <c r="A28" t="s">
        <v>18743</v>
      </c>
      <c r="B28" s="476">
        <v>46201.25</v>
      </c>
      <c r="C28" t="s">
        <v>15681</v>
      </c>
      <c r="D28" t="s">
        <v>1159</v>
      </c>
      <c r="E28" t="s">
        <v>18705</v>
      </c>
      <c r="F28" t="s">
        <v>14589</v>
      </c>
      <c r="G28" t="s">
        <v>18706</v>
      </c>
      <c r="H28" t="s">
        <v>18707</v>
      </c>
      <c r="I28" t="s">
        <v>18744</v>
      </c>
      <c r="J28" t="s">
        <v>1075</v>
      </c>
      <c r="K28" t="s">
        <v>15788</v>
      </c>
      <c r="L28" t="s">
        <v>15446</v>
      </c>
      <c r="M28" t="s">
        <v>19110</v>
      </c>
    </row>
    <row r="29" spans="1:13" x14ac:dyDescent="0.3">
      <c r="A29" t="s">
        <v>18745</v>
      </c>
      <c r="B29" s="476">
        <v>46201.15</v>
      </c>
      <c r="C29" t="s">
        <v>15714</v>
      </c>
      <c r="D29" t="s">
        <v>14990</v>
      </c>
      <c r="E29" t="s">
        <v>18702</v>
      </c>
      <c r="F29" t="s">
        <v>18718</v>
      </c>
      <c r="G29" t="s">
        <v>18703</v>
      </c>
      <c r="H29">
        <v>30</v>
      </c>
      <c r="I29">
        <v>22</v>
      </c>
      <c r="J29" t="s">
        <v>1232</v>
      </c>
      <c r="K29" t="s">
        <v>15791</v>
      </c>
      <c r="L29" t="s">
        <v>15446</v>
      </c>
      <c r="M29" t="s">
        <v>19110</v>
      </c>
    </row>
    <row r="30" spans="1:13" x14ac:dyDescent="0.3">
      <c r="A30" t="s">
        <v>18746</v>
      </c>
      <c r="B30" s="476">
        <v>46201.05</v>
      </c>
      <c r="C30" t="s">
        <v>15548</v>
      </c>
      <c r="D30" t="s">
        <v>1158</v>
      </c>
      <c r="E30" t="s">
        <v>18709</v>
      </c>
      <c r="F30" t="s">
        <v>14589</v>
      </c>
      <c r="G30" t="s">
        <v>18710</v>
      </c>
      <c r="H30" t="s">
        <v>18711</v>
      </c>
      <c r="I30" t="s">
        <v>18747</v>
      </c>
      <c r="J30" t="s">
        <v>1075</v>
      </c>
      <c r="K30" t="s">
        <v>15794</v>
      </c>
      <c r="L30" t="s">
        <v>1152</v>
      </c>
      <c r="M30" t="s">
        <v>19110</v>
      </c>
    </row>
    <row r="31" spans="1:13" x14ac:dyDescent="0.3">
      <c r="A31" t="s">
        <v>18748</v>
      </c>
      <c r="B31" s="476">
        <v>46200.95</v>
      </c>
      <c r="C31" t="s">
        <v>15569</v>
      </c>
      <c r="D31" t="s">
        <v>14994</v>
      </c>
      <c r="E31" t="s">
        <v>18721</v>
      </c>
      <c r="F31" t="s">
        <v>14589</v>
      </c>
      <c r="G31" t="s">
        <v>18722</v>
      </c>
      <c r="H31" t="s">
        <v>18723</v>
      </c>
      <c r="I31" t="s">
        <v>18749</v>
      </c>
      <c r="J31" t="s">
        <v>1075</v>
      </c>
      <c r="K31" t="s">
        <v>15797</v>
      </c>
      <c r="L31" t="s">
        <v>15446</v>
      </c>
      <c r="M31" t="s">
        <v>19110</v>
      </c>
    </row>
    <row r="32" spans="1:13" x14ac:dyDescent="0.3">
      <c r="A32" t="s">
        <v>18750</v>
      </c>
      <c r="B32" s="476">
        <v>46201.88</v>
      </c>
      <c r="C32" t="s">
        <v>15557</v>
      </c>
      <c r="D32" t="s">
        <v>14994</v>
      </c>
      <c r="E32" t="s">
        <v>18674</v>
      </c>
      <c r="F32" t="s">
        <v>14588</v>
      </c>
      <c r="G32" t="s">
        <v>18675</v>
      </c>
      <c r="H32" s="37">
        <v>0.8</v>
      </c>
      <c r="I32" s="37">
        <v>0.95</v>
      </c>
      <c r="J32" t="s">
        <v>1075</v>
      </c>
      <c r="K32" t="s">
        <v>15800</v>
      </c>
      <c r="L32" t="s">
        <v>15446</v>
      </c>
      <c r="M32" t="s">
        <v>19110</v>
      </c>
    </row>
    <row r="33" spans="1:13" x14ac:dyDescent="0.3">
      <c r="A33" t="s">
        <v>18751</v>
      </c>
      <c r="B33" s="476">
        <v>46201.78</v>
      </c>
      <c r="C33" t="s">
        <v>15693</v>
      </c>
      <c r="D33" t="s">
        <v>1159</v>
      </c>
      <c r="E33" t="s">
        <v>18671</v>
      </c>
      <c r="F33" t="s">
        <v>14589</v>
      </c>
      <c r="G33" t="s">
        <v>18672</v>
      </c>
      <c r="H33" s="37">
        <v>0.85</v>
      </c>
      <c r="I33" s="37">
        <v>0.87</v>
      </c>
      <c r="J33" t="s">
        <v>1075</v>
      </c>
      <c r="K33" t="s">
        <v>15803</v>
      </c>
      <c r="L33" t="s">
        <v>1081</v>
      </c>
      <c r="M33" t="s">
        <v>19110</v>
      </c>
    </row>
    <row r="34" spans="1:13" x14ac:dyDescent="0.3">
      <c r="A34" t="s">
        <v>18752</v>
      </c>
      <c r="B34" s="476">
        <v>46201.68</v>
      </c>
      <c r="C34" t="s">
        <v>15723</v>
      </c>
      <c r="D34" t="s">
        <v>14990</v>
      </c>
      <c r="E34" t="s">
        <v>18677</v>
      </c>
      <c r="F34" t="s">
        <v>18718</v>
      </c>
      <c r="G34" t="s">
        <v>14957</v>
      </c>
      <c r="H34" t="s">
        <v>18678</v>
      </c>
      <c r="I34" t="s">
        <v>18753</v>
      </c>
      <c r="J34" t="s">
        <v>1232</v>
      </c>
      <c r="K34" t="s">
        <v>15806</v>
      </c>
      <c r="L34" t="s">
        <v>15441</v>
      </c>
      <c r="M34" t="s">
        <v>19110</v>
      </c>
    </row>
    <row r="35" spans="1:13" x14ac:dyDescent="0.3">
      <c r="A35" t="s">
        <v>18754</v>
      </c>
      <c r="B35" s="476">
        <v>46201.58</v>
      </c>
      <c r="C35" t="s">
        <v>15735</v>
      </c>
      <c r="D35" t="s">
        <v>152</v>
      </c>
      <c r="E35" t="s">
        <v>18687</v>
      </c>
      <c r="F35" t="s">
        <v>14589</v>
      </c>
      <c r="G35" t="s">
        <v>18688</v>
      </c>
      <c r="H35" t="s">
        <v>18689</v>
      </c>
      <c r="I35" t="s">
        <v>14589</v>
      </c>
      <c r="J35" t="s">
        <v>1075</v>
      </c>
      <c r="K35" t="s">
        <v>15810</v>
      </c>
      <c r="L35" t="s">
        <v>15446</v>
      </c>
      <c r="M35" t="s">
        <v>19110</v>
      </c>
    </row>
    <row r="36" spans="1:13" x14ac:dyDescent="0.3">
      <c r="A36" t="s">
        <v>18755</v>
      </c>
      <c r="B36" s="476">
        <v>46201.48</v>
      </c>
      <c r="C36" t="s">
        <v>15646</v>
      </c>
      <c r="D36" t="s">
        <v>14991</v>
      </c>
      <c r="E36" t="s">
        <v>18714</v>
      </c>
      <c r="F36" t="s">
        <v>14588</v>
      </c>
      <c r="G36" t="s">
        <v>18715</v>
      </c>
      <c r="H36">
        <v>1000</v>
      </c>
      <c r="I36">
        <v>5200</v>
      </c>
      <c r="J36" t="s">
        <v>1075</v>
      </c>
      <c r="K36" t="s">
        <v>15813</v>
      </c>
      <c r="L36" t="s">
        <v>15446</v>
      </c>
      <c r="M36" t="s">
        <v>19110</v>
      </c>
    </row>
    <row r="37" spans="1:13" x14ac:dyDescent="0.3">
      <c r="A37" t="s">
        <v>18756</v>
      </c>
      <c r="B37" s="476">
        <v>46201.38</v>
      </c>
      <c r="C37" t="s">
        <v>15485</v>
      </c>
      <c r="D37" t="s">
        <v>1158</v>
      </c>
      <c r="E37" t="s">
        <v>18717</v>
      </c>
      <c r="F37" t="s">
        <v>14589</v>
      </c>
      <c r="G37" t="s">
        <v>18719</v>
      </c>
      <c r="H37" s="37">
        <v>0.95</v>
      </c>
      <c r="I37" s="37">
        <v>0.82</v>
      </c>
      <c r="J37" t="s">
        <v>1075</v>
      </c>
      <c r="K37" t="s">
        <v>15816</v>
      </c>
      <c r="L37" t="s">
        <v>15446</v>
      </c>
      <c r="M37" t="s">
        <v>19110</v>
      </c>
    </row>
    <row r="38" spans="1:13" x14ac:dyDescent="0.3">
      <c r="A38" t="s">
        <v>18757</v>
      </c>
      <c r="B38" s="476">
        <v>46201.279999999999</v>
      </c>
      <c r="C38" t="s">
        <v>15494</v>
      </c>
      <c r="D38" t="s">
        <v>1158</v>
      </c>
      <c r="E38" t="s">
        <v>18681</v>
      </c>
      <c r="F38" t="s">
        <v>14589</v>
      </c>
      <c r="G38" t="s">
        <v>18682</v>
      </c>
      <c r="H38" s="37">
        <v>0.9</v>
      </c>
      <c r="I38" s="37">
        <v>0.91</v>
      </c>
      <c r="J38" t="s">
        <v>1371</v>
      </c>
      <c r="K38" t="s">
        <v>15819</v>
      </c>
      <c r="L38" t="s">
        <v>15446</v>
      </c>
      <c r="M38" t="s">
        <v>19110</v>
      </c>
    </row>
    <row r="39" spans="1:13" x14ac:dyDescent="0.3">
      <c r="A39" t="s">
        <v>18758</v>
      </c>
      <c r="B39" s="476">
        <v>46201.18</v>
      </c>
      <c r="C39" t="s">
        <v>15617</v>
      </c>
      <c r="D39" t="s">
        <v>14992</v>
      </c>
      <c r="E39" t="s">
        <v>18694</v>
      </c>
      <c r="F39" t="s">
        <v>14589</v>
      </c>
      <c r="G39" t="s">
        <v>18695</v>
      </c>
      <c r="H39" s="37">
        <v>0.8</v>
      </c>
      <c r="I39" s="37">
        <v>0.88</v>
      </c>
      <c r="J39" t="s">
        <v>1075</v>
      </c>
      <c r="K39" t="s">
        <v>15822</v>
      </c>
      <c r="L39" t="s">
        <v>15446</v>
      </c>
      <c r="M39" t="s">
        <v>19110</v>
      </c>
    </row>
    <row r="40" spans="1:13" x14ac:dyDescent="0.3">
      <c r="A40" t="s">
        <v>18759</v>
      </c>
      <c r="B40" s="476">
        <v>46201.08</v>
      </c>
      <c r="C40" t="s">
        <v>15741</v>
      </c>
      <c r="D40" t="s">
        <v>152</v>
      </c>
      <c r="E40" t="s">
        <v>18691</v>
      </c>
      <c r="F40" t="s">
        <v>18718</v>
      </c>
      <c r="G40" t="s">
        <v>18692</v>
      </c>
      <c r="H40" s="37">
        <v>0.01</v>
      </c>
      <c r="I40" s="477">
        <v>1.4999999999999999E-2</v>
      </c>
      <c r="J40" t="s">
        <v>1232</v>
      </c>
      <c r="K40" t="s">
        <v>15825</v>
      </c>
      <c r="L40" t="s">
        <v>15437</v>
      </c>
      <c r="M40" t="s">
        <v>19110</v>
      </c>
    </row>
    <row r="41" spans="1:13" x14ac:dyDescent="0.3">
      <c r="A41" t="s">
        <v>18760</v>
      </c>
      <c r="B41" s="476">
        <v>46200.98</v>
      </c>
      <c r="C41" t="s">
        <v>15614</v>
      </c>
      <c r="D41" t="s">
        <v>14992</v>
      </c>
      <c r="E41" t="s">
        <v>18684</v>
      </c>
      <c r="F41" t="s">
        <v>14589</v>
      </c>
      <c r="G41" t="s">
        <v>18685</v>
      </c>
      <c r="H41" s="37">
        <v>0.01</v>
      </c>
      <c r="I41" s="477">
        <v>1.7999999999999999E-2</v>
      </c>
      <c r="J41" t="s">
        <v>1075</v>
      </c>
      <c r="K41" t="s">
        <v>15828</v>
      </c>
      <c r="L41" t="s">
        <v>15446</v>
      </c>
      <c r="M41" t="s">
        <v>19110</v>
      </c>
    </row>
    <row r="44" spans="1:13" ht="15.6" x14ac:dyDescent="0.3">
      <c r="A44" s="378" t="s">
        <v>18761</v>
      </c>
      <c r="B44" s="378"/>
      <c r="C44" s="378"/>
      <c r="D44" s="378"/>
      <c r="E44" s="378"/>
      <c r="F44" s="378"/>
      <c r="G44" s="378"/>
      <c r="H44" s="378"/>
      <c r="I44" s="378"/>
      <c r="J44" s="378"/>
      <c r="K44" s="378"/>
      <c r="L44" s="378"/>
    </row>
    <row r="45" spans="1:13" x14ac:dyDescent="0.3">
      <c r="A45" s="379"/>
      <c r="B45" s="379"/>
      <c r="C45" s="379"/>
      <c r="D45" s="379"/>
      <c r="E45" s="379"/>
      <c r="F45" s="379"/>
      <c r="G45" s="379"/>
      <c r="H45" s="379"/>
      <c r="I45" s="379"/>
      <c r="J45" s="379"/>
      <c r="K45" s="379"/>
      <c r="L45" s="379"/>
    </row>
    <row r="46" spans="1:13" x14ac:dyDescent="0.3">
      <c r="A46" s="379" t="s">
        <v>18762</v>
      </c>
      <c r="B46" s="379"/>
      <c r="C46" s="379"/>
      <c r="D46" s="379"/>
      <c r="E46" s="379"/>
      <c r="F46" s="379"/>
      <c r="G46" s="379"/>
      <c r="H46" s="379"/>
      <c r="I46" s="379"/>
      <c r="J46" s="379"/>
      <c r="K46" s="379"/>
      <c r="L46" s="379"/>
    </row>
    <row r="47" spans="1:13" x14ac:dyDescent="0.3">
      <c r="A47" s="379"/>
      <c r="B47" s="379"/>
      <c r="C47" s="379"/>
      <c r="D47" s="379"/>
      <c r="E47" s="379"/>
      <c r="F47" s="379"/>
      <c r="G47" s="379"/>
      <c r="H47" s="379"/>
      <c r="I47" s="379"/>
      <c r="J47" s="379"/>
      <c r="K47" s="379"/>
      <c r="L47" s="379"/>
    </row>
    <row r="48" spans="1:13" x14ac:dyDescent="0.3">
      <c r="A48" s="379" t="s">
        <v>18763</v>
      </c>
      <c r="B48" s="379"/>
      <c r="C48" s="379"/>
      <c r="D48" s="379"/>
      <c r="E48" s="379"/>
      <c r="F48" s="379"/>
      <c r="G48" s="379"/>
      <c r="H48" s="379"/>
      <c r="I48" s="379"/>
      <c r="J48" s="379"/>
      <c r="K48" s="379"/>
      <c r="L48" s="379"/>
    </row>
    <row r="49" spans="1:12" x14ac:dyDescent="0.3">
      <c r="A49" s="379"/>
      <c r="B49" s="379"/>
      <c r="C49" s="379"/>
      <c r="D49" s="379"/>
      <c r="E49" s="379"/>
      <c r="F49" s="379"/>
      <c r="G49" s="379"/>
      <c r="H49" s="379"/>
      <c r="I49" s="379"/>
      <c r="J49" s="379"/>
      <c r="K49" s="379"/>
      <c r="L49" s="379"/>
    </row>
    <row r="50" spans="1:12" x14ac:dyDescent="0.3">
      <c r="A50" s="379" t="s">
        <v>18764</v>
      </c>
      <c r="B50" s="379"/>
      <c r="C50" s="379"/>
      <c r="D50" s="379"/>
      <c r="E50" s="379"/>
      <c r="F50" s="379"/>
      <c r="G50" s="379"/>
      <c r="H50" s="379"/>
      <c r="I50" s="379"/>
      <c r="J50" s="379"/>
      <c r="K50" s="379"/>
      <c r="L50" s="379"/>
    </row>
    <row r="51" spans="1:12" x14ac:dyDescent="0.3">
      <c r="A51" s="379"/>
      <c r="B51" s="379"/>
      <c r="C51" s="379"/>
      <c r="D51" s="379"/>
      <c r="E51" s="379"/>
      <c r="F51" s="379"/>
      <c r="G51" s="379"/>
      <c r="H51" s="379"/>
      <c r="I51" s="379"/>
      <c r="J51" s="379"/>
      <c r="K51" s="379"/>
      <c r="L51" s="379"/>
    </row>
    <row r="52" spans="1:12" x14ac:dyDescent="0.3">
      <c r="A52" s="379" t="s">
        <v>17502</v>
      </c>
      <c r="B52" s="379"/>
      <c r="C52" s="379"/>
      <c r="D52" s="379"/>
      <c r="E52" s="379"/>
      <c r="F52" s="379"/>
      <c r="G52" s="379"/>
      <c r="H52" s="379"/>
      <c r="I52" s="379"/>
      <c r="J52" s="379"/>
      <c r="K52" s="379"/>
      <c r="L52" s="379"/>
    </row>
    <row r="54" spans="1:12" ht="18" x14ac:dyDescent="0.35">
      <c r="A54" s="358" t="s">
        <v>18765</v>
      </c>
      <c r="B54" s="358"/>
      <c r="C54" s="358"/>
      <c r="D54" s="358"/>
      <c r="E54" s="358"/>
      <c r="F54" s="358"/>
      <c r="G54" s="358"/>
      <c r="H54" s="358"/>
      <c r="I54" s="358"/>
      <c r="J54" s="358"/>
      <c r="K54" s="358"/>
      <c r="L54" s="358"/>
    </row>
    <row r="56" spans="1:12" ht="15.6" x14ac:dyDescent="0.3">
      <c r="A56" s="380" t="s">
        <v>18766</v>
      </c>
      <c r="B56" s="381"/>
      <c r="C56" s="381"/>
      <c r="D56" s="381"/>
      <c r="E56" s="381"/>
      <c r="F56" s="381"/>
      <c r="G56" s="381"/>
      <c r="H56" s="381"/>
      <c r="I56" s="381"/>
      <c r="J56" s="381"/>
      <c r="K56" s="381"/>
      <c r="L56" s="381"/>
    </row>
    <row r="57" spans="1:12" x14ac:dyDescent="0.3">
      <c r="A57" s="381" t="s">
        <v>18767</v>
      </c>
      <c r="B57" s="381"/>
      <c r="C57" s="381"/>
      <c r="D57" s="381"/>
      <c r="E57" s="381"/>
      <c r="F57" s="381"/>
      <c r="G57" s="381"/>
      <c r="H57" s="381"/>
      <c r="I57" s="381"/>
      <c r="J57" s="381"/>
      <c r="K57" s="381"/>
      <c r="L57" s="381"/>
    </row>
    <row r="58" spans="1:12" x14ac:dyDescent="0.3">
      <c r="A58" s="381" t="s">
        <v>18768</v>
      </c>
      <c r="B58" s="381"/>
      <c r="C58" s="381"/>
      <c r="D58" s="381"/>
      <c r="E58" s="381"/>
      <c r="F58" s="381"/>
      <c r="G58" s="381"/>
      <c r="H58" s="381"/>
      <c r="I58" s="381"/>
      <c r="J58" s="381"/>
      <c r="K58" s="381"/>
      <c r="L58" s="381"/>
    </row>
    <row r="59" spans="1:12" x14ac:dyDescent="0.3">
      <c r="A59" s="381"/>
      <c r="B59" s="381"/>
      <c r="C59" s="381"/>
      <c r="D59" s="381"/>
      <c r="E59" s="381"/>
      <c r="F59" s="381"/>
      <c r="G59" s="381"/>
      <c r="H59" s="381"/>
      <c r="I59" s="381"/>
      <c r="J59" s="381"/>
      <c r="K59" s="381"/>
      <c r="L59" s="381"/>
    </row>
    <row r="60" spans="1:12" x14ac:dyDescent="0.3">
      <c r="A60" s="381" t="s">
        <v>18769</v>
      </c>
      <c r="B60" s="381"/>
      <c r="C60" s="381"/>
      <c r="D60" s="381"/>
      <c r="E60" s="381"/>
      <c r="F60" s="381"/>
      <c r="G60" s="381"/>
      <c r="H60" s="381"/>
      <c r="I60" s="381"/>
      <c r="J60" s="381"/>
      <c r="K60" s="381"/>
      <c r="L60" s="381"/>
    </row>
    <row r="61" spans="1:12" x14ac:dyDescent="0.3">
      <c r="A61" s="381" t="s">
        <v>18770</v>
      </c>
      <c r="B61" s="381"/>
      <c r="C61" s="381"/>
      <c r="D61" s="381"/>
      <c r="E61" s="381"/>
      <c r="F61" s="381"/>
      <c r="G61" s="381"/>
      <c r="H61" s="381"/>
      <c r="I61" s="381"/>
      <c r="J61" s="381"/>
      <c r="K61" s="381"/>
      <c r="L61" s="381"/>
    </row>
    <row r="62" spans="1:12" x14ac:dyDescent="0.3">
      <c r="A62" s="381" t="s">
        <v>18771</v>
      </c>
      <c r="B62" s="381"/>
      <c r="C62" s="381"/>
      <c r="D62" s="381"/>
      <c r="E62" s="381"/>
      <c r="F62" s="381"/>
      <c r="G62" s="381"/>
      <c r="H62" s="381"/>
      <c r="I62" s="381"/>
      <c r="J62" s="381"/>
      <c r="K62" s="381"/>
      <c r="L62" s="381"/>
    </row>
    <row r="63" spans="1:12" x14ac:dyDescent="0.3">
      <c r="A63" s="381" t="s">
        <v>18772</v>
      </c>
      <c r="B63" s="381"/>
      <c r="C63" s="381"/>
      <c r="D63" s="381"/>
      <c r="E63" s="381"/>
      <c r="F63" s="381"/>
      <c r="G63" s="381"/>
      <c r="H63" s="381"/>
      <c r="I63" s="381"/>
      <c r="J63" s="381"/>
      <c r="K63" s="381"/>
      <c r="L63" s="381"/>
    </row>
    <row r="64" spans="1:12" x14ac:dyDescent="0.3">
      <c r="A64" s="381" t="s">
        <v>18773</v>
      </c>
      <c r="B64" s="381"/>
      <c r="C64" s="381"/>
      <c r="D64" s="381"/>
      <c r="E64" s="381"/>
      <c r="F64" s="381"/>
      <c r="G64" s="381"/>
      <c r="H64" s="381"/>
      <c r="I64" s="381"/>
      <c r="J64" s="381"/>
      <c r="K64" s="381"/>
      <c r="L64" s="381"/>
    </row>
    <row r="65" spans="1:12" x14ac:dyDescent="0.3">
      <c r="A65" s="381"/>
      <c r="B65" s="381"/>
      <c r="C65" s="381"/>
      <c r="D65" s="381"/>
      <c r="E65" s="381"/>
      <c r="F65" s="381"/>
      <c r="G65" s="381"/>
      <c r="H65" s="381"/>
      <c r="I65" s="381"/>
      <c r="J65" s="381"/>
      <c r="K65" s="381"/>
      <c r="L65" s="381"/>
    </row>
    <row r="66" spans="1:12" ht="15.6" x14ac:dyDescent="0.3">
      <c r="A66" s="380" t="s">
        <v>18774</v>
      </c>
      <c r="B66" s="381"/>
      <c r="C66" s="381"/>
      <c r="D66" s="381"/>
      <c r="E66" s="381"/>
      <c r="F66" s="381"/>
      <c r="G66" s="381"/>
      <c r="H66" s="381"/>
      <c r="I66" s="381"/>
      <c r="J66" s="381"/>
      <c r="K66" s="381"/>
      <c r="L66" s="381"/>
    </row>
    <row r="67" spans="1:12" x14ac:dyDescent="0.3">
      <c r="A67" s="381"/>
      <c r="B67" s="381"/>
      <c r="C67" s="381"/>
      <c r="D67" s="381"/>
      <c r="E67" s="381"/>
      <c r="F67" s="381"/>
      <c r="G67" s="381"/>
      <c r="H67" s="381"/>
      <c r="I67" s="381"/>
      <c r="J67" s="381"/>
      <c r="K67" s="381"/>
      <c r="L67" s="381"/>
    </row>
    <row r="68" spans="1:12" x14ac:dyDescent="0.3">
      <c r="A68" s="382" t="s">
        <v>18775</v>
      </c>
      <c r="B68" s="381"/>
      <c r="C68" s="381"/>
      <c r="D68" s="381"/>
      <c r="E68" s="381"/>
      <c r="F68" s="381"/>
      <c r="G68" s="381"/>
      <c r="H68" s="381"/>
      <c r="I68" s="381"/>
      <c r="J68" s="381"/>
      <c r="K68" s="381"/>
      <c r="L68" s="381"/>
    </row>
    <row r="69" spans="1:12" x14ac:dyDescent="0.3">
      <c r="A69" s="381" t="s">
        <v>18113</v>
      </c>
      <c r="B69" s="381"/>
      <c r="C69" s="381"/>
      <c r="D69" s="381"/>
      <c r="E69" s="381"/>
      <c r="F69" s="381"/>
      <c r="G69" s="381"/>
      <c r="H69" s="381"/>
      <c r="I69" s="381"/>
      <c r="J69" s="381"/>
      <c r="K69" s="381"/>
      <c r="L69" s="381"/>
    </row>
    <row r="70" spans="1:12" x14ac:dyDescent="0.3">
      <c r="A70" s="381" t="s">
        <v>18776</v>
      </c>
      <c r="B70" s="381"/>
      <c r="C70" s="381"/>
      <c r="D70" s="381"/>
      <c r="E70" s="381"/>
      <c r="F70" s="381"/>
      <c r="G70" s="381"/>
      <c r="H70" s="381"/>
      <c r="I70" s="381"/>
      <c r="J70" s="381"/>
      <c r="K70" s="381"/>
      <c r="L70" s="381"/>
    </row>
    <row r="71" spans="1:12" x14ac:dyDescent="0.3">
      <c r="A71" s="381" t="s">
        <v>18777</v>
      </c>
      <c r="B71" s="381"/>
      <c r="C71" s="381"/>
      <c r="D71" s="381"/>
      <c r="E71" s="381"/>
      <c r="F71" s="381"/>
      <c r="G71" s="381"/>
      <c r="H71" s="381"/>
      <c r="I71" s="381"/>
      <c r="J71" s="381"/>
      <c r="K71" s="381"/>
      <c r="L71" s="381"/>
    </row>
    <row r="72" spans="1:12" x14ac:dyDescent="0.3">
      <c r="A72" s="381" t="s">
        <v>18778</v>
      </c>
      <c r="B72" s="381"/>
      <c r="C72" s="381"/>
      <c r="D72" s="381"/>
      <c r="E72" s="381"/>
      <c r="F72" s="381"/>
      <c r="G72" s="381"/>
      <c r="H72" s="381"/>
      <c r="I72" s="381"/>
      <c r="J72" s="381"/>
      <c r="K72" s="381"/>
      <c r="L72" s="381"/>
    </row>
    <row r="73" spans="1:12" x14ac:dyDescent="0.3">
      <c r="A73" s="381"/>
      <c r="B73" s="381"/>
      <c r="C73" s="381"/>
      <c r="D73" s="381"/>
      <c r="E73" s="381"/>
      <c r="F73" s="381"/>
      <c r="G73" s="381"/>
      <c r="H73" s="381"/>
      <c r="I73" s="381"/>
      <c r="J73" s="381"/>
      <c r="K73" s="381"/>
      <c r="L73" s="381"/>
    </row>
    <row r="74" spans="1:12" x14ac:dyDescent="0.3">
      <c r="A74" s="381" t="s">
        <v>18779</v>
      </c>
      <c r="B74" s="381"/>
      <c r="C74" s="381"/>
      <c r="D74" s="381"/>
      <c r="E74" s="381"/>
      <c r="F74" s="381"/>
      <c r="G74" s="381"/>
      <c r="H74" s="381"/>
      <c r="I74" s="381"/>
      <c r="J74" s="381"/>
      <c r="K74" s="381"/>
      <c r="L74" s="381"/>
    </row>
    <row r="75" spans="1:12" x14ac:dyDescent="0.3">
      <c r="A75" s="381" t="s">
        <v>18780</v>
      </c>
      <c r="B75" s="381"/>
      <c r="C75" s="381"/>
      <c r="D75" s="381"/>
      <c r="E75" s="381"/>
      <c r="F75" s="381"/>
      <c r="G75" s="381"/>
      <c r="H75" s="381"/>
      <c r="I75" s="381"/>
      <c r="J75" s="381"/>
      <c r="K75" s="381"/>
      <c r="L75" s="381"/>
    </row>
    <row r="76" spans="1:12" x14ac:dyDescent="0.3">
      <c r="A76" s="381" t="s">
        <v>18781</v>
      </c>
      <c r="B76" s="381"/>
      <c r="C76" s="381"/>
      <c r="D76" s="381"/>
      <c r="E76" s="381"/>
      <c r="F76" s="381"/>
      <c r="G76" s="381"/>
      <c r="H76" s="381"/>
      <c r="I76" s="381"/>
      <c r="J76" s="381"/>
      <c r="K76" s="381"/>
      <c r="L76" s="381"/>
    </row>
    <row r="77" spans="1:12" x14ac:dyDescent="0.3">
      <c r="A77" s="381" t="s">
        <v>18782</v>
      </c>
      <c r="B77" s="381"/>
      <c r="C77" s="381"/>
      <c r="D77" s="381"/>
      <c r="E77" s="381"/>
      <c r="F77" s="381"/>
      <c r="G77" s="381"/>
      <c r="H77" s="381"/>
      <c r="I77" s="381"/>
      <c r="J77" s="381"/>
      <c r="K77" s="381"/>
      <c r="L77" s="381"/>
    </row>
    <row r="78" spans="1:12" x14ac:dyDescent="0.3">
      <c r="A78" s="381"/>
      <c r="B78" s="381"/>
      <c r="C78" s="381"/>
      <c r="D78" s="381"/>
      <c r="E78" s="381"/>
      <c r="F78" s="381"/>
      <c r="G78" s="381"/>
      <c r="H78" s="381"/>
      <c r="I78" s="381"/>
      <c r="J78" s="381"/>
      <c r="K78" s="381"/>
      <c r="L78" s="381"/>
    </row>
    <row r="79" spans="1:12" ht="15.6" x14ac:dyDescent="0.3">
      <c r="A79" s="380" t="s">
        <v>18783</v>
      </c>
      <c r="B79" s="381"/>
      <c r="C79" s="381"/>
      <c r="D79" s="381"/>
      <c r="E79" s="381"/>
      <c r="F79" s="381"/>
      <c r="G79" s="381"/>
      <c r="H79" s="381"/>
      <c r="I79" s="381"/>
      <c r="J79" s="381"/>
      <c r="K79" s="381"/>
      <c r="L79" s="381"/>
    </row>
    <row r="80" spans="1:12" x14ac:dyDescent="0.3">
      <c r="A80" s="381"/>
      <c r="B80" s="381"/>
      <c r="C80" s="381"/>
      <c r="D80" s="381"/>
      <c r="E80" s="381"/>
      <c r="F80" s="381"/>
      <c r="G80" s="381"/>
      <c r="H80" s="381"/>
      <c r="I80" s="381"/>
      <c r="J80" s="381"/>
      <c r="K80" s="381"/>
      <c r="L80" s="381"/>
    </row>
    <row r="81" spans="1:12" x14ac:dyDescent="0.3">
      <c r="A81" s="382" t="s">
        <v>18784</v>
      </c>
      <c r="B81" s="381"/>
      <c r="C81" s="381"/>
      <c r="D81" s="381"/>
      <c r="E81" s="381"/>
      <c r="F81" s="381"/>
      <c r="G81" s="381"/>
      <c r="H81" s="381"/>
      <c r="I81" s="381"/>
      <c r="J81" s="381"/>
      <c r="K81" s="381"/>
      <c r="L81" s="381"/>
    </row>
    <row r="82" spans="1:12" x14ac:dyDescent="0.3">
      <c r="A82" s="381" t="s">
        <v>18113</v>
      </c>
      <c r="B82" s="381"/>
      <c r="C82" s="381"/>
      <c r="D82" s="381"/>
      <c r="E82" s="381"/>
      <c r="F82" s="381"/>
      <c r="G82" s="381"/>
      <c r="H82" s="381"/>
      <c r="I82" s="381"/>
      <c r="J82" s="381"/>
      <c r="K82" s="381"/>
      <c r="L82" s="381"/>
    </row>
    <row r="83" spans="1:12" x14ac:dyDescent="0.3">
      <c r="A83" s="381" t="s">
        <v>18785</v>
      </c>
      <c r="B83" s="381"/>
      <c r="C83" s="381"/>
      <c r="D83" s="381"/>
      <c r="E83" s="381"/>
      <c r="F83" s="381"/>
      <c r="G83" s="381"/>
      <c r="H83" s="381"/>
      <c r="I83" s="381"/>
      <c r="J83" s="381"/>
      <c r="K83" s="381"/>
      <c r="L83" s="381"/>
    </row>
    <row r="84" spans="1:12" x14ac:dyDescent="0.3">
      <c r="A84" s="381" t="s">
        <v>18786</v>
      </c>
      <c r="B84" s="381"/>
      <c r="C84" s="381"/>
      <c r="D84" s="381"/>
      <c r="E84" s="381"/>
      <c r="F84" s="381"/>
      <c r="G84" s="381"/>
      <c r="H84" s="381"/>
      <c r="I84" s="381"/>
      <c r="J84" s="381"/>
      <c r="K84" s="381"/>
      <c r="L84" s="381"/>
    </row>
    <row r="85" spans="1:12" x14ac:dyDescent="0.3">
      <c r="A85" s="381" t="s">
        <v>18787</v>
      </c>
      <c r="B85" s="381"/>
      <c r="C85" s="381"/>
      <c r="D85" s="381"/>
      <c r="E85" s="381"/>
      <c r="F85" s="381"/>
      <c r="G85" s="381"/>
      <c r="H85" s="381"/>
      <c r="I85" s="381"/>
      <c r="J85" s="381"/>
      <c r="K85" s="381"/>
      <c r="L85" s="381"/>
    </row>
    <row r="86" spans="1:12" x14ac:dyDescent="0.3">
      <c r="A86" s="381" t="s">
        <v>18788</v>
      </c>
      <c r="B86" s="381"/>
      <c r="C86" s="381"/>
      <c r="D86" s="381"/>
      <c r="E86" s="381"/>
      <c r="F86" s="381"/>
      <c r="G86" s="381"/>
      <c r="H86" s="381"/>
      <c r="I86" s="381"/>
      <c r="J86" s="381"/>
      <c r="K86" s="381"/>
      <c r="L86" s="381"/>
    </row>
    <row r="87" spans="1:12" x14ac:dyDescent="0.3">
      <c r="A87" s="381" t="s">
        <v>18789</v>
      </c>
      <c r="B87" s="381"/>
      <c r="C87" s="381"/>
      <c r="D87" s="381"/>
      <c r="E87" s="381"/>
      <c r="F87" s="381"/>
      <c r="G87" s="381"/>
      <c r="H87" s="381"/>
      <c r="I87" s="381"/>
      <c r="J87" s="381"/>
      <c r="K87" s="381"/>
      <c r="L87" s="381"/>
    </row>
    <row r="88" spans="1:12" x14ac:dyDescent="0.3">
      <c r="A88" s="381" t="s">
        <v>18790</v>
      </c>
      <c r="B88" s="381"/>
      <c r="C88" s="381"/>
      <c r="D88" s="381"/>
      <c r="E88" s="381"/>
      <c r="F88" s="381"/>
      <c r="G88" s="381"/>
      <c r="H88" s="381"/>
      <c r="I88" s="381"/>
      <c r="J88" s="381"/>
      <c r="K88" s="381"/>
      <c r="L88" s="381"/>
    </row>
    <row r="89" spans="1:12" x14ac:dyDescent="0.3">
      <c r="A89" s="381" t="s">
        <v>18791</v>
      </c>
      <c r="B89" s="381"/>
      <c r="C89" s="381"/>
      <c r="D89" s="381"/>
      <c r="E89" s="381"/>
      <c r="F89" s="381"/>
      <c r="G89" s="381"/>
      <c r="H89" s="381"/>
      <c r="I89" s="381"/>
      <c r="J89" s="381"/>
      <c r="K89" s="381"/>
      <c r="L89" s="381"/>
    </row>
    <row r="90" spans="1:12" x14ac:dyDescent="0.3">
      <c r="A90" s="381" t="s">
        <v>18792</v>
      </c>
      <c r="B90" s="381"/>
      <c r="C90" s="381"/>
      <c r="D90" s="381"/>
      <c r="E90" s="381"/>
      <c r="F90" s="381"/>
      <c r="G90" s="381"/>
      <c r="H90" s="381"/>
      <c r="I90" s="381"/>
      <c r="J90" s="381"/>
      <c r="K90" s="381"/>
      <c r="L90" s="381"/>
    </row>
    <row r="91" spans="1:12" x14ac:dyDescent="0.3">
      <c r="A91" s="381" t="s">
        <v>18793</v>
      </c>
      <c r="B91" s="381"/>
      <c r="C91" s="381"/>
      <c r="D91" s="381"/>
      <c r="E91" s="381"/>
      <c r="F91" s="381"/>
      <c r="G91" s="381"/>
      <c r="H91" s="381"/>
      <c r="I91" s="381"/>
      <c r="J91" s="381"/>
      <c r="K91" s="381"/>
      <c r="L91" s="381"/>
    </row>
    <row r="92" spans="1:12" x14ac:dyDescent="0.3">
      <c r="A92" s="381" t="s">
        <v>18794</v>
      </c>
      <c r="B92" s="381"/>
      <c r="C92" s="381"/>
      <c r="D92" s="381"/>
      <c r="E92" s="381"/>
      <c r="F92" s="381"/>
      <c r="G92" s="381"/>
      <c r="H92" s="381"/>
      <c r="I92" s="381"/>
      <c r="J92" s="381"/>
      <c r="K92" s="381"/>
      <c r="L92" s="381"/>
    </row>
    <row r="93" spans="1:12" x14ac:dyDescent="0.3">
      <c r="A93" s="381" t="s">
        <v>18795</v>
      </c>
      <c r="B93" s="381"/>
      <c r="C93" s="381"/>
      <c r="D93" s="381"/>
      <c r="E93" s="381"/>
      <c r="F93" s="381"/>
      <c r="G93" s="381"/>
      <c r="H93" s="381"/>
      <c r="I93" s="381"/>
      <c r="J93" s="381"/>
      <c r="K93" s="381"/>
      <c r="L93" s="381"/>
    </row>
    <row r="94" spans="1:12" x14ac:dyDescent="0.3">
      <c r="A94" s="381" t="s">
        <v>18796</v>
      </c>
      <c r="B94" s="381"/>
      <c r="C94" s="381"/>
      <c r="D94" s="381"/>
      <c r="E94" s="381"/>
      <c r="F94" s="381"/>
      <c r="G94" s="381"/>
      <c r="H94" s="381"/>
      <c r="I94" s="381"/>
      <c r="J94" s="381"/>
      <c r="K94" s="381"/>
      <c r="L94" s="381"/>
    </row>
    <row r="95" spans="1:12" x14ac:dyDescent="0.3">
      <c r="A95" s="381"/>
      <c r="B95" s="381"/>
      <c r="C95" s="381"/>
      <c r="D95" s="381"/>
      <c r="E95" s="381"/>
      <c r="F95" s="381"/>
      <c r="G95" s="381"/>
      <c r="H95" s="381"/>
      <c r="I95" s="381"/>
      <c r="J95" s="381"/>
      <c r="K95" s="381"/>
      <c r="L95" s="381"/>
    </row>
    <row r="96" spans="1:12" ht="15.6" x14ac:dyDescent="0.3">
      <c r="A96" s="380" t="s">
        <v>18797</v>
      </c>
      <c r="B96" s="381"/>
      <c r="C96" s="381"/>
      <c r="D96" s="381"/>
      <c r="E96" s="381"/>
      <c r="F96" s="381"/>
      <c r="G96" s="381"/>
      <c r="H96" s="381"/>
      <c r="I96" s="381"/>
      <c r="J96" s="381"/>
      <c r="K96" s="381"/>
      <c r="L96" s="381"/>
    </row>
    <row r="97" spans="1:12" x14ac:dyDescent="0.3">
      <c r="A97" s="381"/>
      <c r="B97" s="381"/>
      <c r="C97" s="381"/>
      <c r="D97" s="381"/>
      <c r="E97" s="381"/>
      <c r="F97" s="381"/>
      <c r="G97" s="381"/>
      <c r="H97" s="381"/>
      <c r="I97" s="381"/>
      <c r="J97" s="381"/>
      <c r="K97" s="381"/>
      <c r="L97" s="381"/>
    </row>
    <row r="98" spans="1:12" x14ac:dyDescent="0.3">
      <c r="A98" s="381" t="s">
        <v>18798</v>
      </c>
      <c r="B98" s="381"/>
      <c r="C98" s="381"/>
      <c r="D98" s="381"/>
      <c r="E98" s="381"/>
      <c r="F98" s="381"/>
      <c r="G98" s="381"/>
      <c r="H98" s="381"/>
      <c r="I98" s="381"/>
      <c r="J98" s="381"/>
      <c r="K98" s="381"/>
      <c r="L98" s="381"/>
    </row>
    <row r="99" spans="1:12" x14ac:dyDescent="0.3">
      <c r="A99" s="381"/>
      <c r="B99" s="381"/>
      <c r="C99" s="381"/>
      <c r="D99" s="381"/>
      <c r="E99" s="381"/>
      <c r="F99" s="381"/>
      <c r="G99" s="381"/>
      <c r="H99" s="381"/>
      <c r="I99" s="381"/>
      <c r="J99" s="381"/>
      <c r="K99" s="381"/>
      <c r="L99" s="381"/>
    </row>
    <row r="100" spans="1:12" x14ac:dyDescent="0.3">
      <c r="A100" s="381" t="s">
        <v>18799</v>
      </c>
      <c r="B100" s="381"/>
      <c r="C100" s="381"/>
      <c r="D100" s="381"/>
      <c r="E100" s="381"/>
      <c r="F100" s="381"/>
      <c r="G100" s="381"/>
      <c r="H100" s="381"/>
      <c r="I100" s="381"/>
      <c r="J100" s="381"/>
      <c r="K100" s="381"/>
      <c r="L100" s="381"/>
    </row>
    <row r="101" spans="1:12" x14ac:dyDescent="0.3">
      <c r="A101" s="381" t="s">
        <v>18800</v>
      </c>
      <c r="B101" s="381"/>
      <c r="C101" s="381"/>
      <c r="D101" s="381"/>
      <c r="E101" s="381"/>
      <c r="F101" s="381"/>
      <c r="G101" s="381"/>
      <c r="H101" s="381"/>
      <c r="I101" s="381"/>
      <c r="J101" s="381"/>
      <c r="K101" s="381"/>
      <c r="L101" s="381"/>
    </row>
    <row r="102" spans="1:12" x14ac:dyDescent="0.3">
      <c r="A102" s="381" t="s">
        <v>18801</v>
      </c>
      <c r="B102" s="381"/>
      <c r="C102" s="381"/>
      <c r="D102" s="381"/>
      <c r="E102" s="381"/>
      <c r="F102" s="381"/>
      <c r="G102" s="381"/>
      <c r="H102" s="381"/>
      <c r="I102" s="381"/>
      <c r="J102" s="381"/>
      <c r="K102" s="381"/>
      <c r="L102" s="381"/>
    </row>
    <row r="103" spans="1:12" x14ac:dyDescent="0.3">
      <c r="A103" s="381" t="s">
        <v>18802</v>
      </c>
      <c r="B103" s="381"/>
      <c r="C103" s="381"/>
      <c r="D103" s="381"/>
      <c r="E103" s="381"/>
      <c r="F103" s="381"/>
      <c r="G103" s="381"/>
      <c r="H103" s="381"/>
      <c r="I103" s="381"/>
      <c r="J103" s="381"/>
      <c r="K103" s="381"/>
      <c r="L103" s="381"/>
    </row>
    <row r="104" spans="1:12" x14ac:dyDescent="0.3">
      <c r="A104" s="381" t="s">
        <v>18803</v>
      </c>
      <c r="B104" s="381"/>
      <c r="C104" s="381"/>
      <c r="D104" s="381"/>
      <c r="E104" s="381"/>
      <c r="F104" s="381"/>
      <c r="G104" s="381"/>
      <c r="H104" s="381"/>
      <c r="I104" s="381"/>
      <c r="J104" s="381"/>
      <c r="K104" s="381"/>
      <c r="L104" s="381"/>
    </row>
    <row r="105" spans="1:12" x14ac:dyDescent="0.3">
      <c r="A105" s="381"/>
      <c r="B105" s="381"/>
      <c r="C105" s="381"/>
      <c r="D105" s="381"/>
      <c r="E105" s="381"/>
      <c r="F105" s="381"/>
      <c r="G105" s="381"/>
      <c r="H105" s="381"/>
      <c r="I105" s="381"/>
      <c r="J105" s="381"/>
      <c r="K105" s="381"/>
      <c r="L105" s="381"/>
    </row>
    <row r="106" spans="1:12" x14ac:dyDescent="0.3">
      <c r="A106" s="381" t="s">
        <v>18804</v>
      </c>
      <c r="B106" s="381"/>
      <c r="C106" s="381"/>
      <c r="D106" s="381"/>
      <c r="E106" s="381"/>
      <c r="F106" s="381"/>
      <c r="G106" s="381"/>
      <c r="H106" s="381"/>
      <c r="I106" s="381"/>
      <c r="J106" s="381"/>
      <c r="K106" s="381"/>
      <c r="L106" s="381"/>
    </row>
    <row r="107" spans="1:12" x14ac:dyDescent="0.3">
      <c r="A107" s="381" t="s">
        <v>18805</v>
      </c>
      <c r="B107" s="381"/>
      <c r="C107" s="381"/>
      <c r="D107" s="381"/>
      <c r="E107" s="381"/>
      <c r="F107" s="381"/>
      <c r="G107" s="381"/>
      <c r="H107" s="381"/>
      <c r="I107" s="381"/>
      <c r="J107" s="381"/>
      <c r="K107" s="381"/>
      <c r="L107" s="381"/>
    </row>
    <row r="108" spans="1:12" x14ac:dyDescent="0.3">
      <c r="A108" s="381" t="s">
        <v>18806</v>
      </c>
      <c r="B108" s="381"/>
      <c r="C108" s="381"/>
      <c r="D108" s="381"/>
      <c r="E108" s="381"/>
      <c r="F108" s="381"/>
      <c r="G108" s="381"/>
      <c r="H108" s="381"/>
      <c r="I108" s="381"/>
      <c r="J108" s="381"/>
      <c r="K108" s="381"/>
      <c r="L108" s="381"/>
    </row>
    <row r="109" spans="1:12" x14ac:dyDescent="0.3">
      <c r="A109" s="381" t="s">
        <v>18807</v>
      </c>
      <c r="B109" s="381"/>
      <c r="C109" s="381"/>
      <c r="D109" s="381"/>
      <c r="E109" s="381"/>
      <c r="F109" s="381"/>
      <c r="G109" s="381"/>
      <c r="H109" s="381"/>
      <c r="I109" s="381"/>
      <c r="J109" s="381"/>
      <c r="K109" s="381"/>
      <c r="L109" s="381"/>
    </row>
    <row r="110" spans="1:12" x14ac:dyDescent="0.3">
      <c r="A110" s="381"/>
      <c r="B110" s="381"/>
      <c r="C110" s="381"/>
      <c r="D110" s="381"/>
      <c r="E110" s="381"/>
      <c r="F110" s="381"/>
      <c r="G110" s="381"/>
      <c r="H110" s="381"/>
      <c r="I110" s="381"/>
      <c r="J110" s="381"/>
      <c r="K110" s="381"/>
      <c r="L110" s="381"/>
    </row>
    <row r="111" spans="1:12" ht="15.6" x14ac:dyDescent="0.3">
      <c r="A111" s="380" t="s">
        <v>15424</v>
      </c>
      <c r="B111" s="381"/>
      <c r="C111" s="381"/>
      <c r="D111" s="381"/>
      <c r="E111" s="381"/>
      <c r="F111" s="381"/>
      <c r="G111" s="381"/>
      <c r="H111" s="381"/>
      <c r="I111" s="381"/>
      <c r="J111" s="381"/>
      <c r="K111" s="381"/>
      <c r="L111" s="381"/>
    </row>
    <row r="112" spans="1:12" x14ac:dyDescent="0.3">
      <c r="A112" s="381"/>
      <c r="B112" s="381"/>
      <c r="C112" s="381"/>
      <c r="D112" s="381"/>
      <c r="E112" s="381"/>
      <c r="F112" s="381"/>
      <c r="G112" s="381"/>
      <c r="H112" s="381"/>
      <c r="I112" s="381"/>
      <c r="J112" s="381"/>
      <c r="K112" s="381"/>
      <c r="L112" s="381"/>
    </row>
    <row r="113" spans="1:12" x14ac:dyDescent="0.3">
      <c r="A113" s="381" t="s">
        <v>18808</v>
      </c>
      <c r="B113" s="381"/>
      <c r="C113" s="381"/>
      <c r="D113" s="381"/>
      <c r="E113" s="381"/>
      <c r="F113" s="381"/>
      <c r="G113" s="381"/>
      <c r="H113" s="381"/>
      <c r="I113" s="381"/>
      <c r="J113" s="381"/>
      <c r="K113" s="381"/>
      <c r="L113" s="381"/>
    </row>
    <row r="114" spans="1:12" x14ac:dyDescent="0.3">
      <c r="A114" s="381" t="s">
        <v>18809</v>
      </c>
      <c r="B114" s="381"/>
      <c r="C114" s="381"/>
      <c r="D114" s="381"/>
      <c r="E114" s="381"/>
      <c r="F114" s="381"/>
      <c r="G114" s="381"/>
      <c r="H114" s="381"/>
      <c r="I114" s="381"/>
      <c r="J114" s="381"/>
      <c r="K114" s="381"/>
      <c r="L114" s="381"/>
    </row>
    <row r="115" spans="1:12" x14ac:dyDescent="0.3">
      <c r="A115" s="381" t="s">
        <v>18810</v>
      </c>
      <c r="B115" s="381"/>
      <c r="C115" s="381"/>
      <c r="D115" s="381"/>
      <c r="E115" s="381"/>
      <c r="F115" s="381"/>
      <c r="G115" s="381"/>
      <c r="H115" s="381"/>
      <c r="I115" s="381"/>
      <c r="J115" s="381"/>
      <c r="K115" s="381"/>
      <c r="L115" s="381"/>
    </row>
    <row r="116" spans="1:12" x14ac:dyDescent="0.3">
      <c r="A116" s="381" t="s">
        <v>18811</v>
      </c>
      <c r="B116" s="381"/>
      <c r="C116" s="381"/>
      <c r="D116" s="381"/>
      <c r="E116" s="381"/>
      <c r="F116" s="381"/>
      <c r="G116" s="381"/>
      <c r="H116" s="381"/>
      <c r="I116" s="381"/>
      <c r="J116" s="381"/>
      <c r="K116" s="381"/>
      <c r="L116" s="381"/>
    </row>
    <row r="117" spans="1:12" x14ac:dyDescent="0.3">
      <c r="A117" s="381" t="s">
        <v>18812</v>
      </c>
      <c r="B117" s="381"/>
      <c r="C117" s="381"/>
      <c r="D117" s="381"/>
      <c r="E117" s="381"/>
      <c r="F117" s="381"/>
      <c r="G117" s="381"/>
      <c r="H117" s="381"/>
      <c r="I117" s="381"/>
      <c r="J117" s="381"/>
      <c r="K117" s="381"/>
      <c r="L117" s="381"/>
    </row>
    <row r="118" spans="1:12" x14ac:dyDescent="0.3">
      <c r="A118" s="381" t="s">
        <v>18813</v>
      </c>
      <c r="B118" s="381"/>
      <c r="C118" s="381"/>
      <c r="D118" s="381"/>
      <c r="E118" s="381"/>
      <c r="F118" s="381"/>
      <c r="G118" s="381"/>
      <c r="H118" s="381"/>
      <c r="I118" s="381"/>
      <c r="J118" s="381"/>
      <c r="K118" s="381"/>
      <c r="L118" s="381"/>
    </row>
    <row r="119" spans="1:12" x14ac:dyDescent="0.3">
      <c r="A119" s="381" t="s">
        <v>18814</v>
      </c>
      <c r="B119" s="381"/>
      <c r="C119" s="381"/>
      <c r="D119" s="381"/>
      <c r="E119" s="381"/>
      <c r="F119" s="381"/>
      <c r="G119" s="381"/>
      <c r="H119" s="381"/>
      <c r="I119" s="381"/>
      <c r="J119" s="381"/>
      <c r="K119" s="381"/>
      <c r="L119" s="381"/>
    </row>
    <row r="120" spans="1:12" x14ac:dyDescent="0.3">
      <c r="A120" s="381"/>
      <c r="B120" s="381"/>
      <c r="C120" s="381"/>
      <c r="D120" s="381"/>
      <c r="E120" s="381"/>
      <c r="F120" s="381"/>
      <c r="G120" s="381"/>
      <c r="H120" s="381"/>
      <c r="I120" s="381"/>
      <c r="J120" s="381"/>
      <c r="K120" s="381"/>
      <c r="L120" s="381"/>
    </row>
    <row r="121" spans="1:12" x14ac:dyDescent="0.3">
      <c r="A121" s="381" t="s">
        <v>18815</v>
      </c>
      <c r="B121" s="381"/>
      <c r="C121" s="381"/>
      <c r="D121" s="381"/>
      <c r="E121" s="381"/>
      <c r="F121" s="381"/>
      <c r="G121" s="381"/>
      <c r="H121" s="381"/>
      <c r="I121" s="381"/>
      <c r="J121" s="381"/>
      <c r="K121" s="381"/>
      <c r="L121" s="381"/>
    </row>
    <row r="122" spans="1:12" x14ac:dyDescent="0.3">
      <c r="A122" s="381" t="s">
        <v>18816</v>
      </c>
      <c r="B122" s="381"/>
      <c r="C122" s="381"/>
      <c r="D122" s="381"/>
      <c r="E122" s="381"/>
      <c r="F122" s="381"/>
      <c r="G122" s="381"/>
      <c r="H122" s="381"/>
      <c r="I122" s="381"/>
      <c r="J122" s="381"/>
      <c r="K122" s="381"/>
      <c r="L122" s="381"/>
    </row>
  </sheetData>
  <mergeCells count="2">
    <mergeCell ref="A44:L44"/>
    <mergeCell ref="A54:L5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36FF-1E5A-42F8-B3DF-B257C653A0D0}">
  <sheetPr>
    <tabColor theme="5"/>
  </sheetPr>
  <dimension ref="A1:K275"/>
  <sheetViews>
    <sheetView workbookViewId="0">
      <pane ySplit="14" topLeftCell="A15" activePane="bottomLeft" state="frozen"/>
      <selection activeCell="G26" sqref="G26"/>
      <selection pane="bottomLeft" activeCell="A275" sqref="A275"/>
    </sheetView>
  </sheetViews>
  <sheetFormatPr defaultRowHeight="14.4" x14ac:dyDescent="0.3"/>
  <cols>
    <col min="1" max="1" width="14.77734375" customWidth="1"/>
    <col min="2" max="2" width="9.21875" customWidth="1"/>
    <col min="3" max="3" width="16.6640625" customWidth="1"/>
    <col min="4" max="4" width="9.21875" customWidth="1"/>
    <col min="5" max="5" width="20.33203125" customWidth="1"/>
    <col min="6" max="6" width="14.77734375" customWidth="1"/>
    <col min="7" max="8" width="40.77734375" customWidth="1"/>
    <col min="9" max="9" width="18.5546875" customWidth="1"/>
    <col min="10" max="10" width="20.33203125" customWidth="1"/>
    <col min="11" max="11" width="33.33203125" customWidth="1"/>
  </cols>
  <sheetData>
    <row r="1" spans="1:11" x14ac:dyDescent="0.3">
      <c r="A1" s="216" t="s">
        <v>16091</v>
      </c>
      <c r="B1" s="219"/>
      <c r="C1" s="16" t="s">
        <v>16092</v>
      </c>
      <c r="D1" s="386" t="s">
        <v>16093</v>
      </c>
      <c r="E1" s="249" t="s">
        <v>16094</v>
      </c>
      <c r="F1" s="386" t="s">
        <v>16095</v>
      </c>
      <c r="G1" s="16" t="s">
        <v>16833</v>
      </c>
      <c r="H1" s="16" t="s">
        <v>16095</v>
      </c>
      <c r="I1" s="386" t="s">
        <v>16096</v>
      </c>
      <c r="J1" s="413" t="s">
        <v>16095</v>
      </c>
      <c r="K1" s="414"/>
    </row>
    <row r="2" spans="1:11" x14ac:dyDescent="0.3">
      <c r="A2" s="16" t="s">
        <v>16099</v>
      </c>
      <c r="B2" t="str" cm="1">
        <f t="array" aca="1" ref="B2" ca="1">SUMPRODUCT((I15:I180&lt;&gt;"")*IF(F1="All",1,I15:I180=F1)*IF(H1="All",1,E15:E180=H1)*IF(J1="All",1,H15:H180=J1)*IF(D1="All Time",1,IF(D1="Today",C15:C180=TODAY(),IF(D1="This Week",(C15:C180&gt;=TODAY())*(C15:C180&lt;=TODAY()+7),IF(D1="This Month",(C15:C180&gt;=TODAY())*(C15:C180&lt;=TODAY()+30),(C15:C180&gt;=DATE(YEAR(TODAY()),1,1))*(C15:C180&lt;=DATE(YEAR(TODAY()),12,31)))))))&amp;" of "&amp;COUNTA(E15:E180)&amp;" events"</f>
        <v>166 of 166 events</v>
      </c>
    </row>
    <row r="4" spans="1:11" ht="21" x14ac:dyDescent="0.4">
      <c r="A4" s="428" t="s">
        <v>16834</v>
      </c>
      <c r="B4" s="429"/>
      <c r="C4" s="429"/>
      <c r="D4" s="429"/>
      <c r="E4" s="429"/>
      <c r="F4" s="429"/>
      <c r="G4" s="429"/>
      <c r="H4" s="429"/>
      <c r="I4" s="429"/>
    </row>
    <row r="6" spans="1:11" x14ac:dyDescent="0.3">
      <c r="A6" s="16" t="s">
        <v>16835</v>
      </c>
    </row>
    <row r="7" spans="1:11" x14ac:dyDescent="0.3">
      <c r="A7" s="430" t="s">
        <v>16836</v>
      </c>
      <c r="B7" s="431" t="s">
        <v>16837</v>
      </c>
    </row>
    <row r="8" spans="1:11" x14ac:dyDescent="0.3">
      <c r="A8" s="432" t="s">
        <v>16838</v>
      </c>
      <c r="B8" s="433" t="s">
        <v>16839</v>
      </c>
    </row>
    <row r="9" spans="1:11" x14ac:dyDescent="0.3">
      <c r="A9" s="434" t="s">
        <v>16840</v>
      </c>
      <c r="B9" s="89" t="s">
        <v>16841</v>
      </c>
    </row>
    <row r="10" spans="1:11" x14ac:dyDescent="0.3">
      <c r="A10" s="435" t="s">
        <v>16842</v>
      </c>
      <c r="B10" s="427" t="s">
        <v>16843</v>
      </c>
    </row>
    <row r="11" spans="1:11" x14ac:dyDescent="0.3">
      <c r="A11" s="436" t="s">
        <v>16844</v>
      </c>
      <c r="B11" s="437" t="s">
        <v>16845</v>
      </c>
    </row>
    <row r="12" spans="1:11" x14ac:dyDescent="0.3">
      <c r="A12" s="438" t="s">
        <v>16846</v>
      </c>
      <c r="B12" s="439" t="s">
        <v>16847</v>
      </c>
    </row>
    <row r="14" spans="1:11" x14ac:dyDescent="0.3">
      <c r="A14" s="1" t="s">
        <v>16848</v>
      </c>
      <c r="B14" s="1" t="s">
        <v>16849</v>
      </c>
      <c r="C14" s="1" t="s">
        <v>16850</v>
      </c>
      <c r="D14" s="1" t="s">
        <v>14622</v>
      </c>
      <c r="E14" s="1" t="s">
        <v>16851</v>
      </c>
      <c r="F14" s="1" t="s">
        <v>1537</v>
      </c>
      <c r="G14" s="1" t="s">
        <v>1541</v>
      </c>
      <c r="H14" s="1" t="s">
        <v>1542</v>
      </c>
      <c r="I14" s="1" t="s">
        <v>15432</v>
      </c>
      <c r="J14" s="1" t="s">
        <v>16852</v>
      </c>
      <c r="K14" s="1" t="s">
        <v>1245</v>
      </c>
    </row>
    <row r="15" spans="1:11" x14ac:dyDescent="0.3">
      <c r="A15" s="440" t="str">
        <f t="shared" ref="A15:A78" ca="1" si="0">TEXT(C15,"mmm yyyy")</f>
        <v>Aug 2026</v>
      </c>
      <c r="B15" s="441">
        <v>4</v>
      </c>
      <c r="C15" s="442">
        <f ca="1">[1]Releases!$I$7</f>
        <v>46243</v>
      </c>
      <c r="D15" s="441" t="str">
        <f t="shared" ref="D15:D24" ca="1" si="1">TEXT(C15,"ddd")</f>
        <v>Sun</v>
      </c>
      <c r="E15" s="441" t="s">
        <v>16853</v>
      </c>
      <c r="F15" s="441" t="s">
        <v>15290</v>
      </c>
      <c r="G15" s="441" t="s">
        <v>16854</v>
      </c>
      <c r="H15" s="441" t="str">
        <f>IFERROR(VLOOKUP(F15,[1]Releases!$A$7:$D$102,4,FALSE),"")</f>
        <v>Kyriba</v>
      </c>
      <c r="I15" s="441" t="s">
        <v>1158</v>
      </c>
      <c r="J15" s="441" t="s">
        <v>1122</v>
      </c>
      <c r="K15" s="441" t="s">
        <v>16855</v>
      </c>
    </row>
    <row r="16" spans="1:11" x14ac:dyDescent="0.3">
      <c r="A16" s="440" t="str">
        <f t="shared" ca="1" si="0"/>
        <v>Aug 2026</v>
      </c>
      <c r="B16" s="441">
        <v>5</v>
      </c>
      <c r="C16" s="442">
        <f ca="1">[1]Releases!$J$7</f>
        <v>46245</v>
      </c>
      <c r="D16" s="441" t="str">
        <f t="shared" ca="1" si="1"/>
        <v>Tue</v>
      </c>
      <c r="E16" s="441" t="s">
        <v>16856</v>
      </c>
      <c r="F16" s="441" t="s">
        <v>15290</v>
      </c>
      <c r="G16" s="441" t="s">
        <v>15291</v>
      </c>
      <c r="H16" s="441" t="str">
        <f>IFERROR(VLOOKUP(F16,[1]Releases!$A$7:$D$102,4,FALSE),"")</f>
        <v>Kyriba</v>
      </c>
      <c r="I16" s="441" t="s">
        <v>1158</v>
      </c>
      <c r="J16" s="441" t="s">
        <v>16857</v>
      </c>
      <c r="K16" s="441" t="s">
        <v>16858</v>
      </c>
    </row>
    <row r="17" spans="1:11" x14ac:dyDescent="0.3">
      <c r="A17" s="440" t="str">
        <f t="shared" ca="1" si="0"/>
        <v>Aug 2026</v>
      </c>
      <c r="B17" s="441">
        <v>5</v>
      </c>
      <c r="C17" s="442">
        <f ca="1">[1]Releases!$I$9</f>
        <v>46244</v>
      </c>
      <c r="D17" s="441" t="str">
        <f t="shared" ca="1" si="1"/>
        <v>Mon</v>
      </c>
      <c r="E17" s="441" t="s">
        <v>16853</v>
      </c>
      <c r="F17" s="441" t="s">
        <v>15294</v>
      </c>
      <c r="G17" s="441" t="s">
        <v>16859</v>
      </c>
      <c r="H17" s="441" t="str">
        <f>IFERROR(VLOOKUP(F17,[1]Releases!$A$7:$D$102,4,FALSE),"")</f>
        <v>Zendesk</v>
      </c>
      <c r="I17" s="441" t="s">
        <v>14993</v>
      </c>
      <c r="J17" s="441" t="s">
        <v>1122</v>
      </c>
      <c r="K17" s="441" t="s">
        <v>16860</v>
      </c>
    </row>
    <row r="18" spans="1:11" x14ac:dyDescent="0.3">
      <c r="A18" s="440" t="str">
        <f t="shared" ca="1" si="0"/>
        <v>Aug 2026</v>
      </c>
      <c r="B18" s="441">
        <v>1</v>
      </c>
      <c r="C18" s="442">
        <f ca="1">[1]Releases!$I$8</f>
        <v>46246</v>
      </c>
      <c r="D18" s="441" t="str">
        <f t="shared" ca="1" si="1"/>
        <v>Wed</v>
      </c>
      <c r="E18" s="441" t="s">
        <v>16853</v>
      </c>
      <c r="F18" s="441" t="s">
        <v>15292</v>
      </c>
      <c r="G18" s="441" t="s">
        <v>16861</v>
      </c>
      <c r="H18" s="441" t="str">
        <f>IFERROR(VLOOKUP(F18,[1]Releases!$A$7:$D$102,4,FALSE),"")</f>
        <v>Blue Yonder WMS</v>
      </c>
      <c r="I18" s="441" t="s">
        <v>14994</v>
      </c>
      <c r="J18" s="441" t="s">
        <v>1125</v>
      </c>
      <c r="K18" s="441" t="s">
        <v>16862</v>
      </c>
    </row>
    <row r="19" spans="1:11" x14ac:dyDescent="0.3">
      <c r="A19" s="440" t="str">
        <f t="shared" ca="1" si="0"/>
        <v>Aug 2026</v>
      </c>
      <c r="B19" s="441">
        <v>1</v>
      </c>
      <c r="C19" s="442">
        <f ca="1">[1]Releases!$J$9</f>
        <v>46246</v>
      </c>
      <c r="D19" s="441" t="str">
        <f t="shared" ca="1" si="1"/>
        <v>Wed</v>
      </c>
      <c r="E19" s="441" t="s">
        <v>16856</v>
      </c>
      <c r="F19" s="441" t="s">
        <v>15294</v>
      </c>
      <c r="G19" s="441" t="s">
        <v>16593</v>
      </c>
      <c r="H19" s="441" t="str">
        <f>IFERROR(VLOOKUP(F19,[1]Releases!$A$7:$D$102,4,FALSE),"")</f>
        <v>Zendesk</v>
      </c>
      <c r="I19" s="441" t="s">
        <v>14993</v>
      </c>
      <c r="J19" s="441" t="s">
        <v>16857</v>
      </c>
      <c r="K19" s="441" t="s">
        <v>16863</v>
      </c>
    </row>
    <row r="20" spans="1:11" x14ac:dyDescent="0.3">
      <c r="A20" s="440" t="str">
        <f t="shared" ca="1" si="0"/>
        <v>Aug 2026</v>
      </c>
      <c r="B20" s="441">
        <v>1</v>
      </c>
      <c r="C20" s="442">
        <f ca="1">[1]Releases!$I$13</f>
        <v>46247</v>
      </c>
      <c r="D20" s="441" t="str">
        <f t="shared" ca="1" si="1"/>
        <v>Thu</v>
      </c>
      <c r="E20" s="441" t="s">
        <v>16853</v>
      </c>
      <c r="F20" s="441" t="s">
        <v>15302</v>
      </c>
      <c r="G20" s="441" t="s">
        <v>16864</v>
      </c>
      <c r="H20" s="441" t="str">
        <f>IFERROR(VLOOKUP(F20,[1]Releases!$A$7:$D$102,4,FALSE),"")</f>
        <v>Mitratech TeamConnect</v>
      </c>
      <c r="I20" s="441" t="s">
        <v>14990</v>
      </c>
      <c r="J20" s="441" t="s">
        <v>1125</v>
      </c>
      <c r="K20" s="441" t="s">
        <v>16865</v>
      </c>
    </row>
    <row r="21" spans="1:11" x14ac:dyDescent="0.3">
      <c r="A21" s="440" t="str">
        <f t="shared" ca="1" si="0"/>
        <v>Aug 2026</v>
      </c>
      <c r="B21" s="441">
        <v>1</v>
      </c>
      <c r="C21" s="442">
        <f ca="1">[1]Releases!$J$8</f>
        <v>46248</v>
      </c>
      <c r="D21" s="441" t="str">
        <f t="shared" ca="1" si="1"/>
        <v>Fri</v>
      </c>
      <c r="E21" s="441" t="s">
        <v>16856</v>
      </c>
      <c r="F21" s="441" t="s">
        <v>15292</v>
      </c>
      <c r="G21" s="441" t="s">
        <v>16589</v>
      </c>
      <c r="H21" s="441" t="str">
        <f>IFERROR(VLOOKUP(F21,[1]Releases!$A$7:$D$102,4,FALSE),"")</f>
        <v>Blue Yonder WMS</v>
      </c>
      <c r="I21" s="441" t="s">
        <v>14994</v>
      </c>
      <c r="J21" s="441" t="s">
        <v>16866</v>
      </c>
      <c r="K21" s="441" t="s">
        <v>16867</v>
      </c>
    </row>
    <row r="22" spans="1:11" x14ac:dyDescent="0.3">
      <c r="A22" s="440" t="str">
        <f t="shared" ca="1" si="0"/>
        <v>Aug 2026</v>
      </c>
      <c r="B22" s="441">
        <v>1</v>
      </c>
      <c r="C22" s="442">
        <f ca="1">[1]Releases!$J$13</f>
        <v>46249</v>
      </c>
      <c r="D22" s="441" t="str">
        <f t="shared" ca="1" si="1"/>
        <v>Sat</v>
      </c>
      <c r="E22" s="441" t="s">
        <v>16856</v>
      </c>
      <c r="F22" s="441" t="s">
        <v>15302</v>
      </c>
      <c r="G22" s="441" t="s">
        <v>16607</v>
      </c>
      <c r="H22" s="441" t="str">
        <f>IFERROR(VLOOKUP(F22,[1]Releases!$A$7:$D$102,4,FALSE),"")</f>
        <v>Mitratech TeamConnect</v>
      </c>
      <c r="I22" s="441" t="s">
        <v>14990</v>
      </c>
      <c r="J22" s="441" t="s">
        <v>16866</v>
      </c>
      <c r="K22" s="441" t="s">
        <v>16867</v>
      </c>
    </row>
    <row r="23" spans="1:11" x14ac:dyDescent="0.3">
      <c r="A23" s="440" t="str">
        <f t="shared" ca="1" si="0"/>
        <v>Aug 2026</v>
      </c>
      <c r="B23" s="441">
        <v>1</v>
      </c>
      <c r="C23" s="442">
        <f ca="1">[1]Releases!$I$18</f>
        <v>46245</v>
      </c>
      <c r="D23" s="441" t="str">
        <f t="shared" ca="1" si="1"/>
        <v>Tue</v>
      </c>
      <c r="E23" s="441" t="s">
        <v>16853</v>
      </c>
      <c r="F23" s="441" t="s">
        <v>15312</v>
      </c>
      <c r="G23" s="441" t="s">
        <v>16868</v>
      </c>
      <c r="H23" s="441" t="str">
        <f>IFERROR(VLOOKUP(F23,[1]Releases!$A$7:$D$102,4,FALSE),"")</f>
        <v>Plex Smart Manufacturing</v>
      </c>
      <c r="I23" s="441" t="s">
        <v>14992</v>
      </c>
      <c r="J23" s="441" t="s">
        <v>1122</v>
      </c>
      <c r="K23" s="441" t="s">
        <v>16869</v>
      </c>
    </row>
    <row r="24" spans="1:11" x14ac:dyDescent="0.3">
      <c r="A24" s="440" t="str">
        <f t="shared" ca="1" si="0"/>
        <v>Aug 2026</v>
      </c>
      <c r="B24" s="441">
        <v>1</v>
      </c>
      <c r="C24" s="442">
        <f ca="1">[1]Releases!$J$18</f>
        <v>46247</v>
      </c>
      <c r="D24" s="441" t="str">
        <f t="shared" ca="1" si="1"/>
        <v>Thu</v>
      </c>
      <c r="E24" s="441" t="s">
        <v>16856</v>
      </c>
      <c r="F24" s="441" t="s">
        <v>15312</v>
      </c>
      <c r="G24" s="441" t="s">
        <v>16621</v>
      </c>
      <c r="H24" s="441" t="str">
        <f>IFERROR(VLOOKUP(F24,[1]Releases!$A$7:$D$102,4,FALSE),"")</f>
        <v>Plex Smart Manufacturing</v>
      </c>
      <c r="I24" s="441" t="s">
        <v>14992</v>
      </c>
      <c r="J24" s="441" t="s">
        <v>16870</v>
      </c>
      <c r="K24" s="441" t="s">
        <v>16871</v>
      </c>
    </row>
    <row r="25" spans="1:11" x14ac:dyDescent="0.3">
      <c r="A25" s="440" t="str">
        <f t="shared" si="0"/>
        <v>Jul 2026</v>
      </c>
      <c r="B25" s="441">
        <v>2</v>
      </c>
      <c r="C25" s="442">
        <v>46213</v>
      </c>
      <c r="D25" s="441" t="s">
        <v>14599</v>
      </c>
      <c r="E25" s="441" t="s">
        <v>16853</v>
      </c>
      <c r="F25" s="441" t="s">
        <v>15296</v>
      </c>
      <c r="G25" s="441" t="s">
        <v>16872</v>
      </c>
      <c r="H25" s="441" t="str">
        <f>IFERROR(VLOOKUP(F25,[1]Releases!$A$7:$D$102,4,FALSE),"")</f>
        <v>AVEVA MES</v>
      </c>
      <c r="I25" s="441" t="s">
        <v>14992</v>
      </c>
      <c r="J25" s="441" t="s">
        <v>1125</v>
      </c>
      <c r="K25" s="441" t="s">
        <v>16873</v>
      </c>
    </row>
    <row r="26" spans="1:11" x14ac:dyDescent="0.3">
      <c r="A26" s="440" t="str">
        <f t="shared" si="0"/>
        <v>Jul 2026</v>
      </c>
      <c r="B26" s="441">
        <v>2</v>
      </c>
      <c r="C26" s="442">
        <v>46215</v>
      </c>
      <c r="D26" s="441" t="s">
        <v>16874</v>
      </c>
      <c r="E26" s="441" t="s">
        <v>16856</v>
      </c>
      <c r="F26" s="441" t="s">
        <v>15296</v>
      </c>
      <c r="G26" s="441" t="s">
        <v>16597</v>
      </c>
      <c r="H26" s="441" t="str">
        <f>IFERROR(VLOOKUP(F26,[1]Releases!$A$7:$D$102,4,FALSE),"")</f>
        <v>AVEVA MES</v>
      </c>
      <c r="I26" s="441" t="s">
        <v>14992</v>
      </c>
      <c r="J26" s="441" t="s">
        <v>16866</v>
      </c>
      <c r="K26" s="441" t="s">
        <v>16867</v>
      </c>
    </row>
    <row r="27" spans="1:11" x14ac:dyDescent="0.3">
      <c r="A27" s="440" t="str">
        <f t="shared" si="0"/>
        <v>Jul 2026</v>
      </c>
      <c r="B27" s="441">
        <v>2</v>
      </c>
      <c r="C27" s="442">
        <v>46217</v>
      </c>
      <c r="D27" s="441" t="s">
        <v>16875</v>
      </c>
      <c r="E27" s="441" t="s">
        <v>16853</v>
      </c>
      <c r="F27" s="441" t="s">
        <v>15298</v>
      </c>
      <c r="G27" s="441" t="s">
        <v>16876</v>
      </c>
      <c r="H27" s="441" t="str">
        <f>IFERROR(VLOOKUP(F27,[1]Releases!$A$7:$D$102,4,FALSE),"")</f>
        <v>Datadog</v>
      </c>
      <c r="I27" s="441" t="s">
        <v>14991</v>
      </c>
      <c r="J27" s="441" t="s">
        <v>1125</v>
      </c>
      <c r="K27" s="441" t="s">
        <v>16877</v>
      </c>
    </row>
    <row r="28" spans="1:11" x14ac:dyDescent="0.3">
      <c r="A28" s="440" t="str">
        <f t="shared" si="0"/>
        <v>Jul 2026</v>
      </c>
      <c r="B28" s="441">
        <v>3</v>
      </c>
      <c r="C28" s="442">
        <v>46218</v>
      </c>
      <c r="D28" s="441" t="s">
        <v>16878</v>
      </c>
      <c r="E28" s="441" t="s">
        <v>16853</v>
      </c>
      <c r="F28" s="441" t="s">
        <v>15308</v>
      </c>
      <c r="G28" s="441" t="s">
        <v>16879</v>
      </c>
      <c r="H28" s="441" t="str">
        <f>IFERROR(VLOOKUP(F28,[1]Releases!$A$7:$D$102,4,FALSE),"")</f>
        <v>Manhattan Associates WMS</v>
      </c>
      <c r="I28" s="441" t="s">
        <v>14994</v>
      </c>
      <c r="J28" s="441" t="s">
        <v>1128</v>
      </c>
      <c r="K28" s="441" t="s">
        <v>16880</v>
      </c>
    </row>
    <row r="29" spans="1:11" x14ac:dyDescent="0.3">
      <c r="A29" s="440" t="str">
        <f t="shared" si="0"/>
        <v>Jul 2026</v>
      </c>
      <c r="B29" s="441">
        <v>3</v>
      </c>
      <c r="C29" s="442">
        <v>46219</v>
      </c>
      <c r="D29" s="441" t="s">
        <v>16881</v>
      </c>
      <c r="E29" s="441" t="s">
        <v>16856</v>
      </c>
      <c r="F29" s="441" t="s">
        <v>15298</v>
      </c>
      <c r="G29" s="441" t="s">
        <v>16601</v>
      </c>
      <c r="H29" s="441" t="str">
        <f>IFERROR(VLOOKUP(F29,[1]Releases!$A$7:$D$102,4,FALSE),"")</f>
        <v>Datadog</v>
      </c>
      <c r="I29" s="441" t="s">
        <v>14991</v>
      </c>
      <c r="J29" s="441" t="s">
        <v>16866</v>
      </c>
      <c r="K29" s="441" t="s">
        <v>16867</v>
      </c>
    </row>
    <row r="30" spans="1:11" x14ac:dyDescent="0.3">
      <c r="A30" s="440" t="str">
        <f t="shared" si="0"/>
        <v>Jul 2026</v>
      </c>
      <c r="B30" s="441">
        <v>3</v>
      </c>
      <c r="C30" s="442">
        <v>46221</v>
      </c>
      <c r="D30" s="441" t="s">
        <v>16882</v>
      </c>
      <c r="E30" s="441" t="s">
        <v>16853</v>
      </c>
      <c r="F30" s="441" t="s">
        <v>15300</v>
      </c>
      <c r="G30" s="441" t="s">
        <v>16883</v>
      </c>
      <c r="H30" s="441" t="str">
        <f>IFERROR(VLOOKUP(F30,[1]Releases!$A$7:$D$102,4,FALSE),"")</f>
        <v>SAP SuccessFactors</v>
      </c>
      <c r="I30" s="441" t="s">
        <v>1159</v>
      </c>
      <c r="J30" s="441" t="s">
        <v>1122</v>
      </c>
      <c r="K30" s="441" t="s">
        <v>16884</v>
      </c>
    </row>
    <row r="31" spans="1:11" x14ac:dyDescent="0.3">
      <c r="A31" s="440" t="str">
        <f t="shared" si="0"/>
        <v>Jul 2026</v>
      </c>
      <c r="B31" s="441">
        <v>3</v>
      </c>
      <c r="C31" s="442">
        <v>46221</v>
      </c>
      <c r="D31" s="441" t="s">
        <v>16882</v>
      </c>
      <c r="E31" s="441" t="s">
        <v>16856</v>
      </c>
      <c r="F31" s="441" t="s">
        <v>15308</v>
      </c>
      <c r="G31" s="441" t="s">
        <v>16617</v>
      </c>
      <c r="H31" s="441" t="str">
        <f>IFERROR(VLOOKUP(F31,[1]Releases!$A$7:$D$102,4,FALSE),"")</f>
        <v>Manhattan Associates WMS</v>
      </c>
      <c r="I31" s="441" t="s">
        <v>14994</v>
      </c>
      <c r="J31" s="441" t="s">
        <v>16885</v>
      </c>
      <c r="K31" s="441" t="s">
        <v>16871</v>
      </c>
    </row>
    <row r="32" spans="1:11" x14ac:dyDescent="0.3">
      <c r="A32" s="440" t="str">
        <f t="shared" si="0"/>
        <v>Jul 2026</v>
      </c>
      <c r="B32" s="441">
        <v>3</v>
      </c>
      <c r="C32" s="442">
        <v>46223</v>
      </c>
      <c r="D32" s="441" t="s">
        <v>16886</v>
      </c>
      <c r="E32" s="441" t="s">
        <v>16856</v>
      </c>
      <c r="F32" s="441" t="s">
        <v>15300</v>
      </c>
      <c r="G32" s="441" t="s">
        <v>16604</v>
      </c>
      <c r="H32" s="441" t="str">
        <f>IFERROR(VLOOKUP(F32,[1]Releases!$A$7:$D$102,4,FALSE),"")</f>
        <v>SAP SuccessFactors</v>
      </c>
      <c r="I32" s="441" t="s">
        <v>1159</v>
      </c>
      <c r="J32" s="441" t="s">
        <v>16870</v>
      </c>
      <c r="K32" s="441" t="s">
        <v>16871</v>
      </c>
    </row>
    <row r="33" spans="1:11" x14ac:dyDescent="0.3">
      <c r="A33" s="440" t="str">
        <f t="shared" si="0"/>
        <v>Jul 2026</v>
      </c>
      <c r="B33" s="441">
        <v>5</v>
      </c>
      <c r="C33" s="442">
        <v>46232</v>
      </c>
      <c r="D33" s="441" t="s">
        <v>16878</v>
      </c>
      <c r="E33" s="441" t="s">
        <v>16853</v>
      </c>
      <c r="F33" s="441" t="s">
        <v>15304</v>
      </c>
      <c r="G33" s="441" t="s">
        <v>16887</v>
      </c>
      <c r="H33" s="441" t="str">
        <f>IFERROR(VLOOKUP(F33,[1]Releases!$A$7:$D$102,4,FALSE),"")</f>
        <v>CrowdStrike Falcon</v>
      </c>
      <c r="I33" s="441" t="s">
        <v>152</v>
      </c>
      <c r="J33" s="441" t="s">
        <v>1122</v>
      </c>
      <c r="K33" s="441" t="s">
        <v>16888</v>
      </c>
    </row>
    <row r="34" spans="1:11" x14ac:dyDescent="0.3">
      <c r="A34" s="440" t="str">
        <f t="shared" si="0"/>
        <v>Jul 2026</v>
      </c>
      <c r="B34" s="441">
        <v>5</v>
      </c>
      <c r="C34" s="442">
        <v>46234</v>
      </c>
      <c r="D34" s="441" t="s">
        <v>14599</v>
      </c>
      <c r="E34" s="441" t="s">
        <v>16856</v>
      </c>
      <c r="F34" s="441" t="s">
        <v>15304</v>
      </c>
      <c r="G34" s="441" t="s">
        <v>16611</v>
      </c>
      <c r="H34" s="441" t="str">
        <f>IFERROR(VLOOKUP(F34,[1]Releases!$A$7:$D$102,4,FALSE),"")</f>
        <v>CrowdStrike Falcon</v>
      </c>
      <c r="I34" s="441" t="s">
        <v>152</v>
      </c>
      <c r="J34" s="441" t="s">
        <v>16857</v>
      </c>
      <c r="K34" s="441" t="s">
        <v>16863</v>
      </c>
    </row>
    <row r="35" spans="1:11" x14ac:dyDescent="0.3">
      <c r="A35" s="440" t="str">
        <f t="shared" si="0"/>
        <v>Aug 2026</v>
      </c>
      <c r="B35" s="441">
        <v>1</v>
      </c>
      <c r="C35" s="442">
        <v>46236</v>
      </c>
      <c r="D35" s="441" t="s">
        <v>16874</v>
      </c>
      <c r="E35" s="441" t="s">
        <v>16853</v>
      </c>
      <c r="F35" s="441" t="s">
        <v>15306</v>
      </c>
      <c r="G35" s="441" t="s">
        <v>16889</v>
      </c>
      <c r="H35" s="441" t="str">
        <f>IFERROR(VLOOKUP(F35,[1]Releases!$A$7:$D$102,4,FALSE),"")</f>
        <v>Oracle Hyperion HFM</v>
      </c>
      <c r="I35" s="441" t="s">
        <v>1158</v>
      </c>
      <c r="J35" s="441" t="s">
        <v>1122</v>
      </c>
      <c r="K35" s="441" t="s">
        <v>16890</v>
      </c>
    </row>
    <row r="36" spans="1:11" x14ac:dyDescent="0.3">
      <c r="A36" s="440" t="str">
        <f t="shared" si="0"/>
        <v>Aug 2026</v>
      </c>
      <c r="B36" s="441">
        <v>1</v>
      </c>
      <c r="C36" s="442">
        <v>46238</v>
      </c>
      <c r="D36" s="441" t="s">
        <v>16875</v>
      </c>
      <c r="E36" s="441" t="s">
        <v>16856</v>
      </c>
      <c r="F36" s="441" t="s">
        <v>15306</v>
      </c>
      <c r="G36" s="441" t="s">
        <v>16614</v>
      </c>
      <c r="H36" s="441" t="str">
        <f>IFERROR(VLOOKUP(F36,[1]Releases!$A$7:$D$102,4,FALSE),"")</f>
        <v>Oracle Hyperion HFM</v>
      </c>
      <c r="I36" s="441" t="s">
        <v>1158</v>
      </c>
      <c r="J36" s="441" t="s">
        <v>16870</v>
      </c>
      <c r="K36" s="441" t="s">
        <v>16871</v>
      </c>
    </row>
    <row r="37" spans="1:11" x14ac:dyDescent="0.3">
      <c r="A37" s="440" t="str">
        <f t="shared" si="0"/>
        <v>Aug 2026</v>
      </c>
      <c r="B37" s="441">
        <v>2</v>
      </c>
      <c r="C37" s="442">
        <v>46244</v>
      </c>
      <c r="D37" s="441" t="s">
        <v>16886</v>
      </c>
      <c r="E37" s="441" t="s">
        <v>16853</v>
      </c>
      <c r="F37" s="441" t="s">
        <v>15310</v>
      </c>
      <c r="G37" s="441" t="s">
        <v>16891</v>
      </c>
      <c r="H37" s="441" t="str">
        <f>IFERROR(VLOOKUP(F37,[1]Releases!$A$7:$D$102,4,FALSE),"")</f>
        <v>HubSpot CRM</v>
      </c>
      <c r="I37" s="441" t="s">
        <v>14993</v>
      </c>
      <c r="J37" s="441" t="s">
        <v>1122</v>
      </c>
      <c r="K37" s="441" t="s">
        <v>16892</v>
      </c>
    </row>
    <row r="38" spans="1:11" x14ac:dyDescent="0.3">
      <c r="A38" s="440" t="str">
        <f t="shared" si="0"/>
        <v>Aug 2026</v>
      </c>
      <c r="B38" s="441">
        <v>2</v>
      </c>
      <c r="C38" s="442">
        <v>46245</v>
      </c>
      <c r="D38" s="441" t="s">
        <v>16875</v>
      </c>
      <c r="E38" s="441" t="s">
        <v>16853</v>
      </c>
      <c r="F38" s="441" t="s">
        <v>16165</v>
      </c>
      <c r="G38" s="441" t="s">
        <v>16893</v>
      </c>
      <c r="H38" s="441" t="str">
        <f>IFERROR(VLOOKUP(F38,[1]Releases!$A$7:$D$102,4,FALSE),"")</f>
        <v>Oracle HCM Cloud</v>
      </c>
      <c r="I38" s="441" t="s">
        <v>1159</v>
      </c>
      <c r="J38" s="441" t="s">
        <v>1128</v>
      </c>
      <c r="K38" s="441" t="s">
        <v>16894</v>
      </c>
    </row>
    <row r="39" spans="1:11" x14ac:dyDescent="0.3">
      <c r="A39" s="440" t="str">
        <f t="shared" si="0"/>
        <v>Aug 2026</v>
      </c>
      <c r="B39" s="441">
        <v>2</v>
      </c>
      <c r="C39" s="442">
        <v>46246</v>
      </c>
      <c r="D39" s="441" t="s">
        <v>16878</v>
      </c>
      <c r="E39" s="441" t="s">
        <v>16856</v>
      </c>
      <c r="F39" s="441" t="s">
        <v>15310</v>
      </c>
      <c r="G39" s="441" t="s">
        <v>16619</v>
      </c>
      <c r="H39" s="441" t="str">
        <f>IFERROR(VLOOKUP(F39,[1]Releases!$A$7:$D$102,4,FALSE),"")</f>
        <v>HubSpot CRM</v>
      </c>
      <c r="I39" s="441" t="s">
        <v>14993</v>
      </c>
      <c r="J39" s="441" t="s">
        <v>16857</v>
      </c>
      <c r="K39" s="441" t="s">
        <v>16863</v>
      </c>
    </row>
    <row r="40" spans="1:11" x14ac:dyDescent="0.3">
      <c r="A40" s="440" t="str">
        <f t="shared" si="0"/>
        <v>Aug 2026</v>
      </c>
      <c r="B40" s="441">
        <v>2</v>
      </c>
      <c r="C40" s="442">
        <v>46248</v>
      </c>
      <c r="D40" s="441" t="s">
        <v>14599</v>
      </c>
      <c r="E40" s="441" t="s">
        <v>16856</v>
      </c>
      <c r="F40" s="441" t="s">
        <v>16165</v>
      </c>
      <c r="G40" s="441" t="s">
        <v>16625</v>
      </c>
      <c r="H40" s="441" t="str">
        <f>IFERROR(VLOOKUP(F40,[1]Releases!$A$7:$D$102,4,FALSE),"")</f>
        <v>Oracle HCM Cloud</v>
      </c>
      <c r="I40" s="441" t="s">
        <v>1159</v>
      </c>
      <c r="J40" s="441" t="s">
        <v>16895</v>
      </c>
      <c r="K40" s="441" t="s">
        <v>16867</v>
      </c>
    </row>
    <row r="41" spans="1:11" x14ac:dyDescent="0.3">
      <c r="A41" s="440" t="str">
        <f t="shared" si="0"/>
        <v>Aug 2026</v>
      </c>
      <c r="B41" s="441">
        <v>3</v>
      </c>
      <c r="C41" s="442">
        <v>46252</v>
      </c>
      <c r="D41" s="441" t="s">
        <v>16875</v>
      </c>
      <c r="E41" s="441" t="s">
        <v>16853</v>
      </c>
      <c r="F41" s="441" t="s">
        <v>16160</v>
      </c>
      <c r="G41" s="441" t="s">
        <v>16896</v>
      </c>
      <c r="H41" s="441" t="str">
        <f>IFERROR(VLOOKUP(F41,[1]Releases!$A$7:$D$102,4,FALSE),"")</f>
        <v>Dynatrace</v>
      </c>
      <c r="I41" s="441" t="s">
        <v>14991</v>
      </c>
      <c r="J41" s="441" t="s">
        <v>1122</v>
      </c>
      <c r="K41" s="441" t="s">
        <v>16897</v>
      </c>
    </row>
    <row r="42" spans="1:11" x14ac:dyDescent="0.3">
      <c r="A42" s="440" t="str">
        <f t="shared" si="0"/>
        <v>Aug 2026</v>
      </c>
      <c r="B42" s="441">
        <v>3</v>
      </c>
      <c r="C42" s="442">
        <v>46253</v>
      </c>
      <c r="D42" s="441" t="s">
        <v>16878</v>
      </c>
      <c r="E42" s="441" t="s">
        <v>16853</v>
      </c>
      <c r="F42" s="441" t="s">
        <v>16168</v>
      </c>
      <c r="G42" s="441" t="s">
        <v>16898</v>
      </c>
      <c r="H42" s="441" t="str">
        <f>IFERROR(VLOOKUP(F42,[1]Releases!$A$7:$D$102,4,FALSE),"")</f>
        <v>DocuSign CLM</v>
      </c>
      <c r="I42" s="441" t="s">
        <v>14990</v>
      </c>
      <c r="J42" s="441" t="s">
        <v>1128</v>
      </c>
      <c r="K42" s="441" t="s">
        <v>16899</v>
      </c>
    </row>
    <row r="43" spans="1:11" x14ac:dyDescent="0.3">
      <c r="A43" s="440" t="str">
        <f t="shared" si="0"/>
        <v>Aug 2026</v>
      </c>
      <c r="B43" s="441">
        <v>3</v>
      </c>
      <c r="C43" s="442">
        <v>46254</v>
      </c>
      <c r="D43" s="441" t="s">
        <v>16881</v>
      </c>
      <c r="E43" s="441" t="s">
        <v>16856</v>
      </c>
      <c r="F43" s="441" t="s">
        <v>16160</v>
      </c>
      <c r="G43" s="441" t="s">
        <v>16623</v>
      </c>
      <c r="H43" s="441" t="str">
        <f>IFERROR(VLOOKUP(F43,[1]Releases!$A$7:$D$102,4,FALSE),"")</f>
        <v>Dynatrace</v>
      </c>
      <c r="I43" s="441" t="s">
        <v>14991</v>
      </c>
      <c r="J43" s="441" t="s">
        <v>16857</v>
      </c>
      <c r="K43" s="441" t="s">
        <v>16863</v>
      </c>
    </row>
    <row r="44" spans="1:11" x14ac:dyDescent="0.3">
      <c r="A44" s="440" t="str">
        <f t="shared" si="0"/>
        <v>Aug 2026</v>
      </c>
      <c r="B44" s="441">
        <v>4</v>
      </c>
      <c r="C44" s="442">
        <v>46256</v>
      </c>
      <c r="D44" s="441" t="s">
        <v>16882</v>
      </c>
      <c r="E44" s="441" t="s">
        <v>16856</v>
      </c>
      <c r="F44" s="441" t="s">
        <v>16168</v>
      </c>
      <c r="G44" s="441" t="s">
        <v>16627</v>
      </c>
      <c r="H44" s="441" t="str">
        <f>IFERROR(VLOOKUP(F44,[1]Releases!$A$7:$D$102,4,FALSE),"")</f>
        <v>DocuSign CLM</v>
      </c>
      <c r="I44" s="441" t="s">
        <v>14990</v>
      </c>
      <c r="J44" s="441" t="s">
        <v>16895</v>
      </c>
      <c r="K44" s="441" t="s">
        <v>16867</v>
      </c>
    </row>
    <row r="45" spans="1:11" x14ac:dyDescent="0.3">
      <c r="A45" s="440" t="str">
        <f t="shared" si="0"/>
        <v>Aug 2026</v>
      </c>
      <c r="B45" s="441">
        <v>4</v>
      </c>
      <c r="C45" s="442">
        <v>46256</v>
      </c>
      <c r="D45" s="441" t="s">
        <v>16882</v>
      </c>
      <c r="E45" s="441" t="s">
        <v>16853</v>
      </c>
      <c r="F45" s="441" t="s">
        <v>16174</v>
      </c>
      <c r="G45" s="441" t="s">
        <v>16900</v>
      </c>
      <c r="H45" s="441" t="str">
        <f>IFERROR(VLOOKUP(F45,[1]Releases!$A$7:$D$102,4,FALSE),"")</f>
        <v>HighRadius</v>
      </c>
      <c r="I45" s="441" t="s">
        <v>1158</v>
      </c>
      <c r="J45" s="441" t="s">
        <v>1122</v>
      </c>
      <c r="K45" s="441" t="s">
        <v>16901</v>
      </c>
    </row>
    <row r="46" spans="1:11" x14ac:dyDescent="0.3">
      <c r="A46" s="440" t="str">
        <f t="shared" si="0"/>
        <v>Aug 2026</v>
      </c>
      <c r="B46" s="441">
        <v>4</v>
      </c>
      <c r="C46" s="442">
        <v>46258</v>
      </c>
      <c r="D46" s="441" t="s">
        <v>16886</v>
      </c>
      <c r="E46" s="441" t="s">
        <v>16856</v>
      </c>
      <c r="F46" s="441" t="s">
        <v>16174</v>
      </c>
      <c r="G46" s="441" t="s">
        <v>16633</v>
      </c>
      <c r="H46" s="441" t="str">
        <f>IFERROR(VLOOKUP(F46,[1]Releases!$A$7:$D$102,4,FALSE),"")</f>
        <v>HighRadius</v>
      </c>
      <c r="I46" s="441" t="s">
        <v>1158</v>
      </c>
      <c r="J46" s="441" t="s">
        <v>16857</v>
      </c>
      <c r="K46" s="441" t="s">
        <v>16863</v>
      </c>
    </row>
    <row r="47" spans="1:11" x14ac:dyDescent="0.3">
      <c r="A47" s="440" t="str">
        <f t="shared" si="0"/>
        <v>Aug 2026</v>
      </c>
      <c r="B47" s="441">
        <v>4</v>
      </c>
      <c r="C47" s="442">
        <v>46258</v>
      </c>
      <c r="D47" s="441" t="s">
        <v>16886</v>
      </c>
      <c r="E47" s="441" t="s">
        <v>16853</v>
      </c>
      <c r="F47" s="441" t="s">
        <v>16194</v>
      </c>
      <c r="G47" s="441" t="s">
        <v>16902</v>
      </c>
      <c r="H47" s="441" t="str">
        <f>IFERROR(VLOOKUP(F47,[1]Releases!$A$7:$D$102,4,FALSE),"")</f>
        <v>Oracle HCM Cloud</v>
      </c>
      <c r="I47" s="441" t="s">
        <v>1159</v>
      </c>
      <c r="J47" s="441" t="s">
        <v>1125</v>
      </c>
      <c r="K47" s="441" t="s">
        <v>16903</v>
      </c>
    </row>
    <row r="48" spans="1:11" x14ac:dyDescent="0.3">
      <c r="A48" s="440" t="str">
        <f t="shared" si="0"/>
        <v>Aug 2026</v>
      </c>
      <c r="B48" s="441">
        <v>4</v>
      </c>
      <c r="C48" s="442">
        <v>46260</v>
      </c>
      <c r="D48" s="441" t="s">
        <v>16878</v>
      </c>
      <c r="E48" s="441" t="s">
        <v>16856</v>
      </c>
      <c r="F48" s="441" t="s">
        <v>16194</v>
      </c>
      <c r="G48" s="441" t="s">
        <v>16645</v>
      </c>
      <c r="H48" s="441" t="str">
        <f>IFERROR(VLOOKUP(F48,[1]Releases!$A$7:$D$102,4,FALSE),"")</f>
        <v>Oracle HCM Cloud</v>
      </c>
      <c r="I48" s="441" t="s">
        <v>1159</v>
      </c>
      <c r="J48" s="441" t="s">
        <v>16904</v>
      </c>
      <c r="K48" s="441" t="s">
        <v>16863</v>
      </c>
    </row>
    <row r="49" spans="1:11" x14ac:dyDescent="0.3">
      <c r="A49" s="440" t="str">
        <f t="shared" si="0"/>
        <v>Sep 2026</v>
      </c>
      <c r="B49" s="441">
        <v>1</v>
      </c>
      <c r="C49" s="442">
        <v>46266</v>
      </c>
      <c r="D49" s="441" t="s">
        <v>16875</v>
      </c>
      <c r="E49" s="441" t="s">
        <v>16853</v>
      </c>
      <c r="F49" s="441" t="s">
        <v>16171</v>
      </c>
      <c r="G49" s="441" t="s">
        <v>16905</v>
      </c>
      <c r="H49" s="441" t="str">
        <f>IFERROR(VLOOKUP(F49,[1]Releases!$A$7:$D$102,4,FALSE),"")</f>
        <v>CyberArk PAM</v>
      </c>
      <c r="I49" s="441" t="s">
        <v>152</v>
      </c>
      <c r="J49" s="441" t="s">
        <v>1128</v>
      </c>
      <c r="K49" s="441" t="s">
        <v>16906</v>
      </c>
    </row>
    <row r="50" spans="1:11" x14ac:dyDescent="0.3">
      <c r="A50" s="440" t="str">
        <f t="shared" si="0"/>
        <v>Sep 2026</v>
      </c>
      <c r="B50" s="441">
        <v>1</v>
      </c>
      <c r="C50" s="442">
        <v>46269</v>
      </c>
      <c r="D50" s="441" t="s">
        <v>14599</v>
      </c>
      <c r="E50" s="441" t="s">
        <v>16907</v>
      </c>
      <c r="F50" s="441" t="s">
        <v>16171</v>
      </c>
      <c r="G50" s="441" t="s">
        <v>16630</v>
      </c>
      <c r="H50" s="441" t="str">
        <f>IFERROR(VLOOKUP(F50,[1]Releases!$A$7:$D$102,4,FALSE),"")</f>
        <v>CyberArk PAM</v>
      </c>
      <c r="I50" s="441" t="s">
        <v>152</v>
      </c>
      <c r="J50" s="441" t="s">
        <v>16895</v>
      </c>
      <c r="K50" s="441" t="s">
        <v>16632</v>
      </c>
    </row>
    <row r="51" spans="1:11" x14ac:dyDescent="0.3">
      <c r="A51" s="440" t="str">
        <f t="shared" si="0"/>
        <v>Sep 2026</v>
      </c>
      <c r="B51" s="441">
        <v>2</v>
      </c>
      <c r="C51" s="442">
        <v>46275</v>
      </c>
      <c r="D51" s="441" t="s">
        <v>16881</v>
      </c>
      <c r="E51" s="441" t="s">
        <v>16853</v>
      </c>
      <c r="F51" s="441" t="s">
        <v>16177</v>
      </c>
      <c r="G51" s="441" t="s">
        <v>16908</v>
      </c>
      <c r="H51" s="441" t="str">
        <f>IFERROR(VLOOKUP(F51,[1]Releases!$A$7:$D$102,4,FALSE),"")</f>
        <v>Oracle Transportation Management</v>
      </c>
      <c r="I51" s="441" t="s">
        <v>14994</v>
      </c>
      <c r="J51" s="441" t="s">
        <v>1122</v>
      </c>
      <c r="K51" s="441" t="s">
        <v>16909</v>
      </c>
    </row>
    <row r="52" spans="1:11" x14ac:dyDescent="0.3">
      <c r="A52" s="440" t="str">
        <f t="shared" si="0"/>
        <v>Sep 2026</v>
      </c>
      <c r="B52" s="441">
        <v>2</v>
      </c>
      <c r="C52" s="442">
        <v>46277</v>
      </c>
      <c r="D52" s="441" t="s">
        <v>16882</v>
      </c>
      <c r="E52" s="441" t="s">
        <v>16856</v>
      </c>
      <c r="F52" s="441" t="s">
        <v>16177</v>
      </c>
      <c r="G52" s="441" t="s">
        <v>16637</v>
      </c>
      <c r="H52" s="441" t="str">
        <f>IFERROR(VLOOKUP(F52,[1]Releases!$A$7:$D$102,4,FALSE),"")</f>
        <v>Oracle Transportation Management</v>
      </c>
      <c r="I52" s="441" t="s">
        <v>14994</v>
      </c>
      <c r="J52" s="441" t="s">
        <v>16857</v>
      </c>
      <c r="K52" s="441" t="s">
        <v>16863</v>
      </c>
    </row>
    <row r="53" spans="1:11" x14ac:dyDescent="0.3">
      <c r="A53" s="440" t="str">
        <f t="shared" si="0"/>
        <v>Sep 2026</v>
      </c>
      <c r="B53" s="441">
        <v>2</v>
      </c>
      <c r="C53" s="442">
        <v>46279</v>
      </c>
      <c r="D53" s="441" t="s">
        <v>16886</v>
      </c>
      <c r="E53" s="441" t="s">
        <v>16853</v>
      </c>
      <c r="F53" s="441" t="s">
        <v>16182</v>
      </c>
      <c r="G53" s="441" t="s">
        <v>16910</v>
      </c>
      <c r="H53" s="441" t="str">
        <f>IFERROR(VLOOKUP(F53,[1]Releases!$A$7:$D$102,4,FALSE),"")</f>
        <v>Salesforce Service Cloud</v>
      </c>
      <c r="I53" s="441" t="s">
        <v>14993</v>
      </c>
      <c r="J53" s="441" t="s">
        <v>1122</v>
      </c>
      <c r="K53" s="441" t="s">
        <v>16911</v>
      </c>
    </row>
    <row r="54" spans="1:11" x14ac:dyDescent="0.3">
      <c r="A54" s="440" t="str">
        <f t="shared" si="0"/>
        <v>Sep 2026</v>
      </c>
      <c r="B54" s="441">
        <v>3</v>
      </c>
      <c r="C54" s="442">
        <v>46281</v>
      </c>
      <c r="D54" s="441" t="s">
        <v>16878</v>
      </c>
      <c r="E54" s="441" t="s">
        <v>16856</v>
      </c>
      <c r="F54" s="441" t="s">
        <v>16182</v>
      </c>
      <c r="G54" s="441" t="s">
        <v>16639</v>
      </c>
      <c r="H54" s="441" t="str">
        <f>IFERROR(VLOOKUP(F54,[1]Releases!$A$7:$D$102,4,FALSE),"")</f>
        <v>Salesforce Service Cloud</v>
      </c>
      <c r="I54" s="441" t="s">
        <v>14993</v>
      </c>
      <c r="J54" s="441" t="s">
        <v>16857</v>
      </c>
      <c r="K54" s="441" t="s">
        <v>16863</v>
      </c>
    </row>
    <row r="55" spans="1:11" x14ac:dyDescent="0.3">
      <c r="A55" s="440" t="str">
        <f t="shared" si="0"/>
        <v>Sep 2026</v>
      </c>
      <c r="B55" s="441">
        <v>3</v>
      </c>
      <c r="C55" s="442">
        <v>46281</v>
      </c>
      <c r="D55" s="441" t="s">
        <v>16878</v>
      </c>
      <c r="E55" s="441" t="s">
        <v>16853</v>
      </c>
      <c r="F55" s="441" t="s">
        <v>16191</v>
      </c>
      <c r="G55" s="441" t="s">
        <v>16912</v>
      </c>
      <c r="H55" s="441" t="str">
        <f>IFERROR(VLOOKUP(F55,[1]Releases!$A$7:$D$102,4,FALSE),"")</f>
        <v>Splunk Enterprise</v>
      </c>
      <c r="I55" s="441" t="s">
        <v>14991</v>
      </c>
      <c r="J55" s="441" t="s">
        <v>1122</v>
      </c>
      <c r="K55" s="441" t="s">
        <v>16913</v>
      </c>
    </row>
    <row r="56" spans="1:11" x14ac:dyDescent="0.3">
      <c r="A56" s="440" t="str">
        <f t="shared" si="0"/>
        <v>Sep 2026</v>
      </c>
      <c r="B56" s="441">
        <v>3</v>
      </c>
      <c r="C56" s="442">
        <v>46283</v>
      </c>
      <c r="D56" s="441" t="s">
        <v>14599</v>
      </c>
      <c r="E56" s="441" t="s">
        <v>16853</v>
      </c>
      <c r="F56" s="441" t="s">
        <v>16188</v>
      </c>
      <c r="G56" s="441" t="s">
        <v>16914</v>
      </c>
      <c r="H56" s="441" t="str">
        <f>IFERROR(VLOOKUP(F56,[1]Releases!$A$7:$D$102,4,FALSE),"")</f>
        <v>Rockwell FactoryTalk</v>
      </c>
      <c r="I56" s="441" t="s">
        <v>14992</v>
      </c>
      <c r="J56" s="441" t="s">
        <v>1122</v>
      </c>
      <c r="K56" s="441" t="s">
        <v>16915</v>
      </c>
    </row>
    <row r="57" spans="1:11" x14ac:dyDescent="0.3">
      <c r="A57" s="440" t="str">
        <f t="shared" si="0"/>
        <v>Sep 2026</v>
      </c>
      <c r="B57" s="441">
        <v>3</v>
      </c>
      <c r="C57" s="442">
        <v>46283</v>
      </c>
      <c r="D57" s="441" t="s">
        <v>14599</v>
      </c>
      <c r="E57" s="441" t="s">
        <v>16856</v>
      </c>
      <c r="F57" s="441" t="s">
        <v>16191</v>
      </c>
      <c r="G57" s="441" t="s">
        <v>16643</v>
      </c>
      <c r="H57" s="441" t="str">
        <f>IFERROR(VLOOKUP(F57,[1]Releases!$A$7:$D$102,4,FALSE),"")</f>
        <v>Splunk Enterprise</v>
      </c>
      <c r="I57" s="441" t="s">
        <v>14991</v>
      </c>
      <c r="J57" s="441" t="s">
        <v>16857</v>
      </c>
      <c r="K57" s="441" t="s">
        <v>16863</v>
      </c>
    </row>
    <row r="58" spans="1:11" x14ac:dyDescent="0.3">
      <c r="A58" s="440" t="str">
        <f t="shared" si="0"/>
        <v>Sep 2026</v>
      </c>
      <c r="B58" s="441">
        <v>3</v>
      </c>
      <c r="C58" s="442">
        <v>46283</v>
      </c>
      <c r="D58" s="441" t="s">
        <v>14599</v>
      </c>
      <c r="E58" s="441" t="s">
        <v>16853</v>
      </c>
      <c r="F58" s="441" t="s">
        <v>16210</v>
      </c>
      <c r="G58" s="441" t="s">
        <v>16916</v>
      </c>
      <c r="H58" s="441" t="str">
        <f>IFERROR(VLOOKUP(F58,[1]Releases!$A$7:$D$102,4,FALSE),"")</f>
        <v>Kinaxis RapidResponse</v>
      </c>
      <c r="I58" s="441" t="s">
        <v>14994</v>
      </c>
      <c r="J58" s="441" t="s">
        <v>1125</v>
      </c>
      <c r="K58" s="441" t="s">
        <v>16917</v>
      </c>
    </row>
    <row r="59" spans="1:11" x14ac:dyDescent="0.3">
      <c r="A59" s="440" t="str">
        <f t="shared" si="0"/>
        <v>Sep 2026</v>
      </c>
      <c r="B59" s="441">
        <v>3</v>
      </c>
      <c r="C59" s="442">
        <v>46285</v>
      </c>
      <c r="D59" s="441" t="s">
        <v>16874</v>
      </c>
      <c r="E59" s="441" t="s">
        <v>16856</v>
      </c>
      <c r="F59" s="441" t="s">
        <v>16188</v>
      </c>
      <c r="G59" s="441" t="s">
        <v>16641</v>
      </c>
      <c r="H59" s="441" t="str">
        <f>IFERROR(VLOOKUP(F59,[1]Releases!$A$7:$D$102,4,FALSE),"")</f>
        <v>Rockwell FactoryTalk</v>
      </c>
      <c r="I59" s="441" t="s">
        <v>14992</v>
      </c>
      <c r="J59" s="441" t="s">
        <v>16857</v>
      </c>
      <c r="K59" s="441" t="s">
        <v>16863</v>
      </c>
    </row>
    <row r="60" spans="1:11" x14ac:dyDescent="0.3">
      <c r="A60" s="440" t="str">
        <f t="shared" si="0"/>
        <v>Sep 2026</v>
      </c>
      <c r="B60" s="441">
        <v>3</v>
      </c>
      <c r="C60" s="442">
        <v>46285</v>
      </c>
      <c r="D60" s="441" t="s">
        <v>16874</v>
      </c>
      <c r="E60" s="441" t="s">
        <v>16856</v>
      </c>
      <c r="F60" s="441" t="s">
        <v>16210</v>
      </c>
      <c r="G60" s="441" t="s">
        <v>16658</v>
      </c>
      <c r="H60" s="441" t="str">
        <f>IFERROR(VLOOKUP(F60,[1]Releases!$A$7:$D$102,4,FALSE),"")</f>
        <v>Kinaxis RapidResponse</v>
      </c>
      <c r="I60" s="441" t="s">
        <v>14994</v>
      </c>
      <c r="J60" s="441" t="s">
        <v>16904</v>
      </c>
      <c r="K60" s="441" t="s">
        <v>16863</v>
      </c>
    </row>
    <row r="61" spans="1:11" x14ac:dyDescent="0.3">
      <c r="A61" s="440" t="str">
        <f t="shared" si="0"/>
        <v>Oct 2026</v>
      </c>
      <c r="B61" s="441">
        <v>1</v>
      </c>
      <c r="C61" s="442">
        <v>46297</v>
      </c>
      <c r="D61" s="441" t="s">
        <v>14599</v>
      </c>
      <c r="E61" s="441" t="s">
        <v>16853</v>
      </c>
      <c r="F61" s="441" t="s">
        <v>16197</v>
      </c>
      <c r="G61" s="441" t="s">
        <v>16918</v>
      </c>
      <c r="H61" s="441" t="str">
        <f>IFERROR(VLOOKUP(F61,[1]Releases!$A$7:$D$102,4,FALSE),"")</f>
        <v>DocuSign CLM</v>
      </c>
      <c r="I61" s="441" t="s">
        <v>14990</v>
      </c>
      <c r="J61" s="441" t="s">
        <v>1125</v>
      </c>
      <c r="K61" s="441" t="s">
        <v>16919</v>
      </c>
    </row>
    <row r="62" spans="1:11" x14ac:dyDescent="0.3">
      <c r="A62" s="440" t="str">
        <f t="shared" si="0"/>
        <v>Oct 2026</v>
      </c>
      <c r="B62" s="441">
        <v>1</v>
      </c>
      <c r="C62" s="442">
        <v>46299</v>
      </c>
      <c r="D62" s="441" t="s">
        <v>16874</v>
      </c>
      <c r="E62" s="441" t="s">
        <v>16856</v>
      </c>
      <c r="F62" s="441" t="s">
        <v>16197</v>
      </c>
      <c r="G62" s="441" t="s">
        <v>16648</v>
      </c>
      <c r="H62" s="441" t="str">
        <f>IFERROR(VLOOKUP(F62,[1]Releases!$A$7:$D$102,4,FALSE),"")</f>
        <v>DocuSign CLM</v>
      </c>
      <c r="I62" s="441" t="s">
        <v>14990</v>
      </c>
      <c r="J62" s="441" t="s">
        <v>16866</v>
      </c>
      <c r="K62" s="441" t="s">
        <v>16867</v>
      </c>
    </row>
    <row r="63" spans="1:11" x14ac:dyDescent="0.3">
      <c r="A63" s="440" t="str">
        <f t="shared" si="0"/>
        <v>Oct 2026</v>
      </c>
      <c r="B63" s="441">
        <v>1</v>
      </c>
      <c r="C63" s="442">
        <v>46299</v>
      </c>
      <c r="D63" s="441" t="s">
        <v>16874</v>
      </c>
      <c r="E63" s="441" t="s">
        <v>16853</v>
      </c>
      <c r="F63" s="441" t="s">
        <v>16213</v>
      </c>
      <c r="G63" s="441" t="s">
        <v>16920</v>
      </c>
      <c r="H63" s="441" t="str">
        <f>IFERROR(VLOOKUP(F63,[1]Releases!$A$7:$D$102,4,FALSE),"")</f>
        <v>Salesforce Sales Cloud</v>
      </c>
      <c r="I63" s="441" t="s">
        <v>14993</v>
      </c>
      <c r="J63" s="441" t="s">
        <v>1122</v>
      </c>
      <c r="K63" s="441" t="s">
        <v>16921</v>
      </c>
    </row>
    <row r="64" spans="1:11" x14ac:dyDescent="0.3">
      <c r="A64" s="440" t="str">
        <f t="shared" si="0"/>
        <v>Oct 2026</v>
      </c>
      <c r="B64" s="441">
        <v>1</v>
      </c>
      <c r="C64" s="442">
        <v>46301</v>
      </c>
      <c r="D64" s="441" t="s">
        <v>16875</v>
      </c>
      <c r="E64" s="441" t="s">
        <v>16853</v>
      </c>
      <c r="F64" s="441" t="s">
        <v>16203</v>
      </c>
      <c r="G64" s="441" t="s">
        <v>16922</v>
      </c>
      <c r="H64" s="441" t="str">
        <f>IFERROR(VLOOKUP(F64,[1]Releases!$A$7:$D$102,4,FALSE),"")</f>
        <v>Okta Identity Cloud</v>
      </c>
      <c r="I64" s="441" t="s">
        <v>152</v>
      </c>
      <c r="J64" s="441" t="s">
        <v>1122</v>
      </c>
      <c r="K64" s="441" t="s">
        <v>16923</v>
      </c>
    </row>
    <row r="65" spans="1:11" x14ac:dyDescent="0.3">
      <c r="A65" s="440" t="str">
        <f t="shared" si="0"/>
        <v>Oct 2026</v>
      </c>
      <c r="B65" s="441">
        <v>1</v>
      </c>
      <c r="C65" s="442">
        <v>46301</v>
      </c>
      <c r="D65" s="441" t="s">
        <v>16875</v>
      </c>
      <c r="E65" s="441" t="s">
        <v>16856</v>
      </c>
      <c r="F65" s="441" t="s">
        <v>16213</v>
      </c>
      <c r="G65" s="441" t="s">
        <v>16660</v>
      </c>
      <c r="H65" s="441" t="str">
        <f>IFERROR(VLOOKUP(F65,[1]Releases!$A$7:$D$102,4,FALSE),"")</f>
        <v>Salesforce Sales Cloud</v>
      </c>
      <c r="I65" s="441" t="s">
        <v>14993</v>
      </c>
      <c r="J65" s="441" t="s">
        <v>16857</v>
      </c>
      <c r="K65" s="441" t="s">
        <v>16863</v>
      </c>
    </row>
    <row r="66" spans="1:11" x14ac:dyDescent="0.3">
      <c r="A66" s="440" t="str">
        <f t="shared" si="0"/>
        <v>Oct 2026</v>
      </c>
      <c r="B66" s="441">
        <v>2</v>
      </c>
      <c r="C66" s="442">
        <v>46303</v>
      </c>
      <c r="D66" s="441" t="s">
        <v>16881</v>
      </c>
      <c r="E66" s="441" t="s">
        <v>16856</v>
      </c>
      <c r="F66" s="441" t="s">
        <v>16203</v>
      </c>
      <c r="G66" s="441" t="s">
        <v>16651</v>
      </c>
      <c r="H66" s="441" t="str">
        <f>IFERROR(VLOOKUP(F66,[1]Releases!$A$7:$D$102,4,FALSE),"")</f>
        <v>Okta Identity Cloud</v>
      </c>
      <c r="I66" s="441" t="s">
        <v>152</v>
      </c>
      <c r="J66" s="441" t="s">
        <v>16857</v>
      </c>
      <c r="K66" s="441" t="s">
        <v>16863</v>
      </c>
    </row>
    <row r="67" spans="1:11" x14ac:dyDescent="0.3">
      <c r="A67" s="440" t="str">
        <f t="shared" si="0"/>
        <v>Oct 2026</v>
      </c>
      <c r="B67" s="441">
        <v>2</v>
      </c>
      <c r="C67" s="442">
        <v>46305</v>
      </c>
      <c r="D67" s="441" t="s">
        <v>16882</v>
      </c>
      <c r="E67" s="441" t="s">
        <v>16853</v>
      </c>
      <c r="F67" s="441" t="s">
        <v>16206</v>
      </c>
      <c r="G67" s="441" t="s">
        <v>16924</v>
      </c>
      <c r="H67" s="441" t="str">
        <f>IFERROR(VLOOKUP(F67,[1]Releases!$A$7:$D$102,4,FALSE),"")</f>
        <v>Coupa</v>
      </c>
      <c r="I67" s="441" t="s">
        <v>1158</v>
      </c>
      <c r="J67" s="441" t="s">
        <v>1125</v>
      </c>
      <c r="K67" s="441" t="s">
        <v>16925</v>
      </c>
    </row>
    <row r="68" spans="1:11" x14ac:dyDescent="0.3">
      <c r="A68" s="440" t="str">
        <f t="shared" si="0"/>
        <v>Oct 2026</v>
      </c>
      <c r="B68" s="441">
        <v>2</v>
      </c>
      <c r="C68" s="442">
        <v>46307</v>
      </c>
      <c r="D68" s="441" t="s">
        <v>16886</v>
      </c>
      <c r="E68" s="441" t="s">
        <v>16907</v>
      </c>
      <c r="F68" s="441" t="s">
        <v>16206</v>
      </c>
      <c r="G68" s="441" t="s">
        <v>16653</v>
      </c>
      <c r="H68" s="441" t="str">
        <f>IFERROR(VLOOKUP(F68,[1]Releases!$A$7:$D$102,4,FALSE),"")</f>
        <v>Coupa</v>
      </c>
      <c r="I68" s="441" t="s">
        <v>1158</v>
      </c>
      <c r="J68" s="441" t="s">
        <v>16926</v>
      </c>
      <c r="K68" s="441" t="s">
        <v>16657</v>
      </c>
    </row>
    <row r="69" spans="1:11" x14ac:dyDescent="0.3">
      <c r="A69" s="440" t="str">
        <f t="shared" si="0"/>
        <v>Oct 2026</v>
      </c>
      <c r="B69" s="441">
        <v>3</v>
      </c>
      <c r="C69" s="442">
        <v>46316</v>
      </c>
      <c r="D69" s="441" t="s">
        <v>16878</v>
      </c>
      <c r="E69" s="441" t="s">
        <v>16853</v>
      </c>
      <c r="F69" s="441" t="s">
        <v>16216</v>
      </c>
      <c r="G69" s="441" t="s">
        <v>16927</v>
      </c>
      <c r="H69" s="441" t="str">
        <f>IFERROR(VLOOKUP(F69,[1]Releases!$A$7:$D$102,4,FALSE),"")</f>
        <v>SAP S/4HANA Manufacturing</v>
      </c>
      <c r="I69" s="441" t="s">
        <v>14992</v>
      </c>
      <c r="J69" s="441" t="s">
        <v>1128</v>
      </c>
      <c r="K69" s="441" t="s">
        <v>16928</v>
      </c>
    </row>
    <row r="70" spans="1:11" x14ac:dyDescent="0.3">
      <c r="A70" s="440" t="str">
        <f t="shared" si="0"/>
        <v>Oct 2026</v>
      </c>
      <c r="B70" s="441">
        <v>4</v>
      </c>
      <c r="C70" s="442">
        <v>46319</v>
      </c>
      <c r="D70" s="441" t="s">
        <v>16882</v>
      </c>
      <c r="E70" s="441" t="s">
        <v>16856</v>
      </c>
      <c r="F70" s="441" t="s">
        <v>16216</v>
      </c>
      <c r="G70" s="441" t="s">
        <v>16662</v>
      </c>
      <c r="H70" s="441" t="str">
        <f>IFERROR(VLOOKUP(F70,[1]Releases!$A$7:$D$102,4,FALSE),"")</f>
        <v>SAP S/4HANA Manufacturing</v>
      </c>
      <c r="I70" s="441" t="s">
        <v>14992</v>
      </c>
      <c r="J70" s="441" t="s">
        <v>16895</v>
      </c>
      <c r="K70" s="441" t="s">
        <v>16867</v>
      </c>
    </row>
    <row r="71" spans="1:11" x14ac:dyDescent="0.3">
      <c r="A71" s="440" t="str">
        <f t="shared" si="0"/>
        <v>Oct 2026</v>
      </c>
      <c r="B71" s="441">
        <v>5</v>
      </c>
      <c r="C71" s="442">
        <v>46324</v>
      </c>
      <c r="D71" s="441" t="s">
        <v>16881</v>
      </c>
      <c r="E71" s="441" t="s">
        <v>16853</v>
      </c>
      <c r="F71" s="441" t="s">
        <v>16219</v>
      </c>
      <c r="G71" s="441" t="s">
        <v>16929</v>
      </c>
      <c r="H71" s="441" t="str">
        <f>IFERROR(VLOOKUP(F71,[1]Releases!$A$7:$D$102,4,FALSE),"")</f>
        <v>Datadog</v>
      </c>
      <c r="I71" s="441" t="s">
        <v>14991</v>
      </c>
      <c r="J71" s="441" t="s">
        <v>1125</v>
      </c>
      <c r="K71" s="441" t="s">
        <v>16930</v>
      </c>
    </row>
    <row r="72" spans="1:11" x14ac:dyDescent="0.3">
      <c r="A72" s="440" t="str">
        <f t="shared" si="0"/>
        <v>Oct 2026</v>
      </c>
      <c r="B72" s="441">
        <v>5</v>
      </c>
      <c r="C72" s="442">
        <v>46326</v>
      </c>
      <c r="D72" s="441" t="s">
        <v>16882</v>
      </c>
      <c r="E72" s="441" t="s">
        <v>16856</v>
      </c>
      <c r="F72" s="441" t="s">
        <v>16219</v>
      </c>
      <c r="G72" s="441" t="s">
        <v>16664</v>
      </c>
      <c r="H72" s="441" t="str">
        <f>IFERROR(VLOOKUP(F72,[1]Releases!$A$7:$D$102,4,FALSE),"")</f>
        <v>Datadog</v>
      </c>
      <c r="I72" s="441" t="s">
        <v>14991</v>
      </c>
      <c r="J72" s="441" t="s">
        <v>16926</v>
      </c>
      <c r="K72" s="441" t="s">
        <v>16871</v>
      </c>
    </row>
    <row r="73" spans="1:11" x14ac:dyDescent="0.3">
      <c r="A73" s="440" t="str">
        <f t="shared" si="0"/>
        <v>Nov 2026</v>
      </c>
      <c r="B73" s="441">
        <v>1</v>
      </c>
      <c r="C73" s="442">
        <v>46328</v>
      </c>
      <c r="D73" s="441" t="s">
        <v>16886</v>
      </c>
      <c r="E73" s="441" t="s">
        <v>16853</v>
      </c>
      <c r="F73" s="441" t="s">
        <v>16222</v>
      </c>
      <c r="G73" s="441" t="s">
        <v>16931</v>
      </c>
      <c r="H73" s="441" t="str">
        <f>IFERROR(VLOOKUP(F73,[1]Releases!$A$7:$D$102,4,FALSE),"")</f>
        <v>Cornerstone OnDemand</v>
      </c>
      <c r="I73" s="441" t="s">
        <v>1159</v>
      </c>
      <c r="J73" s="441" t="s">
        <v>1125</v>
      </c>
      <c r="K73" s="441" t="s">
        <v>16932</v>
      </c>
    </row>
    <row r="74" spans="1:11" x14ac:dyDescent="0.3">
      <c r="A74" s="440" t="str">
        <f t="shared" si="0"/>
        <v>Nov 2026</v>
      </c>
      <c r="B74" s="441">
        <v>1</v>
      </c>
      <c r="C74" s="442">
        <v>46330</v>
      </c>
      <c r="D74" s="441" t="s">
        <v>16878</v>
      </c>
      <c r="E74" s="441" t="s">
        <v>16856</v>
      </c>
      <c r="F74" s="441" t="s">
        <v>16222</v>
      </c>
      <c r="G74" s="441" t="s">
        <v>16666</v>
      </c>
      <c r="H74" s="441" t="str">
        <f>IFERROR(VLOOKUP(F74,[1]Releases!$A$7:$D$102,4,FALSE),"")</f>
        <v>Cornerstone OnDemand</v>
      </c>
      <c r="I74" s="441" t="s">
        <v>1159</v>
      </c>
      <c r="J74" s="441" t="s">
        <v>16866</v>
      </c>
      <c r="K74" s="441" t="s">
        <v>16867</v>
      </c>
    </row>
    <row r="75" spans="1:11" x14ac:dyDescent="0.3">
      <c r="A75" s="440" t="str">
        <f t="shared" si="0"/>
        <v>Nov 2026</v>
      </c>
      <c r="B75" s="441">
        <v>1</v>
      </c>
      <c r="C75" s="442">
        <v>46332</v>
      </c>
      <c r="D75" s="441" t="s">
        <v>14599</v>
      </c>
      <c r="E75" s="441" t="s">
        <v>16853</v>
      </c>
      <c r="F75" s="441" t="s">
        <v>16226</v>
      </c>
      <c r="G75" s="441" t="s">
        <v>16933</v>
      </c>
      <c r="H75" s="441" t="str">
        <f>IFERROR(VLOOKUP(F75,[1]Releases!$A$7:$D$102,4,FALSE),"")</f>
        <v>Mitratech TeamConnect</v>
      </c>
      <c r="I75" s="441" t="s">
        <v>14990</v>
      </c>
      <c r="J75" s="441" t="s">
        <v>1122</v>
      </c>
      <c r="K75" s="441" t="s">
        <v>16934</v>
      </c>
    </row>
    <row r="76" spans="1:11" x14ac:dyDescent="0.3">
      <c r="A76" s="440" t="str">
        <f t="shared" si="0"/>
        <v>Nov 2026</v>
      </c>
      <c r="B76" s="441">
        <v>2</v>
      </c>
      <c r="C76" s="442">
        <v>46334</v>
      </c>
      <c r="D76" s="441" t="s">
        <v>16874</v>
      </c>
      <c r="E76" s="441" t="s">
        <v>16907</v>
      </c>
      <c r="F76" s="441" t="s">
        <v>16226</v>
      </c>
      <c r="G76" s="441" t="s">
        <v>16668</v>
      </c>
      <c r="H76" s="441" t="str">
        <f>IFERROR(VLOOKUP(F76,[1]Releases!$A$7:$D$102,4,FALSE),"")</f>
        <v>Mitratech TeamConnect</v>
      </c>
      <c r="I76" s="441" t="s">
        <v>14990</v>
      </c>
      <c r="J76" s="441" t="s">
        <v>16857</v>
      </c>
      <c r="K76" s="441" t="s">
        <v>16669</v>
      </c>
    </row>
    <row r="77" spans="1:11" x14ac:dyDescent="0.3">
      <c r="A77" s="440" t="str">
        <f t="shared" si="0"/>
        <v>Nov 2026</v>
      </c>
      <c r="B77" s="441">
        <v>2</v>
      </c>
      <c r="C77" s="442">
        <v>46336</v>
      </c>
      <c r="D77" s="441" t="s">
        <v>16875</v>
      </c>
      <c r="E77" s="441" t="s">
        <v>16853</v>
      </c>
      <c r="F77" s="441" t="s">
        <v>16229</v>
      </c>
      <c r="G77" s="441" t="s">
        <v>16935</v>
      </c>
      <c r="H77" s="441" t="str">
        <f>IFERROR(VLOOKUP(F77,[1]Releases!$A$7:$D$102,4,FALSE),"")</f>
        <v>CrowdStrike Falcon</v>
      </c>
      <c r="I77" s="441" t="s">
        <v>152</v>
      </c>
      <c r="J77" s="441" t="s">
        <v>1122</v>
      </c>
      <c r="K77" s="441" t="s">
        <v>16936</v>
      </c>
    </row>
    <row r="78" spans="1:11" x14ac:dyDescent="0.3">
      <c r="A78" s="440" t="str">
        <f t="shared" si="0"/>
        <v>Nov 2026</v>
      </c>
      <c r="B78" s="441">
        <v>2</v>
      </c>
      <c r="C78" s="442">
        <v>46338</v>
      </c>
      <c r="D78" s="441" t="s">
        <v>16881</v>
      </c>
      <c r="E78" s="441" t="s">
        <v>16856</v>
      </c>
      <c r="F78" s="441" t="s">
        <v>16229</v>
      </c>
      <c r="G78" s="441" t="s">
        <v>16670</v>
      </c>
      <c r="H78" s="441" t="str">
        <f>IFERROR(VLOOKUP(F78,[1]Releases!$A$7:$D$102,4,FALSE),"")</f>
        <v>CrowdStrike Falcon</v>
      </c>
      <c r="I78" s="441" t="s">
        <v>152</v>
      </c>
      <c r="J78" s="441" t="s">
        <v>16857</v>
      </c>
      <c r="K78" s="441" t="s">
        <v>16863</v>
      </c>
    </row>
    <row r="79" spans="1:11" x14ac:dyDescent="0.3">
      <c r="A79" s="440" t="str">
        <f t="shared" ref="A79:A142" si="2">TEXT(C79,"mmm yyyy")</f>
        <v>Nov 2026</v>
      </c>
      <c r="B79" s="441">
        <v>2</v>
      </c>
      <c r="C79" s="442">
        <v>46339</v>
      </c>
      <c r="D79" s="441" t="s">
        <v>14599</v>
      </c>
      <c r="E79" s="441" t="s">
        <v>16853</v>
      </c>
      <c r="F79" s="441" t="s">
        <v>16231</v>
      </c>
      <c r="G79" s="441" t="s">
        <v>16937</v>
      </c>
      <c r="H79" s="441" t="str">
        <f>IFERROR(VLOOKUP(F79,[1]Releases!$A$7:$D$102,4,FALSE),"")</f>
        <v>Oracle Hyperion HFM</v>
      </c>
      <c r="I79" s="441" t="s">
        <v>1158</v>
      </c>
      <c r="J79" s="441" t="s">
        <v>1128</v>
      </c>
      <c r="K79" s="441" t="s">
        <v>16938</v>
      </c>
    </row>
    <row r="80" spans="1:11" x14ac:dyDescent="0.3">
      <c r="A80" s="440" t="str">
        <f t="shared" si="2"/>
        <v>Nov 2026</v>
      </c>
      <c r="B80" s="441">
        <v>3</v>
      </c>
      <c r="C80" s="442">
        <v>46342</v>
      </c>
      <c r="D80" s="441" t="s">
        <v>16886</v>
      </c>
      <c r="E80" s="441" t="s">
        <v>16856</v>
      </c>
      <c r="F80" s="441" t="s">
        <v>16231</v>
      </c>
      <c r="G80" s="441" t="s">
        <v>16671</v>
      </c>
      <c r="H80" s="441" t="str">
        <f>IFERROR(VLOOKUP(F80,[1]Releases!$A$7:$D$102,4,FALSE),"")</f>
        <v>Oracle Hyperion HFM</v>
      </c>
      <c r="I80" s="441" t="s">
        <v>1158</v>
      </c>
      <c r="J80" s="441" t="s">
        <v>16885</v>
      </c>
      <c r="K80" s="441" t="s">
        <v>16871</v>
      </c>
    </row>
    <row r="81" spans="1:11" x14ac:dyDescent="0.3">
      <c r="A81" s="440" t="str">
        <f t="shared" si="2"/>
        <v>Nov 2026</v>
      </c>
      <c r="B81" s="441">
        <v>3</v>
      </c>
      <c r="C81" s="442">
        <v>46344</v>
      </c>
      <c r="D81" s="441" t="s">
        <v>16878</v>
      </c>
      <c r="E81" s="441" t="s">
        <v>16853</v>
      </c>
      <c r="F81" s="441" t="s">
        <v>16233</v>
      </c>
      <c r="G81" s="441" t="s">
        <v>16939</v>
      </c>
      <c r="H81" s="441" t="str">
        <f>IFERROR(VLOOKUP(F81,[1]Releases!$A$7:$D$102,4,FALSE),"")</f>
        <v>Manhattan Associates WMS</v>
      </c>
      <c r="I81" s="441" t="s">
        <v>14994</v>
      </c>
      <c r="J81" s="441" t="s">
        <v>1125</v>
      </c>
      <c r="K81" s="441" t="s">
        <v>16940</v>
      </c>
    </row>
    <row r="82" spans="1:11" x14ac:dyDescent="0.3">
      <c r="A82" s="440" t="str">
        <f t="shared" si="2"/>
        <v>Nov 2026</v>
      </c>
      <c r="B82" s="441">
        <v>3</v>
      </c>
      <c r="C82" s="442">
        <v>46346</v>
      </c>
      <c r="D82" s="441" t="s">
        <v>14599</v>
      </c>
      <c r="E82" s="441" t="s">
        <v>16856</v>
      </c>
      <c r="F82" s="441" t="s">
        <v>16233</v>
      </c>
      <c r="G82" s="441" t="s">
        <v>16674</v>
      </c>
      <c r="H82" s="441" t="str">
        <f>IFERROR(VLOOKUP(F82,[1]Releases!$A$7:$D$102,4,FALSE),"")</f>
        <v>Manhattan Associates WMS</v>
      </c>
      <c r="I82" s="441" t="s">
        <v>14994</v>
      </c>
      <c r="J82" s="441" t="s">
        <v>16904</v>
      </c>
      <c r="K82" s="441" t="s">
        <v>16863</v>
      </c>
    </row>
    <row r="83" spans="1:11" x14ac:dyDescent="0.3">
      <c r="A83" s="440" t="str">
        <f t="shared" si="2"/>
        <v>Nov 2026</v>
      </c>
      <c r="B83" s="441">
        <v>4</v>
      </c>
      <c r="C83" s="442">
        <v>46348</v>
      </c>
      <c r="D83" s="441" t="s">
        <v>16874</v>
      </c>
      <c r="E83" s="441" t="s">
        <v>16853</v>
      </c>
      <c r="F83" s="441" t="s">
        <v>16235</v>
      </c>
      <c r="G83" s="441" t="s">
        <v>16941</v>
      </c>
      <c r="H83" s="441" t="str">
        <f>IFERROR(VLOOKUP(F83,[1]Releases!$A$7:$D$102,4,FALSE),"")</f>
        <v>Salesforce Service Cloud</v>
      </c>
      <c r="I83" s="441" t="s">
        <v>14993</v>
      </c>
      <c r="J83" s="441" t="s">
        <v>1122</v>
      </c>
      <c r="K83" s="441" t="s">
        <v>16942</v>
      </c>
    </row>
    <row r="84" spans="1:11" x14ac:dyDescent="0.3">
      <c r="A84" s="440" t="str">
        <f t="shared" si="2"/>
        <v>Nov 2026</v>
      </c>
      <c r="B84" s="441">
        <v>4</v>
      </c>
      <c r="C84" s="442">
        <v>46350</v>
      </c>
      <c r="D84" s="441" t="s">
        <v>16875</v>
      </c>
      <c r="E84" s="441" t="s">
        <v>16856</v>
      </c>
      <c r="F84" s="441" t="s">
        <v>16235</v>
      </c>
      <c r="G84" s="441" t="s">
        <v>16677</v>
      </c>
      <c r="H84" s="441" t="str">
        <f>IFERROR(VLOOKUP(F84,[1]Releases!$A$7:$D$102,4,FALSE),"")</f>
        <v>Salesforce Service Cloud</v>
      </c>
      <c r="I84" s="441" t="s">
        <v>14993</v>
      </c>
      <c r="J84" s="441" t="s">
        <v>16870</v>
      </c>
      <c r="K84" s="441" t="s">
        <v>16871</v>
      </c>
    </row>
    <row r="85" spans="1:11" x14ac:dyDescent="0.3">
      <c r="A85" s="440" t="str">
        <f t="shared" si="2"/>
        <v>Nov 2026</v>
      </c>
      <c r="B85" s="441">
        <v>4</v>
      </c>
      <c r="C85" s="442">
        <v>46354</v>
      </c>
      <c r="D85" s="441" t="s">
        <v>16882</v>
      </c>
      <c r="E85" s="441" t="s">
        <v>16853</v>
      </c>
      <c r="F85" s="441" t="s">
        <v>16237</v>
      </c>
      <c r="G85" s="441" t="s">
        <v>16943</v>
      </c>
      <c r="H85" s="441" t="str">
        <f>IFERROR(VLOOKUP(F85,[1]Releases!$A$7:$D$102,4,FALSE),"")</f>
        <v>Plex Smart Manufacturing</v>
      </c>
      <c r="I85" s="441" t="s">
        <v>14992</v>
      </c>
      <c r="J85" s="441" t="s">
        <v>1122</v>
      </c>
      <c r="K85" s="441" t="s">
        <v>16944</v>
      </c>
    </row>
    <row r="86" spans="1:11" x14ac:dyDescent="0.3">
      <c r="A86" s="440" t="str">
        <f t="shared" si="2"/>
        <v>Nov 2026</v>
      </c>
      <c r="B86" s="441">
        <v>5</v>
      </c>
      <c r="C86" s="442">
        <v>46356</v>
      </c>
      <c r="D86" s="441" t="s">
        <v>16886</v>
      </c>
      <c r="E86" s="441" t="s">
        <v>16856</v>
      </c>
      <c r="F86" s="441" t="s">
        <v>16237</v>
      </c>
      <c r="G86" s="441" t="s">
        <v>16679</v>
      </c>
      <c r="H86" s="441" t="str">
        <f>IFERROR(VLOOKUP(F86,[1]Releases!$A$7:$D$102,4,FALSE),"")</f>
        <v>Plex Smart Manufacturing</v>
      </c>
      <c r="I86" s="441" t="s">
        <v>14992</v>
      </c>
      <c r="J86" s="441" t="s">
        <v>16857</v>
      </c>
      <c r="K86" s="441" t="s">
        <v>16863</v>
      </c>
    </row>
    <row r="87" spans="1:11" x14ac:dyDescent="0.3">
      <c r="A87" s="440" t="str">
        <f t="shared" si="2"/>
        <v>Dec 2026</v>
      </c>
      <c r="B87" s="441">
        <v>1</v>
      </c>
      <c r="C87" s="442">
        <v>46357</v>
      </c>
      <c r="D87" s="441" t="s">
        <v>16875</v>
      </c>
      <c r="E87" s="441" t="s">
        <v>16853</v>
      </c>
      <c r="F87" s="441" t="s">
        <v>16239</v>
      </c>
      <c r="G87" s="441" t="s">
        <v>16945</v>
      </c>
      <c r="H87" s="441" t="str">
        <f>IFERROR(VLOOKUP(F87,[1]Releases!$A$7:$D$102,4,FALSE),"")</f>
        <v>Dynatrace</v>
      </c>
      <c r="I87" s="441" t="s">
        <v>14991</v>
      </c>
      <c r="J87" s="441" t="s">
        <v>1128</v>
      </c>
      <c r="K87" s="441" t="s">
        <v>16946</v>
      </c>
    </row>
    <row r="88" spans="1:11" x14ac:dyDescent="0.3">
      <c r="A88" s="440" t="str">
        <f t="shared" si="2"/>
        <v>Dec 2026</v>
      </c>
      <c r="B88" s="441">
        <v>1</v>
      </c>
      <c r="C88" s="442">
        <v>46360</v>
      </c>
      <c r="D88" s="441" t="s">
        <v>14599</v>
      </c>
      <c r="E88" s="441" t="s">
        <v>16856</v>
      </c>
      <c r="F88" s="441" t="s">
        <v>16239</v>
      </c>
      <c r="G88" s="441" t="s">
        <v>16680</v>
      </c>
      <c r="H88" s="441" t="str">
        <f>IFERROR(VLOOKUP(F88,[1]Releases!$A$7:$D$102,4,FALSE),"")</f>
        <v>Dynatrace</v>
      </c>
      <c r="I88" s="441" t="s">
        <v>14991</v>
      </c>
      <c r="J88" s="441" t="s">
        <v>16895</v>
      </c>
      <c r="K88" s="441" t="s">
        <v>16867</v>
      </c>
    </row>
    <row r="89" spans="1:11" x14ac:dyDescent="0.3">
      <c r="A89" s="440" t="str">
        <f t="shared" si="2"/>
        <v>Dec 2026</v>
      </c>
      <c r="B89" s="441">
        <v>1</v>
      </c>
      <c r="C89" s="442">
        <v>46362</v>
      </c>
      <c r="D89" s="441" t="s">
        <v>16874</v>
      </c>
      <c r="E89" s="441" t="s">
        <v>16853</v>
      </c>
      <c r="F89" s="441" t="s">
        <v>16243</v>
      </c>
      <c r="G89" s="441" t="s">
        <v>16947</v>
      </c>
      <c r="H89" s="441" t="str">
        <f>IFERROR(VLOOKUP(F89,[1]Releases!$A$7:$D$102,4,FALSE),"")</f>
        <v>SAP SuccessFactors</v>
      </c>
      <c r="I89" s="441" t="s">
        <v>1159</v>
      </c>
      <c r="J89" s="441" t="s">
        <v>1122</v>
      </c>
      <c r="K89" s="441" t="s">
        <v>16948</v>
      </c>
    </row>
    <row r="90" spans="1:11" x14ac:dyDescent="0.3">
      <c r="A90" s="440" t="str">
        <f t="shared" si="2"/>
        <v>Dec 2026</v>
      </c>
      <c r="B90" s="441">
        <v>2</v>
      </c>
      <c r="C90" s="442">
        <v>46364</v>
      </c>
      <c r="D90" s="441" t="s">
        <v>16875</v>
      </c>
      <c r="E90" s="441" t="s">
        <v>16856</v>
      </c>
      <c r="F90" s="441" t="s">
        <v>16243</v>
      </c>
      <c r="G90" s="441" t="s">
        <v>16682</v>
      </c>
      <c r="H90" s="441" t="str">
        <f>IFERROR(VLOOKUP(F90,[1]Releases!$A$7:$D$102,4,FALSE),"")</f>
        <v>SAP SuccessFactors</v>
      </c>
      <c r="I90" s="441" t="s">
        <v>1159</v>
      </c>
      <c r="J90" s="441" t="s">
        <v>16857</v>
      </c>
      <c r="K90" s="441" t="s">
        <v>16863</v>
      </c>
    </row>
    <row r="91" spans="1:11" x14ac:dyDescent="0.3">
      <c r="A91" s="440" t="str">
        <f t="shared" si="2"/>
        <v>Dec 2026</v>
      </c>
      <c r="B91" s="441">
        <v>2</v>
      </c>
      <c r="C91" s="442">
        <v>46365</v>
      </c>
      <c r="D91" s="441" t="s">
        <v>16878</v>
      </c>
      <c r="E91" s="441" t="s">
        <v>16853</v>
      </c>
      <c r="F91" s="441" t="s">
        <v>16246</v>
      </c>
      <c r="G91" s="441" t="s">
        <v>16949</v>
      </c>
      <c r="H91" s="441" t="str">
        <f>IFERROR(VLOOKUP(F91,[1]Releases!$A$7:$D$102,4,FALSE),"")</f>
        <v>Agiloft CLM</v>
      </c>
      <c r="I91" s="441" t="s">
        <v>14990</v>
      </c>
      <c r="J91" s="441" t="s">
        <v>1128</v>
      </c>
      <c r="K91" s="441" t="s">
        <v>16950</v>
      </c>
    </row>
    <row r="92" spans="1:11" x14ac:dyDescent="0.3">
      <c r="A92" s="440" t="str">
        <f t="shared" si="2"/>
        <v>Dec 2026</v>
      </c>
      <c r="B92" s="441">
        <v>2</v>
      </c>
      <c r="C92" s="442">
        <v>46368</v>
      </c>
      <c r="D92" s="441" t="s">
        <v>16882</v>
      </c>
      <c r="E92" s="441" t="s">
        <v>16856</v>
      </c>
      <c r="F92" s="441" t="s">
        <v>16246</v>
      </c>
      <c r="G92" s="441" t="s">
        <v>16684</v>
      </c>
      <c r="H92" s="441" t="str">
        <f>IFERROR(VLOOKUP(F92,[1]Releases!$A$7:$D$102,4,FALSE),"")</f>
        <v>Agiloft CLM</v>
      </c>
      <c r="I92" s="441" t="s">
        <v>14990</v>
      </c>
      <c r="J92" s="441" t="s">
        <v>16895</v>
      </c>
      <c r="K92" s="441" t="s">
        <v>16867</v>
      </c>
    </row>
    <row r="93" spans="1:11" x14ac:dyDescent="0.3">
      <c r="A93" s="440" t="str">
        <f t="shared" si="2"/>
        <v>Dec 2026</v>
      </c>
      <c r="B93" s="441">
        <v>2</v>
      </c>
      <c r="C93" s="442">
        <v>46369</v>
      </c>
      <c r="D93" s="441" t="s">
        <v>16874</v>
      </c>
      <c r="E93" s="441" t="s">
        <v>16951</v>
      </c>
      <c r="F93" s="441" t="s">
        <v>16952</v>
      </c>
      <c r="G93" s="441" t="s">
        <v>16953</v>
      </c>
      <c r="H93" s="441" t="str">
        <f>IFERROR(VLOOKUP(F93,[1]Releases!$A$7:$D$102,4,FALSE),"")</f>
        <v/>
      </c>
      <c r="I93" s="441" t="s">
        <v>16954</v>
      </c>
      <c r="J93" s="441" t="s">
        <v>14588</v>
      </c>
      <c r="K93" s="441" t="s">
        <v>16955</v>
      </c>
    </row>
    <row r="94" spans="1:11" x14ac:dyDescent="0.3">
      <c r="A94" s="440" t="str">
        <f t="shared" si="2"/>
        <v>Dec 2026</v>
      </c>
      <c r="B94" s="441">
        <v>2</v>
      </c>
      <c r="C94" s="442">
        <v>46370</v>
      </c>
      <c r="D94" s="441" t="s">
        <v>16886</v>
      </c>
      <c r="E94" s="441" t="s">
        <v>16853</v>
      </c>
      <c r="F94" s="441" t="s">
        <v>16250</v>
      </c>
      <c r="G94" s="441" t="s">
        <v>16956</v>
      </c>
      <c r="H94" s="441" t="str">
        <f>IFERROR(VLOOKUP(F94,[1]Releases!$A$7:$D$102,4,FALSE),"")</f>
        <v>Palo Alto Cortex XDR</v>
      </c>
      <c r="I94" s="441" t="s">
        <v>152</v>
      </c>
      <c r="J94" s="441" t="s">
        <v>1122</v>
      </c>
      <c r="K94" s="441" t="s">
        <v>16957</v>
      </c>
    </row>
    <row r="95" spans="1:11" x14ac:dyDescent="0.3">
      <c r="A95" s="440" t="str">
        <f t="shared" si="2"/>
        <v>Dec 2026</v>
      </c>
      <c r="B95" s="441">
        <v>3</v>
      </c>
      <c r="C95" s="442">
        <v>46372</v>
      </c>
      <c r="D95" s="441" t="s">
        <v>16878</v>
      </c>
      <c r="E95" s="441" t="s">
        <v>16907</v>
      </c>
      <c r="F95" s="441" t="s">
        <v>16250</v>
      </c>
      <c r="G95" s="441" t="s">
        <v>16687</v>
      </c>
      <c r="H95" s="441" t="str">
        <f>IFERROR(VLOOKUP(F95,[1]Releases!$A$7:$D$102,4,FALSE),"")</f>
        <v>Palo Alto Cortex XDR</v>
      </c>
      <c r="I95" s="441" t="s">
        <v>152</v>
      </c>
      <c r="J95" s="441" t="s">
        <v>16857</v>
      </c>
      <c r="K95" s="441" t="s">
        <v>16632</v>
      </c>
    </row>
    <row r="96" spans="1:11" x14ac:dyDescent="0.3">
      <c r="A96" s="440" t="str">
        <f t="shared" si="2"/>
        <v>Dec 2026</v>
      </c>
      <c r="B96" s="441">
        <v>3</v>
      </c>
      <c r="C96" s="442">
        <v>46374</v>
      </c>
      <c r="D96" s="441" t="s">
        <v>14599</v>
      </c>
      <c r="E96" s="441" t="s">
        <v>16853</v>
      </c>
      <c r="F96" s="441" t="s">
        <v>16253</v>
      </c>
      <c r="G96" s="441" t="s">
        <v>16958</v>
      </c>
      <c r="H96" s="441" t="str">
        <f>IFERROR(VLOOKUP(F96,[1]Releases!$A$7:$D$102,4,FALSE),"")</f>
        <v>Anaplan</v>
      </c>
      <c r="I96" s="441" t="s">
        <v>1158</v>
      </c>
      <c r="J96" s="441" t="s">
        <v>1122</v>
      </c>
      <c r="K96" s="441" t="s">
        <v>16959</v>
      </c>
    </row>
    <row r="97" spans="1:11" x14ac:dyDescent="0.3">
      <c r="A97" s="440" t="str">
        <f t="shared" si="2"/>
        <v>Dec 2026</v>
      </c>
      <c r="B97" s="441">
        <v>3</v>
      </c>
      <c r="C97" s="442">
        <v>46376</v>
      </c>
      <c r="D97" s="441" t="s">
        <v>16874</v>
      </c>
      <c r="E97" s="441" t="s">
        <v>16856</v>
      </c>
      <c r="F97" s="441" t="s">
        <v>16253</v>
      </c>
      <c r="G97" s="441" t="s">
        <v>16689</v>
      </c>
      <c r="H97" s="441" t="str">
        <f>IFERROR(VLOOKUP(F97,[1]Releases!$A$7:$D$102,4,FALSE),"")</f>
        <v>Anaplan</v>
      </c>
      <c r="I97" s="441" t="s">
        <v>1158</v>
      </c>
      <c r="J97" s="441" t="s">
        <v>16857</v>
      </c>
      <c r="K97" s="441" t="s">
        <v>16960</v>
      </c>
    </row>
    <row r="98" spans="1:11" x14ac:dyDescent="0.3">
      <c r="A98" s="440" t="str">
        <f t="shared" si="2"/>
        <v>Dec 2026</v>
      </c>
      <c r="B98" s="441">
        <v>3</v>
      </c>
      <c r="C98" s="442">
        <v>46377</v>
      </c>
      <c r="D98" s="441" t="s">
        <v>16886</v>
      </c>
      <c r="E98" s="441" t="s">
        <v>16853</v>
      </c>
      <c r="F98" s="441" t="s">
        <v>16259</v>
      </c>
      <c r="G98" s="441" t="s">
        <v>16961</v>
      </c>
      <c r="H98" s="441" t="str">
        <f>IFERROR(VLOOKUP(F98,[1]Releases!$A$7:$D$102,4,FALSE),"")</f>
        <v>Microsoft Dynamics 365 CRM</v>
      </c>
      <c r="I98" s="441" t="s">
        <v>14993</v>
      </c>
      <c r="J98" s="441" t="s">
        <v>1125</v>
      </c>
      <c r="K98" s="441" t="s">
        <v>16962</v>
      </c>
    </row>
    <row r="99" spans="1:11" x14ac:dyDescent="0.3">
      <c r="A99" s="440" t="str">
        <f t="shared" si="2"/>
        <v>Dec 2026</v>
      </c>
      <c r="B99" s="441">
        <v>4</v>
      </c>
      <c r="C99" s="442">
        <v>46378</v>
      </c>
      <c r="D99" s="441" t="s">
        <v>16875</v>
      </c>
      <c r="E99" s="441" t="s">
        <v>16853</v>
      </c>
      <c r="F99" s="441" t="s">
        <v>16257</v>
      </c>
      <c r="G99" s="441" t="s">
        <v>16963</v>
      </c>
      <c r="H99" s="441" t="str">
        <f>IFERROR(VLOOKUP(F99,[1]Releases!$A$7:$D$102,4,FALSE),"")</f>
        <v>Oracle Transportation Management</v>
      </c>
      <c r="I99" s="441" t="s">
        <v>14994</v>
      </c>
      <c r="J99" s="441" t="s">
        <v>1125</v>
      </c>
      <c r="K99" s="441" t="s">
        <v>16964</v>
      </c>
    </row>
    <row r="100" spans="1:11" x14ac:dyDescent="0.3">
      <c r="A100" s="440" t="str">
        <f t="shared" si="2"/>
        <v>Dec 2026</v>
      </c>
      <c r="B100" s="441">
        <v>4</v>
      </c>
      <c r="C100" s="442">
        <v>46379</v>
      </c>
      <c r="D100" s="441" t="s">
        <v>16878</v>
      </c>
      <c r="E100" s="441" t="s">
        <v>16856</v>
      </c>
      <c r="F100" s="441" t="s">
        <v>16259</v>
      </c>
      <c r="G100" s="441" t="s">
        <v>16694</v>
      </c>
      <c r="H100" s="441" t="str">
        <f>IFERROR(VLOOKUP(F100,[1]Releases!$A$7:$D$102,4,FALSE),"")</f>
        <v>Microsoft Dynamics 365 CRM</v>
      </c>
      <c r="I100" s="441" t="s">
        <v>14993</v>
      </c>
      <c r="J100" s="441" t="s">
        <v>16926</v>
      </c>
      <c r="K100" s="441" t="s">
        <v>16965</v>
      </c>
    </row>
    <row r="101" spans="1:11" x14ac:dyDescent="0.3">
      <c r="A101" s="440" t="str">
        <f t="shared" si="2"/>
        <v>Dec 2026</v>
      </c>
      <c r="B101" s="441">
        <v>4</v>
      </c>
      <c r="C101" s="442">
        <v>46380</v>
      </c>
      <c r="D101" s="441" t="s">
        <v>16881</v>
      </c>
      <c r="E101" s="441" t="s">
        <v>16966</v>
      </c>
      <c r="F101" s="441" t="s">
        <v>16257</v>
      </c>
      <c r="G101" s="441" t="s">
        <v>16692</v>
      </c>
      <c r="H101" s="441" t="str">
        <f>IFERROR(VLOOKUP(F101,[1]Releases!$A$7:$D$102,4,FALSE),"")</f>
        <v>Oracle Transportation Management</v>
      </c>
      <c r="I101" s="441" t="s">
        <v>14994</v>
      </c>
      <c r="J101" s="441" t="s">
        <v>16926</v>
      </c>
      <c r="K101" s="441" t="s">
        <v>16693</v>
      </c>
    </row>
    <row r="102" spans="1:11" x14ac:dyDescent="0.3">
      <c r="A102" s="440" t="str">
        <f t="shared" si="2"/>
        <v>Dec 2026</v>
      </c>
      <c r="B102" s="441">
        <v>5</v>
      </c>
      <c r="C102" s="442">
        <v>46387</v>
      </c>
      <c r="D102" s="441" t="s">
        <v>16881</v>
      </c>
      <c r="E102" s="441" t="s">
        <v>16951</v>
      </c>
      <c r="F102" s="441" t="s">
        <v>16952</v>
      </c>
      <c r="G102" s="441" t="s">
        <v>16967</v>
      </c>
      <c r="H102" s="441" t="str">
        <f>IFERROR(VLOOKUP(F102,[1]Releases!$A$7:$D$102,4,FALSE),"")</f>
        <v/>
      </c>
      <c r="I102" s="441" t="s">
        <v>16954</v>
      </c>
      <c r="J102" s="441" t="s">
        <v>14588</v>
      </c>
      <c r="K102" s="441" t="s">
        <v>16955</v>
      </c>
    </row>
    <row r="103" spans="1:11" x14ac:dyDescent="0.3">
      <c r="A103" s="440" t="str">
        <f t="shared" si="2"/>
        <v>Jan 2027</v>
      </c>
      <c r="B103" s="441">
        <v>1</v>
      </c>
      <c r="C103" s="442">
        <v>46389</v>
      </c>
      <c r="D103" s="441" t="s">
        <v>16882</v>
      </c>
      <c r="E103" s="441" t="s">
        <v>16853</v>
      </c>
      <c r="F103" s="441" t="s">
        <v>16262</v>
      </c>
      <c r="G103" s="441" t="s">
        <v>16968</v>
      </c>
      <c r="H103" s="441" t="str">
        <f>IFERROR(VLOOKUP(F103,[1]Releases!$A$7:$D$102,4,FALSE),"")</f>
        <v>Siemens Opcenter</v>
      </c>
      <c r="I103" s="441" t="s">
        <v>14992</v>
      </c>
      <c r="J103" s="441" t="s">
        <v>1125</v>
      </c>
      <c r="K103" s="441" t="s">
        <v>16969</v>
      </c>
    </row>
    <row r="104" spans="1:11" x14ac:dyDescent="0.3">
      <c r="A104" s="440" t="str">
        <f t="shared" si="2"/>
        <v>Jan 2027</v>
      </c>
      <c r="B104" s="441">
        <v>1</v>
      </c>
      <c r="C104" s="442">
        <v>46391</v>
      </c>
      <c r="D104" s="441" t="s">
        <v>16886</v>
      </c>
      <c r="E104" s="441" t="s">
        <v>16856</v>
      </c>
      <c r="F104" s="441" t="s">
        <v>16262</v>
      </c>
      <c r="G104" s="441" t="s">
        <v>16696</v>
      </c>
      <c r="H104" s="441" t="str">
        <f>IFERROR(VLOOKUP(F104,[1]Releases!$A$7:$D$102,4,FALSE),"")</f>
        <v>Siemens Opcenter</v>
      </c>
      <c r="I104" s="441" t="s">
        <v>14992</v>
      </c>
      <c r="J104" s="441" t="s">
        <v>16866</v>
      </c>
      <c r="K104" s="441" t="s">
        <v>16970</v>
      </c>
    </row>
    <row r="105" spans="1:11" x14ac:dyDescent="0.3">
      <c r="A105" s="440" t="str">
        <f t="shared" si="2"/>
        <v>Jan 2027</v>
      </c>
      <c r="B105" s="441">
        <v>1</v>
      </c>
      <c r="C105" s="442">
        <v>46392</v>
      </c>
      <c r="D105" s="441" t="s">
        <v>16875</v>
      </c>
      <c r="E105" s="441" t="s">
        <v>16853</v>
      </c>
      <c r="F105" s="441" t="s">
        <v>16266</v>
      </c>
      <c r="G105" s="441" t="s">
        <v>16971</v>
      </c>
      <c r="H105" s="441" t="str">
        <f>IFERROR(VLOOKUP(F105,[1]Releases!$A$7:$D$102,4,FALSE),"")</f>
        <v>Splunk Enterprise</v>
      </c>
      <c r="I105" s="441" t="s">
        <v>14991</v>
      </c>
      <c r="J105" s="441" t="s">
        <v>1128</v>
      </c>
      <c r="K105" s="441" t="s">
        <v>16972</v>
      </c>
    </row>
    <row r="106" spans="1:11" x14ac:dyDescent="0.3">
      <c r="A106" s="440" t="str">
        <f t="shared" si="2"/>
        <v>Jan 2027</v>
      </c>
      <c r="B106" s="441">
        <v>2</v>
      </c>
      <c r="C106" s="442">
        <v>46395</v>
      </c>
      <c r="D106" s="441" t="s">
        <v>14599</v>
      </c>
      <c r="E106" s="441" t="s">
        <v>16856</v>
      </c>
      <c r="F106" s="441" t="s">
        <v>16266</v>
      </c>
      <c r="G106" s="441" t="s">
        <v>16698</v>
      </c>
      <c r="H106" s="441" t="str">
        <f>IFERROR(VLOOKUP(F106,[1]Releases!$A$7:$D$102,4,FALSE),"")</f>
        <v>Splunk Enterprise</v>
      </c>
      <c r="I106" s="441" t="s">
        <v>14991</v>
      </c>
      <c r="J106" s="441" t="s">
        <v>16895</v>
      </c>
      <c r="K106" s="441" t="s">
        <v>16867</v>
      </c>
    </row>
    <row r="107" spans="1:11" x14ac:dyDescent="0.3">
      <c r="A107" s="440" t="str">
        <f t="shared" si="2"/>
        <v>Jan 2027</v>
      </c>
      <c r="B107" s="441">
        <v>2</v>
      </c>
      <c r="C107" s="442">
        <v>46397</v>
      </c>
      <c r="D107" s="441" t="s">
        <v>16874</v>
      </c>
      <c r="E107" s="441" t="s">
        <v>16853</v>
      </c>
      <c r="F107" s="441" t="s">
        <v>16268</v>
      </c>
      <c r="G107" s="441" t="s">
        <v>16973</v>
      </c>
      <c r="H107" s="441" t="str">
        <f>IFERROR(VLOOKUP(F107,[1]Releases!$A$7:$D$102,4,FALSE),"")</f>
        <v>SAP SuccessFactors</v>
      </c>
      <c r="I107" s="441" t="s">
        <v>1159</v>
      </c>
      <c r="J107" s="441" t="s">
        <v>1122</v>
      </c>
      <c r="K107" s="441" t="s">
        <v>16974</v>
      </c>
    </row>
    <row r="108" spans="1:11" x14ac:dyDescent="0.3">
      <c r="A108" s="440" t="str">
        <f t="shared" si="2"/>
        <v>Jan 2027</v>
      </c>
      <c r="B108" s="441">
        <v>2</v>
      </c>
      <c r="C108" s="442">
        <v>46399</v>
      </c>
      <c r="D108" s="441" t="s">
        <v>16875</v>
      </c>
      <c r="E108" s="441" t="s">
        <v>16856</v>
      </c>
      <c r="F108" s="441" t="s">
        <v>16268</v>
      </c>
      <c r="G108" s="441" t="s">
        <v>16700</v>
      </c>
      <c r="H108" s="441" t="str">
        <f>IFERROR(VLOOKUP(F108,[1]Releases!$A$7:$D$102,4,FALSE),"")</f>
        <v>SAP SuccessFactors</v>
      </c>
      <c r="I108" s="441" t="s">
        <v>1159</v>
      </c>
      <c r="J108" s="441" t="s">
        <v>16857</v>
      </c>
      <c r="K108" s="441" t="s">
        <v>16863</v>
      </c>
    </row>
    <row r="109" spans="1:11" x14ac:dyDescent="0.3">
      <c r="A109" s="440" t="str">
        <f t="shared" si="2"/>
        <v>Jan 2027</v>
      </c>
      <c r="B109" s="441">
        <v>2</v>
      </c>
      <c r="C109" s="442">
        <v>46401</v>
      </c>
      <c r="D109" s="441" t="s">
        <v>16881</v>
      </c>
      <c r="E109" s="441" t="s">
        <v>16853</v>
      </c>
      <c r="F109" s="441" t="s">
        <v>16271</v>
      </c>
      <c r="G109" s="441" t="s">
        <v>16975</v>
      </c>
      <c r="H109" s="441" t="str">
        <f>IFERROR(VLOOKUP(F109,[1]Releases!$A$7:$D$102,4,FALSE),"")</f>
        <v>DocuSign CLM</v>
      </c>
      <c r="I109" s="441" t="s">
        <v>14990</v>
      </c>
      <c r="J109" s="441" t="s">
        <v>1125</v>
      </c>
      <c r="K109" s="441" t="s">
        <v>16976</v>
      </c>
    </row>
    <row r="110" spans="1:11" x14ac:dyDescent="0.3">
      <c r="A110" s="440" t="str">
        <f t="shared" si="2"/>
        <v>Jan 2027</v>
      </c>
      <c r="B110" s="441">
        <v>3</v>
      </c>
      <c r="C110" s="442">
        <v>46403</v>
      </c>
      <c r="D110" s="441" t="s">
        <v>16882</v>
      </c>
      <c r="E110" s="441" t="s">
        <v>16856</v>
      </c>
      <c r="F110" s="441" t="s">
        <v>16271</v>
      </c>
      <c r="G110" s="441" t="s">
        <v>16702</v>
      </c>
      <c r="H110" s="441" t="str">
        <f>IFERROR(VLOOKUP(F110,[1]Releases!$A$7:$D$102,4,FALSE),"")</f>
        <v>DocuSign CLM</v>
      </c>
      <c r="I110" s="441" t="s">
        <v>14990</v>
      </c>
      <c r="J110" s="441" t="s">
        <v>16926</v>
      </c>
      <c r="K110" s="441" t="s">
        <v>16871</v>
      </c>
    </row>
    <row r="111" spans="1:11" x14ac:dyDescent="0.3">
      <c r="A111" s="440" t="str">
        <f t="shared" si="2"/>
        <v>Jan 2027</v>
      </c>
      <c r="B111" s="441">
        <v>3</v>
      </c>
      <c r="C111" s="442">
        <v>46405</v>
      </c>
      <c r="D111" s="441" t="s">
        <v>16886</v>
      </c>
      <c r="E111" s="441" t="s">
        <v>16853</v>
      </c>
      <c r="F111" s="441" t="s">
        <v>16273</v>
      </c>
      <c r="G111" s="441" t="s">
        <v>16977</v>
      </c>
      <c r="H111" s="441" t="str">
        <f>IFERROR(VLOOKUP(F111,[1]Releases!$A$7:$D$102,4,FALSE),"")</f>
        <v>Okta Identity Cloud</v>
      </c>
      <c r="I111" s="441" t="s">
        <v>152</v>
      </c>
      <c r="J111" s="441" t="s">
        <v>1122</v>
      </c>
      <c r="K111" s="441" t="s">
        <v>16978</v>
      </c>
    </row>
    <row r="112" spans="1:11" x14ac:dyDescent="0.3">
      <c r="A112" s="440" t="str">
        <f t="shared" si="2"/>
        <v>Jan 2027</v>
      </c>
      <c r="B112" s="441">
        <v>3</v>
      </c>
      <c r="C112" s="442">
        <v>46407</v>
      </c>
      <c r="D112" s="441" t="s">
        <v>16878</v>
      </c>
      <c r="E112" s="441" t="s">
        <v>16856</v>
      </c>
      <c r="F112" s="441" t="s">
        <v>16273</v>
      </c>
      <c r="G112" s="441" t="s">
        <v>16703</v>
      </c>
      <c r="H112" s="441" t="str">
        <f>IFERROR(VLOOKUP(F112,[1]Releases!$A$7:$D$102,4,FALSE),"")</f>
        <v>Okta Identity Cloud</v>
      </c>
      <c r="I112" s="441" t="s">
        <v>152</v>
      </c>
      <c r="J112" s="441" t="s">
        <v>16857</v>
      </c>
      <c r="K112" s="441" t="s">
        <v>16863</v>
      </c>
    </row>
    <row r="113" spans="1:11" x14ac:dyDescent="0.3">
      <c r="A113" s="440" t="str">
        <f t="shared" si="2"/>
        <v>Jan 2027</v>
      </c>
      <c r="B113" s="441">
        <v>4</v>
      </c>
      <c r="C113" s="442">
        <v>46409</v>
      </c>
      <c r="D113" s="441" t="s">
        <v>14599</v>
      </c>
      <c r="E113" s="441" t="s">
        <v>16853</v>
      </c>
      <c r="F113" s="441" t="s">
        <v>16277</v>
      </c>
      <c r="G113" s="441" t="s">
        <v>16979</v>
      </c>
      <c r="H113" s="441" t="str">
        <f>IFERROR(VLOOKUP(F113,[1]Releases!$A$7:$D$102,4,FALSE),"")</f>
        <v>Anaplan</v>
      </c>
      <c r="I113" s="441" t="s">
        <v>1158</v>
      </c>
      <c r="J113" s="441" t="s">
        <v>1122</v>
      </c>
      <c r="K113" s="441" t="s">
        <v>16980</v>
      </c>
    </row>
    <row r="114" spans="1:11" x14ac:dyDescent="0.3">
      <c r="A114" s="440" t="str">
        <f t="shared" si="2"/>
        <v>Jan 2027</v>
      </c>
      <c r="B114" s="441">
        <v>4</v>
      </c>
      <c r="C114" s="442">
        <v>46411</v>
      </c>
      <c r="D114" s="441" t="s">
        <v>16874</v>
      </c>
      <c r="E114" s="441" t="s">
        <v>16907</v>
      </c>
      <c r="F114" s="441" t="s">
        <v>16277</v>
      </c>
      <c r="G114" s="441" t="s">
        <v>16704</v>
      </c>
      <c r="H114" s="441" t="str">
        <f>IFERROR(VLOOKUP(F114,[1]Releases!$A$7:$D$102,4,FALSE),"")</f>
        <v>Anaplan</v>
      </c>
      <c r="I114" s="441" t="s">
        <v>1158</v>
      </c>
      <c r="J114" s="441" t="s">
        <v>16857</v>
      </c>
      <c r="K114" s="441" t="s">
        <v>16657</v>
      </c>
    </row>
    <row r="115" spans="1:11" x14ac:dyDescent="0.3">
      <c r="A115" s="440" t="str">
        <f t="shared" si="2"/>
        <v>Jan 2027</v>
      </c>
      <c r="B115" s="441">
        <v>5</v>
      </c>
      <c r="C115" s="442">
        <v>46416</v>
      </c>
      <c r="D115" s="441" t="s">
        <v>14599</v>
      </c>
      <c r="E115" s="441" t="s">
        <v>16853</v>
      </c>
      <c r="F115" s="441" t="s">
        <v>16280</v>
      </c>
      <c r="G115" s="441" t="s">
        <v>16981</v>
      </c>
      <c r="H115" s="441" t="str">
        <f>IFERROR(VLOOKUP(F115,[1]Releases!$A$7:$D$102,4,FALSE),"")</f>
        <v>Blue Yonder WMS</v>
      </c>
      <c r="I115" s="441" t="s">
        <v>14994</v>
      </c>
      <c r="J115" s="441" t="s">
        <v>1122</v>
      </c>
      <c r="K115" s="441" t="s">
        <v>16982</v>
      </c>
    </row>
    <row r="116" spans="1:11" x14ac:dyDescent="0.3">
      <c r="A116" s="440" t="str">
        <f t="shared" si="2"/>
        <v>Jan 2027</v>
      </c>
      <c r="B116" s="441">
        <v>5</v>
      </c>
      <c r="C116" s="442">
        <v>46418</v>
      </c>
      <c r="D116" s="441" t="s">
        <v>16874</v>
      </c>
      <c r="E116" s="441" t="s">
        <v>16856</v>
      </c>
      <c r="F116" s="441" t="s">
        <v>16280</v>
      </c>
      <c r="G116" s="441" t="s">
        <v>16707</v>
      </c>
      <c r="H116" s="441" t="str">
        <f>IFERROR(VLOOKUP(F116,[1]Releases!$A$7:$D$102,4,FALSE),"")</f>
        <v>Blue Yonder WMS</v>
      </c>
      <c r="I116" s="441" t="s">
        <v>14994</v>
      </c>
      <c r="J116" s="441" t="s">
        <v>16857</v>
      </c>
      <c r="K116" s="441" t="s">
        <v>16863</v>
      </c>
    </row>
    <row r="117" spans="1:11" x14ac:dyDescent="0.3">
      <c r="A117" s="440" t="str">
        <f t="shared" si="2"/>
        <v>Feb 2027</v>
      </c>
      <c r="B117" s="441">
        <v>1</v>
      </c>
      <c r="C117" s="442">
        <v>46420</v>
      </c>
      <c r="D117" s="441" t="s">
        <v>16875</v>
      </c>
      <c r="E117" s="441" t="s">
        <v>16853</v>
      </c>
      <c r="F117" s="441" t="s">
        <v>16282</v>
      </c>
      <c r="G117" s="441" t="s">
        <v>16983</v>
      </c>
      <c r="H117" s="441" t="str">
        <f>IFERROR(VLOOKUP(F117,[1]Releases!$A$7:$D$102,4,FALSE),"")</f>
        <v>HubSpot CRM</v>
      </c>
      <c r="I117" s="441" t="s">
        <v>14993</v>
      </c>
      <c r="J117" s="441" t="s">
        <v>1125</v>
      </c>
      <c r="K117" s="441" t="s">
        <v>16984</v>
      </c>
    </row>
    <row r="118" spans="1:11" x14ac:dyDescent="0.3">
      <c r="A118" s="440" t="str">
        <f t="shared" si="2"/>
        <v>Feb 2027</v>
      </c>
      <c r="B118" s="441">
        <v>1</v>
      </c>
      <c r="C118" s="442">
        <v>46422</v>
      </c>
      <c r="D118" s="441" t="s">
        <v>16881</v>
      </c>
      <c r="E118" s="441" t="s">
        <v>16856</v>
      </c>
      <c r="F118" s="441" t="s">
        <v>16282</v>
      </c>
      <c r="G118" s="441" t="s">
        <v>16709</v>
      </c>
      <c r="H118" s="441" t="str">
        <f>IFERROR(VLOOKUP(F118,[1]Releases!$A$7:$D$102,4,FALSE),"")</f>
        <v>HubSpot CRM</v>
      </c>
      <c r="I118" s="441" t="s">
        <v>14993</v>
      </c>
      <c r="J118" s="441" t="s">
        <v>16926</v>
      </c>
      <c r="K118" s="441" t="s">
        <v>16871</v>
      </c>
    </row>
    <row r="119" spans="1:11" x14ac:dyDescent="0.3">
      <c r="A119" s="440" t="str">
        <f t="shared" si="2"/>
        <v>Feb 2027</v>
      </c>
      <c r="B119" s="441">
        <v>1</v>
      </c>
      <c r="C119" s="442">
        <v>46424</v>
      </c>
      <c r="D119" s="441" t="s">
        <v>16882</v>
      </c>
      <c r="E119" s="441" t="s">
        <v>16853</v>
      </c>
      <c r="F119" s="441" t="s">
        <v>16286</v>
      </c>
      <c r="G119" s="441" t="s">
        <v>16985</v>
      </c>
      <c r="H119" s="441" t="str">
        <f>IFERROR(VLOOKUP(F119,[1]Releases!$A$7:$D$102,4,FALSE),"")</f>
        <v>SAP S/4HANA Manufacturing</v>
      </c>
      <c r="I119" s="441" t="s">
        <v>14992</v>
      </c>
      <c r="J119" s="441" t="s">
        <v>1122</v>
      </c>
      <c r="K119" s="441" t="s">
        <v>16986</v>
      </c>
    </row>
    <row r="120" spans="1:11" x14ac:dyDescent="0.3">
      <c r="A120" s="440" t="str">
        <f t="shared" si="2"/>
        <v>Feb 2027</v>
      </c>
      <c r="B120" s="441">
        <v>2</v>
      </c>
      <c r="C120" s="442">
        <v>46426</v>
      </c>
      <c r="D120" s="441" t="s">
        <v>16886</v>
      </c>
      <c r="E120" s="441" t="s">
        <v>16856</v>
      </c>
      <c r="F120" s="441" t="s">
        <v>16286</v>
      </c>
      <c r="G120" s="441" t="s">
        <v>16711</v>
      </c>
      <c r="H120" s="441" t="str">
        <f>IFERROR(VLOOKUP(F120,[1]Releases!$A$7:$D$102,4,FALSE),"")</f>
        <v>SAP S/4HANA Manufacturing</v>
      </c>
      <c r="I120" s="441" t="s">
        <v>14992</v>
      </c>
      <c r="J120" s="441" t="s">
        <v>16857</v>
      </c>
      <c r="K120" s="441" t="s">
        <v>16863</v>
      </c>
    </row>
    <row r="121" spans="1:11" x14ac:dyDescent="0.3">
      <c r="A121" s="440" t="str">
        <f t="shared" si="2"/>
        <v>Feb 2027</v>
      </c>
      <c r="B121" s="441">
        <v>2</v>
      </c>
      <c r="C121" s="442">
        <v>46427</v>
      </c>
      <c r="D121" s="441" t="s">
        <v>16875</v>
      </c>
      <c r="E121" s="441" t="s">
        <v>16853</v>
      </c>
      <c r="F121" s="441" t="s">
        <v>16288</v>
      </c>
      <c r="G121" s="441" t="s">
        <v>16987</v>
      </c>
      <c r="H121" s="441" t="str">
        <f>IFERROR(VLOOKUP(F121,[1]Releases!$A$7:$D$102,4,FALSE),"")</f>
        <v>Splunk Enterprise</v>
      </c>
      <c r="I121" s="441" t="s">
        <v>14991</v>
      </c>
      <c r="J121" s="441" t="s">
        <v>1128</v>
      </c>
      <c r="K121" s="441" t="s">
        <v>16988</v>
      </c>
    </row>
    <row r="122" spans="1:11" x14ac:dyDescent="0.3">
      <c r="A122" s="440" t="str">
        <f t="shared" si="2"/>
        <v>Feb 2027</v>
      </c>
      <c r="B122" s="441">
        <v>2</v>
      </c>
      <c r="C122" s="442">
        <v>46430</v>
      </c>
      <c r="D122" s="441" t="s">
        <v>14599</v>
      </c>
      <c r="E122" s="441" t="s">
        <v>16856</v>
      </c>
      <c r="F122" s="441" t="s">
        <v>16288</v>
      </c>
      <c r="G122" s="441" t="s">
        <v>16712</v>
      </c>
      <c r="H122" s="441" t="str">
        <f>IFERROR(VLOOKUP(F122,[1]Releases!$A$7:$D$102,4,FALSE),"")</f>
        <v>Splunk Enterprise</v>
      </c>
      <c r="I122" s="441" t="s">
        <v>14991</v>
      </c>
      <c r="J122" s="441" t="s">
        <v>16895</v>
      </c>
      <c r="K122" s="441" t="s">
        <v>16867</v>
      </c>
    </row>
    <row r="123" spans="1:11" x14ac:dyDescent="0.3">
      <c r="A123" s="440" t="str">
        <f t="shared" si="2"/>
        <v>Feb 2027</v>
      </c>
      <c r="B123" s="441">
        <v>2</v>
      </c>
      <c r="C123" s="442">
        <v>46431</v>
      </c>
      <c r="D123" s="441" t="s">
        <v>16882</v>
      </c>
      <c r="E123" s="441" t="s">
        <v>16853</v>
      </c>
      <c r="F123" s="441" t="s">
        <v>16290</v>
      </c>
      <c r="G123" s="441" t="s">
        <v>16989</v>
      </c>
      <c r="H123" s="441" t="str">
        <f>IFERROR(VLOOKUP(F123,[1]Releases!$A$7:$D$102,4,FALSE),"")</f>
        <v>Workday HCM</v>
      </c>
      <c r="I123" s="441" t="s">
        <v>1159</v>
      </c>
      <c r="J123" s="441" t="s">
        <v>1128</v>
      </c>
      <c r="K123" s="441" t="s">
        <v>16990</v>
      </c>
    </row>
    <row r="124" spans="1:11" x14ac:dyDescent="0.3">
      <c r="A124" s="440" t="str">
        <f t="shared" si="2"/>
        <v>Feb 2027</v>
      </c>
      <c r="B124" s="441">
        <v>3</v>
      </c>
      <c r="C124" s="442">
        <v>46434</v>
      </c>
      <c r="D124" s="441" t="s">
        <v>16875</v>
      </c>
      <c r="E124" s="441" t="s">
        <v>16856</v>
      </c>
      <c r="F124" s="441" t="s">
        <v>16290</v>
      </c>
      <c r="G124" s="441" t="s">
        <v>16714</v>
      </c>
      <c r="H124" s="441" t="str">
        <f>IFERROR(VLOOKUP(F124,[1]Releases!$A$7:$D$102,4,FALSE),"")</f>
        <v>Workday HCM</v>
      </c>
      <c r="I124" s="441" t="s">
        <v>1159</v>
      </c>
      <c r="J124" s="441" t="s">
        <v>16895</v>
      </c>
      <c r="K124" s="441" t="s">
        <v>16867</v>
      </c>
    </row>
    <row r="125" spans="1:11" x14ac:dyDescent="0.3">
      <c r="A125" s="440" t="str">
        <f t="shared" si="2"/>
        <v>Feb 2027</v>
      </c>
      <c r="B125" s="441">
        <v>3</v>
      </c>
      <c r="C125" s="442">
        <v>46435</v>
      </c>
      <c r="D125" s="441" t="s">
        <v>16878</v>
      </c>
      <c r="E125" s="441" t="s">
        <v>16853</v>
      </c>
      <c r="F125" s="441" t="s">
        <v>16293</v>
      </c>
      <c r="G125" s="441" t="s">
        <v>16991</v>
      </c>
      <c r="H125" s="441" t="str">
        <f>IFERROR(VLOOKUP(F125,[1]Releases!$A$7:$D$102,4,FALSE),"")</f>
        <v>DocuSign CLM</v>
      </c>
      <c r="I125" s="441" t="s">
        <v>14990</v>
      </c>
      <c r="J125" s="441" t="s">
        <v>1128</v>
      </c>
      <c r="K125" s="441" t="s">
        <v>16992</v>
      </c>
    </row>
    <row r="126" spans="1:11" x14ac:dyDescent="0.3">
      <c r="A126" s="440" t="str">
        <f t="shared" si="2"/>
        <v>Feb 2027</v>
      </c>
      <c r="B126" s="441">
        <v>3</v>
      </c>
      <c r="C126" s="442">
        <v>46438</v>
      </c>
      <c r="D126" s="441" t="s">
        <v>16882</v>
      </c>
      <c r="E126" s="441" t="s">
        <v>16907</v>
      </c>
      <c r="F126" s="441" t="s">
        <v>16293</v>
      </c>
      <c r="G126" s="441" t="s">
        <v>16716</v>
      </c>
      <c r="H126" s="441" t="str">
        <f>IFERROR(VLOOKUP(F126,[1]Releases!$A$7:$D$102,4,FALSE),"")</f>
        <v>DocuSign CLM</v>
      </c>
      <c r="I126" s="441" t="s">
        <v>14990</v>
      </c>
      <c r="J126" s="441" t="s">
        <v>16895</v>
      </c>
      <c r="K126" s="441" t="s">
        <v>16669</v>
      </c>
    </row>
    <row r="127" spans="1:11" x14ac:dyDescent="0.3">
      <c r="A127" s="440" t="str">
        <f t="shared" si="2"/>
        <v>Feb 2027</v>
      </c>
      <c r="B127" s="441">
        <v>4</v>
      </c>
      <c r="C127" s="442">
        <v>46440</v>
      </c>
      <c r="D127" s="441" t="s">
        <v>16886</v>
      </c>
      <c r="E127" s="441" t="s">
        <v>16853</v>
      </c>
      <c r="F127" s="441" t="s">
        <v>16296</v>
      </c>
      <c r="G127" s="441" t="s">
        <v>16993</v>
      </c>
      <c r="H127" s="441" t="str">
        <f>IFERROR(VLOOKUP(F127,[1]Releases!$A$7:$D$102,4,FALSE),"")</f>
        <v>Okta Identity Cloud</v>
      </c>
      <c r="I127" s="441" t="s">
        <v>152</v>
      </c>
      <c r="J127" s="441" t="s">
        <v>1125</v>
      </c>
      <c r="K127" s="441" t="s">
        <v>16994</v>
      </c>
    </row>
    <row r="128" spans="1:11" x14ac:dyDescent="0.3">
      <c r="A128" s="440" t="str">
        <f t="shared" si="2"/>
        <v>Feb 2027</v>
      </c>
      <c r="B128" s="441">
        <v>4</v>
      </c>
      <c r="C128" s="442">
        <v>46442</v>
      </c>
      <c r="D128" s="441" t="s">
        <v>16878</v>
      </c>
      <c r="E128" s="441" t="s">
        <v>16856</v>
      </c>
      <c r="F128" s="441" t="s">
        <v>16296</v>
      </c>
      <c r="G128" s="441" t="s">
        <v>16718</v>
      </c>
      <c r="H128" s="441" t="str">
        <f>IFERROR(VLOOKUP(F128,[1]Releases!$A$7:$D$102,4,FALSE),"")</f>
        <v>Okta Identity Cloud</v>
      </c>
      <c r="I128" s="441" t="s">
        <v>152</v>
      </c>
      <c r="J128" s="441" t="s">
        <v>16926</v>
      </c>
      <c r="K128" s="441" t="s">
        <v>16871</v>
      </c>
    </row>
    <row r="129" spans="1:11" x14ac:dyDescent="0.3">
      <c r="A129" s="440" t="str">
        <f t="shared" si="2"/>
        <v>Feb 2027</v>
      </c>
      <c r="B129" s="441">
        <v>4</v>
      </c>
      <c r="C129" s="442">
        <v>46443</v>
      </c>
      <c r="D129" s="441" t="s">
        <v>16881</v>
      </c>
      <c r="E129" s="441" t="s">
        <v>16853</v>
      </c>
      <c r="F129" s="441" t="s">
        <v>16302</v>
      </c>
      <c r="G129" s="441" t="s">
        <v>16995</v>
      </c>
      <c r="H129" s="441" t="str">
        <f>IFERROR(VLOOKUP(F129,[1]Releases!$A$7:$D$102,4,FALSE),"")</f>
        <v>Manhattan Associates WMS</v>
      </c>
      <c r="I129" s="441" t="s">
        <v>14994</v>
      </c>
      <c r="J129" s="441" t="s">
        <v>1125</v>
      </c>
      <c r="K129" s="441" t="s">
        <v>16996</v>
      </c>
    </row>
    <row r="130" spans="1:11" x14ac:dyDescent="0.3">
      <c r="A130" s="440" t="str">
        <f t="shared" si="2"/>
        <v>Feb 2027</v>
      </c>
      <c r="B130" s="441">
        <v>4</v>
      </c>
      <c r="C130" s="442">
        <v>46444</v>
      </c>
      <c r="D130" s="441" t="s">
        <v>14599</v>
      </c>
      <c r="E130" s="441" t="s">
        <v>16853</v>
      </c>
      <c r="F130" s="441" t="s">
        <v>16300</v>
      </c>
      <c r="G130" s="441" t="s">
        <v>16997</v>
      </c>
      <c r="H130" s="441" t="str">
        <f>IFERROR(VLOOKUP(F130,[1]Releases!$A$7:$D$102,4,FALSE),"")</f>
        <v>Coupa</v>
      </c>
      <c r="I130" s="441" t="s">
        <v>1158</v>
      </c>
      <c r="J130" s="441" t="s">
        <v>1125</v>
      </c>
      <c r="K130" s="441" t="s">
        <v>16998</v>
      </c>
    </row>
    <row r="131" spans="1:11" x14ac:dyDescent="0.3">
      <c r="A131" s="440" t="str">
        <f t="shared" si="2"/>
        <v>Feb 2027</v>
      </c>
      <c r="B131" s="441">
        <v>4</v>
      </c>
      <c r="C131" s="442">
        <v>46445</v>
      </c>
      <c r="D131" s="441" t="s">
        <v>16882</v>
      </c>
      <c r="E131" s="441" t="s">
        <v>16856</v>
      </c>
      <c r="F131" s="441" t="s">
        <v>16302</v>
      </c>
      <c r="G131" s="441" t="s">
        <v>16723</v>
      </c>
      <c r="H131" s="441" t="str">
        <f>IFERROR(VLOOKUP(F131,[1]Releases!$A$7:$D$102,4,FALSE),"")</f>
        <v>Manhattan Associates WMS</v>
      </c>
      <c r="I131" s="441" t="s">
        <v>14994</v>
      </c>
      <c r="J131" s="441" t="s">
        <v>16904</v>
      </c>
      <c r="K131" s="441" t="s">
        <v>16863</v>
      </c>
    </row>
    <row r="132" spans="1:11" x14ac:dyDescent="0.3">
      <c r="A132" s="440" t="str">
        <f t="shared" si="2"/>
        <v>Feb 2027</v>
      </c>
      <c r="B132" s="441">
        <v>4</v>
      </c>
      <c r="C132" s="442">
        <v>46446</v>
      </c>
      <c r="D132" s="441" t="s">
        <v>16874</v>
      </c>
      <c r="E132" s="441" t="s">
        <v>16856</v>
      </c>
      <c r="F132" s="441" t="s">
        <v>16300</v>
      </c>
      <c r="G132" s="441" t="s">
        <v>16720</v>
      </c>
      <c r="H132" s="441" t="str">
        <f>IFERROR(VLOOKUP(F132,[1]Releases!$A$7:$D$102,4,FALSE),"")</f>
        <v>Coupa</v>
      </c>
      <c r="I132" s="441" t="s">
        <v>1158</v>
      </c>
      <c r="J132" s="441" t="s">
        <v>16926</v>
      </c>
      <c r="K132" s="441" t="s">
        <v>16871</v>
      </c>
    </row>
    <row r="133" spans="1:11" x14ac:dyDescent="0.3">
      <c r="A133" s="440" t="str">
        <f t="shared" si="2"/>
        <v>Mar 2027</v>
      </c>
      <c r="B133" s="441">
        <v>1</v>
      </c>
      <c r="C133" s="442">
        <v>46452</v>
      </c>
      <c r="D133" s="441" t="s">
        <v>16882</v>
      </c>
      <c r="E133" s="441" t="s">
        <v>16853</v>
      </c>
      <c r="F133" s="441" t="s">
        <v>16305</v>
      </c>
      <c r="G133" s="441" t="s">
        <v>16999</v>
      </c>
      <c r="H133" s="441" t="str">
        <f>IFERROR(VLOOKUP(F133,[1]Releases!$A$7:$D$102,4,FALSE),"")</f>
        <v>Salesforce Service Cloud</v>
      </c>
      <c r="I133" s="441" t="s">
        <v>14993</v>
      </c>
      <c r="J133" s="441" t="s">
        <v>1125</v>
      </c>
      <c r="K133" s="441" t="s">
        <v>17000</v>
      </c>
    </row>
    <row r="134" spans="1:11" x14ac:dyDescent="0.3">
      <c r="A134" s="440" t="str">
        <f t="shared" si="2"/>
        <v>Mar 2027</v>
      </c>
      <c r="B134" s="441">
        <v>2</v>
      </c>
      <c r="C134" s="442">
        <v>46454</v>
      </c>
      <c r="D134" s="441" t="s">
        <v>16886</v>
      </c>
      <c r="E134" s="441" t="s">
        <v>16856</v>
      </c>
      <c r="F134" s="441" t="s">
        <v>16305</v>
      </c>
      <c r="G134" s="441" t="s">
        <v>16724</v>
      </c>
      <c r="H134" s="441" t="str">
        <f>IFERROR(VLOOKUP(F134,[1]Releases!$A$7:$D$102,4,FALSE),"")</f>
        <v>Salesforce Service Cloud</v>
      </c>
      <c r="I134" s="441" t="s">
        <v>14993</v>
      </c>
      <c r="J134" s="441" t="s">
        <v>16926</v>
      </c>
      <c r="K134" s="441" t="s">
        <v>16871</v>
      </c>
    </row>
    <row r="135" spans="1:11" x14ac:dyDescent="0.3">
      <c r="A135" s="440" t="str">
        <f t="shared" si="2"/>
        <v>Mar 2027</v>
      </c>
      <c r="B135" s="441">
        <v>2</v>
      </c>
      <c r="C135" s="442">
        <v>46456</v>
      </c>
      <c r="D135" s="441" t="s">
        <v>16878</v>
      </c>
      <c r="E135" s="441" t="s">
        <v>16853</v>
      </c>
      <c r="F135" s="441" t="s">
        <v>16307</v>
      </c>
      <c r="G135" s="441" t="s">
        <v>17001</v>
      </c>
      <c r="H135" s="441" t="str">
        <f>IFERROR(VLOOKUP(F135,[1]Releases!$A$7:$D$102,4,FALSE),"")</f>
        <v>Plex Smart Manufacturing</v>
      </c>
      <c r="I135" s="441" t="s">
        <v>14992</v>
      </c>
      <c r="J135" s="441" t="s">
        <v>1122</v>
      </c>
      <c r="K135" s="441" t="s">
        <v>17002</v>
      </c>
    </row>
    <row r="136" spans="1:11" x14ac:dyDescent="0.3">
      <c r="A136" s="440" t="str">
        <f t="shared" si="2"/>
        <v>Mar 2027</v>
      </c>
      <c r="B136" s="441">
        <v>2</v>
      </c>
      <c r="C136" s="442">
        <v>46458</v>
      </c>
      <c r="D136" s="441" t="s">
        <v>14599</v>
      </c>
      <c r="E136" s="441" t="s">
        <v>16856</v>
      </c>
      <c r="F136" s="441" t="s">
        <v>16307</v>
      </c>
      <c r="G136" s="441" t="s">
        <v>16726</v>
      </c>
      <c r="H136" s="441" t="str">
        <f>IFERROR(VLOOKUP(F136,[1]Releases!$A$7:$D$102,4,FALSE),"")</f>
        <v>Plex Smart Manufacturing</v>
      </c>
      <c r="I136" s="441" t="s">
        <v>14992</v>
      </c>
      <c r="J136" s="441" t="s">
        <v>16857</v>
      </c>
      <c r="K136" s="441" t="s">
        <v>16863</v>
      </c>
    </row>
    <row r="137" spans="1:11" x14ac:dyDescent="0.3">
      <c r="A137" s="440" t="str">
        <f t="shared" si="2"/>
        <v>Mar 2027</v>
      </c>
      <c r="B137" s="441">
        <v>2</v>
      </c>
      <c r="C137" s="442">
        <v>46460</v>
      </c>
      <c r="D137" s="441" t="s">
        <v>16874</v>
      </c>
      <c r="E137" s="441" t="s">
        <v>16853</v>
      </c>
      <c r="F137" s="441" t="s">
        <v>16312</v>
      </c>
      <c r="G137" s="441" t="s">
        <v>17003</v>
      </c>
      <c r="H137" s="441" t="str">
        <f>IFERROR(VLOOKUP(F137,[1]Releases!$A$7:$D$102,4,FALSE),"")</f>
        <v>Datadog</v>
      </c>
      <c r="I137" s="441" t="s">
        <v>14991</v>
      </c>
      <c r="J137" s="441" t="s">
        <v>1125</v>
      </c>
      <c r="K137" s="441" t="s">
        <v>17004</v>
      </c>
    </row>
    <row r="138" spans="1:11" x14ac:dyDescent="0.3">
      <c r="A138" s="440" t="str">
        <f t="shared" si="2"/>
        <v>Mar 2027</v>
      </c>
      <c r="B138" s="441">
        <v>3</v>
      </c>
      <c r="C138" s="442">
        <v>46462</v>
      </c>
      <c r="D138" s="441" t="s">
        <v>16875</v>
      </c>
      <c r="E138" s="441" t="s">
        <v>16856</v>
      </c>
      <c r="F138" s="441" t="s">
        <v>16312</v>
      </c>
      <c r="G138" s="441" t="s">
        <v>16728</v>
      </c>
      <c r="H138" s="441" t="str">
        <f>IFERROR(VLOOKUP(F138,[1]Releases!$A$7:$D$102,4,FALSE),"")</f>
        <v>Datadog</v>
      </c>
      <c r="I138" s="441" t="s">
        <v>14991</v>
      </c>
      <c r="J138" s="441" t="s">
        <v>16904</v>
      </c>
      <c r="K138" s="441" t="s">
        <v>16863</v>
      </c>
    </row>
    <row r="139" spans="1:11" x14ac:dyDescent="0.3">
      <c r="A139" s="440" t="str">
        <f t="shared" si="2"/>
        <v>Mar 2027</v>
      </c>
      <c r="B139" s="441">
        <v>3</v>
      </c>
      <c r="C139" s="442">
        <v>46464</v>
      </c>
      <c r="D139" s="441" t="s">
        <v>16881</v>
      </c>
      <c r="E139" s="441" t="s">
        <v>16853</v>
      </c>
      <c r="F139" s="441" t="s">
        <v>16315</v>
      </c>
      <c r="G139" s="441" t="s">
        <v>17005</v>
      </c>
      <c r="H139" s="441" t="str">
        <f>IFERROR(VLOOKUP(F139,[1]Releases!$A$7:$D$102,4,FALSE),"")</f>
        <v>SAP SuccessFactors</v>
      </c>
      <c r="I139" s="441" t="s">
        <v>1159</v>
      </c>
      <c r="J139" s="441" t="s">
        <v>1122</v>
      </c>
      <c r="K139" s="441" t="s">
        <v>17006</v>
      </c>
    </row>
    <row r="140" spans="1:11" x14ac:dyDescent="0.3">
      <c r="A140" s="440" t="str">
        <f t="shared" si="2"/>
        <v>Mar 2027</v>
      </c>
      <c r="B140" s="441">
        <v>3</v>
      </c>
      <c r="C140" s="442">
        <v>46466</v>
      </c>
      <c r="D140" s="441" t="s">
        <v>16882</v>
      </c>
      <c r="E140" s="441" t="s">
        <v>16856</v>
      </c>
      <c r="F140" s="441" t="s">
        <v>16315</v>
      </c>
      <c r="G140" s="441" t="s">
        <v>16730</v>
      </c>
      <c r="H140" s="441" t="str">
        <f>IFERROR(VLOOKUP(F140,[1]Releases!$A$7:$D$102,4,FALSE),"")</f>
        <v>SAP SuccessFactors</v>
      </c>
      <c r="I140" s="441" t="s">
        <v>1159</v>
      </c>
      <c r="J140" s="441" t="s">
        <v>16870</v>
      </c>
      <c r="K140" s="441" t="s">
        <v>16871</v>
      </c>
    </row>
    <row r="141" spans="1:11" x14ac:dyDescent="0.3">
      <c r="A141" s="440" t="str">
        <f t="shared" si="2"/>
        <v>Mar 2027</v>
      </c>
      <c r="B141" s="441">
        <v>4</v>
      </c>
      <c r="C141" s="442">
        <v>46468</v>
      </c>
      <c r="D141" s="441" t="s">
        <v>16886</v>
      </c>
      <c r="E141" s="441" t="s">
        <v>16853</v>
      </c>
      <c r="F141" s="441" t="s">
        <v>16317</v>
      </c>
      <c r="G141" s="441" t="s">
        <v>17007</v>
      </c>
      <c r="H141" s="441" t="str">
        <f>IFERROR(VLOOKUP(F141,[1]Releases!$A$7:$D$102,4,FALSE),"")</f>
        <v>Mitratech TeamConnect</v>
      </c>
      <c r="I141" s="441" t="s">
        <v>14990</v>
      </c>
      <c r="J141" s="441" t="s">
        <v>1125</v>
      </c>
      <c r="K141" s="441" t="s">
        <v>17008</v>
      </c>
    </row>
    <row r="142" spans="1:11" x14ac:dyDescent="0.3">
      <c r="A142" s="440" t="str">
        <f t="shared" si="2"/>
        <v>Mar 2027</v>
      </c>
      <c r="B142" s="441">
        <v>4</v>
      </c>
      <c r="C142" s="442">
        <v>46470</v>
      </c>
      <c r="D142" s="441" t="s">
        <v>16878</v>
      </c>
      <c r="E142" s="441" t="s">
        <v>16856</v>
      </c>
      <c r="F142" s="441" t="s">
        <v>16317</v>
      </c>
      <c r="G142" s="441" t="s">
        <v>16731</v>
      </c>
      <c r="H142" s="441" t="str">
        <f>IFERROR(VLOOKUP(F142,[1]Releases!$A$7:$D$102,4,FALSE),"")</f>
        <v>Mitratech TeamConnect</v>
      </c>
      <c r="I142" s="441" t="s">
        <v>14990</v>
      </c>
      <c r="J142" s="441" t="s">
        <v>16904</v>
      </c>
      <c r="K142" s="441" t="s">
        <v>16863</v>
      </c>
    </row>
    <row r="143" spans="1:11" x14ac:dyDescent="0.3">
      <c r="A143" s="440" t="str">
        <f t="shared" ref="A143:A180" si="3">TEXT(C143,"mmm yyyy")</f>
        <v>Mar 2027</v>
      </c>
      <c r="B143" s="441">
        <v>4</v>
      </c>
      <c r="C143" s="442">
        <v>46472</v>
      </c>
      <c r="D143" s="441" t="s">
        <v>14599</v>
      </c>
      <c r="E143" s="441" t="s">
        <v>16951</v>
      </c>
      <c r="F143" s="441" t="s">
        <v>16952</v>
      </c>
      <c r="G143" s="441" t="s">
        <v>17009</v>
      </c>
      <c r="H143" s="441" t="str">
        <f>IFERROR(VLOOKUP(F143,[1]Releases!$A$7:$D$102,4,FALSE),"")</f>
        <v/>
      </c>
      <c r="I143" s="441" t="s">
        <v>16954</v>
      </c>
      <c r="J143" s="441" t="s">
        <v>14588</v>
      </c>
      <c r="K143" s="441" t="s">
        <v>16955</v>
      </c>
    </row>
    <row r="144" spans="1:11" x14ac:dyDescent="0.3">
      <c r="A144" s="440" t="str">
        <f t="shared" si="3"/>
        <v>Mar 2027</v>
      </c>
      <c r="B144" s="441">
        <v>4</v>
      </c>
      <c r="C144" s="442">
        <v>46474</v>
      </c>
      <c r="D144" s="441" t="s">
        <v>16874</v>
      </c>
      <c r="E144" s="441" t="s">
        <v>16951</v>
      </c>
      <c r="F144" s="441" t="s">
        <v>16952</v>
      </c>
      <c r="G144" s="441" t="s">
        <v>17010</v>
      </c>
      <c r="H144" s="441" t="str">
        <f>IFERROR(VLOOKUP(F144,[1]Releases!$A$7:$D$102,4,FALSE),"")</f>
        <v/>
      </c>
      <c r="I144" s="441" t="s">
        <v>16954</v>
      </c>
      <c r="J144" s="441" t="s">
        <v>14588</v>
      </c>
      <c r="K144" s="441" t="s">
        <v>16955</v>
      </c>
    </row>
    <row r="145" spans="1:11" x14ac:dyDescent="0.3">
      <c r="A145" s="440" t="str">
        <f t="shared" si="3"/>
        <v>Mar 2027</v>
      </c>
      <c r="B145" s="441">
        <v>5</v>
      </c>
      <c r="C145" s="442">
        <v>46475</v>
      </c>
      <c r="D145" s="441" t="s">
        <v>16886</v>
      </c>
      <c r="E145" s="441" t="s">
        <v>16853</v>
      </c>
      <c r="F145" s="441" t="s">
        <v>16321</v>
      </c>
      <c r="G145" s="441" t="s">
        <v>16961</v>
      </c>
      <c r="H145" s="441" t="str">
        <f>IFERROR(VLOOKUP(F145,[1]Releases!$A$7:$D$102,4,FALSE),"")</f>
        <v>Microsoft Sentinel</v>
      </c>
      <c r="I145" s="441" t="s">
        <v>152</v>
      </c>
      <c r="J145" s="441" t="s">
        <v>1125</v>
      </c>
      <c r="K145" s="441" t="s">
        <v>17011</v>
      </c>
    </row>
    <row r="146" spans="1:11" x14ac:dyDescent="0.3">
      <c r="A146" s="440" t="str">
        <f t="shared" si="3"/>
        <v>Mar 2027</v>
      </c>
      <c r="B146" s="441">
        <v>5</v>
      </c>
      <c r="C146" s="442">
        <v>46477</v>
      </c>
      <c r="D146" s="441" t="s">
        <v>16878</v>
      </c>
      <c r="E146" s="441" t="s">
        <v>16907</v>
      </c>
      <c r="F146" s="441" t="s">
        <v>16321</v>
      </c>
      <c r="G146" s="441" t="s">
        <v>16733</v>
      </c>
      <c r="H146" s="441" t="str">
        <f>IFERROR(VLOOKUP(F146,[1]Releases!$A$7:$D$102,4,FALSE),"")</f>
        <v>Microsoft Sentinel</v>
      </c>
      <c r="I146" s="441" t="s">
        <v>152</v>
      </c>
      <c r="J146" s="441" t="s">
        <v>16904</v>
      </c>
      <c r="K146" s="441" t="s">
        <v>16632</v>
      </c>
    </row>
    <row r="147" spans="1:11" x14ac:dyDescent="0.3">
      <c r="A147" s="440" t="str">
        <f t="shared" si="3"/>
        <v>Apr 2027</v>
      </c>
      <c r="B147" s="441">
        <v>1</v>
      </c>
      <c r="C147" s="442">
        <v>46478</v>
      </c>
      <c r="D147" s="441" t="s">
        <v>16881</v>
      </c>
      <c r="E147" s="441" t="s">
        <v>16853</v>
      </c>
      <c r="F147" s="441" t="s">
        <v>16323</v>
      </c>
      <c r="G147" s="441" t="s">
        <v>17012</v>
      </c>
      <c r="H147" s="441" t="str">
        <f>IFERROR(VLOOKUP(F147,[1]Releases!$A$7:$D$102,4,FALSE),"")</f>
        <v>Oracle Hyperion HFM</v>
      </c>
      <c r="I147" s="441" t="s">
        <v>1158</v>
      </c>
      <c r="J147" s="441" t="s">
        <v>1128</v>
      </c>
      <c r="K147" s="441" t="s">
        <v>17013</v>
      </c>
    </row>
    <row r="148" spans="1:11" x14ac:dyDescent="0.3">
      <c r="A148" s="440" t="str">
        <f t="shared" si="3"/>
        <v>Apr 2027</v>
      </c>
      <c r="B148" s="441">
        <v>1</v>
      </c>
      <c r="C148" s="442">
        <v>46481</v>
      </c>
      <c r="D148" s="441" t="s">
        <v>16874</v>
      </c>
      <c r="E148" s="441" t="s">
        <v>16856</v>
      </c>
      <c r="F148" s="441" t="s">
        <v>16323</v>
      </c>
      <c r="G148" s="441" t="s">
        <v>16735</v>
      </c>
      <c r="H148" s="441" t="str">
        <f>IFERROR(VLOOKUP(F148,[1]Releases!$A$7:$D$102,4,FALSE),"")</f>
        <v>Oracle Hyperion HFM</v>
      </c>
      <c r="I148" s="441" t="s">
        <v>1158</v>
      </c>
      <c r="J148" s="441" t="s">
        <v>16895</v>
      </c>
      <c r="K148" s="441" t="s">
        <v>16867</v>
      </c>
    </row>
    <row r="149" spans="1:11" x14ac:dyDescent="0.3">
      <c r="A149" s="440" t="str">
        <f t="shared" si="3"/>
        <v>Apr 2027</v>
      </c>
      <c r="B149" s="441">
        <v>1</v>
      </c>
      <c r="C149" s="442">
        <v>46483</v>
      </c>
      <c r="D149" s="441" t="s">
        <v>16875</v>
      </c>
      <c r="E149" s="441" t="s">
        <v>16853</v>
      </c>
      <c r="F149" s="441" t="s">
        <v>16325</v>
      </c>
      <c r="G149" s="441" t="s">
        <v>17014</v>
      </c>
      <c r="H149" s="441" t="str">
        <f>IFERROR(VLOOKUP(F149,[1]Releases!$A$7:$D$102,4,FALSE),"")</f>
        <v>Oracle Transportation Management</v>
      </c>
      <c r="I149" s="441" t="s">
        <v>14994</v>
      </c>
      <c r="J149" s="441" t="s">
        <v>1125</v>
      </c>
      <c r="K149" s="441" t="s">
        <v>17015</v>
      </c>
    </row>
    <row r="150" spans="1:11" x14ac:dyDescent="0.3">
      <c r="A150" s="440" t="str">
        <f t="shared" si="3"/>
        <v>Apr 2027</v>
      </c>
      <c r="B150" s="441">
        <v>2</v>
      </c>
      <c r="C150" s="442">
        <v>46485</v>
      </c>
      <c r="D150" s="441" t="s">
        <v>16881</v>
      </c>
      <c r="E150" s="441" t="s">
        <v>16856</v>
      </c>
      <c r="F150" s="441" t="s">
        <v>16325</v>
      </c>
      <c r="G150" s="441" t="s">
        <v>16738</v>
      </c>
      <c r="H150" s="441" t="str">
        <f>IFERROR(VLOOKUP(F150,[1]Releases!$A$7:$D$102,4,FALSE),"")</f>
        <v>Oracle Transportation Management</v>
      </c>
      <c r="I150" s="441" t="s">
        <v>14994</v>
      </c>
      <c r="J150" s="441" t="s">
        <v>16926</v>
      </c>
      <c r="K150" s="441" t="s">
        <v>16871</v>
      </c>
    </row>
    <row r="151" spans="1:11" x14ac:dyDescent="0.3">
      <c r="A151" s="440" t="str">
        <f t="shared" si="3"/>
        <v>Apr 2027</v>
      </c>
      <c r="B151" s="441">
        <v>2</v>
      </c>
      <c r="C151" s="442">
        <v>46486</v>
      </c>
      <c r="D151" s="441" t="s">
        <v>14599</v>
      </c>
      <c r="E151" s="441" t="s">
        <v>16853</v>
      </c>
      <c r="F151" s="441" t="s">
        <v>16330</v>
      </c>
      <c r="G151" s="441" t="s">
        <v>17016</v>
      </c>
      <c r="H151" s="441" t="str">
        <f>IFERROR(VLOOKUP(F151,[1]Releases!$A$7:$D$102,4,FALSE),"")</f>
        <v>Salesforce Sales Cloud</v>
      </c>
      <c r="I151" s="441" t="s">
        <v>14993</v>
      </c>
      <c r="J151" s="441" t="s">
        <v>1128</v>
      </c>
      <c r="K151" s="441" t="s">
        <v>17017</v>
      </c>
    </row>
    <row r="152" spans="1:11" x14ac:dyDescent="0.3">
      <c r="A152" s="440" t="str">
        <f t="shared" si="3"/>
        <v>Apr 2027</v>
      </c>
      <c r="B152" s="441">
        <v>2</v>
      </c>
      <c r="C152" s="442">
        <v>46486</v>
      </c>
      <c r="D152" s="441" t="s">
        <v>14599</v>
      </c>
      <c r="E152" s="441" t="s">
        <v>16853</v>
      </c>
      <c r="F152" s="441" t="s">
        <v>16332</v>
      </c>
      <c r="G152" s="441" t="s">
        <v>17018</v>
      </c>
      <c r="H152" s="441" t="str">
        <f>IFERROR(VLOOKUP(F152,[1]Releases!$A$7:$D$102,4,FALSE),"")</f>
        <v>Rockwell FactoryTalk</v>
      </c>
      <c r="I152" s="441" t="s">
        <v>14992</v>
      </c>
      <c r="J152" s="441" t="s">
        <v>1122</v>
      </c>
      <c r="K152" s="441" t="s">
        <v>17019</v>
      </c>
    </row>
    <row r="153" spans="1:11" x14ac:dyDescent="0.3">
      <c r="A153" s="440" t="str">
        <f t="shared" si="3"/>
        <v>Apr 2027</v>
      </c>
      <c r="B153" s="441">
        <v>2</v>
      </c>
      <c r="C153" s="442">
        <v>46488</v>
      </c>
      <c r="D153" s="441" t="s">
        <v>16874</v>
      </c>
      <c r="E153" s="441" t="s">
        <v>16856</v>
      </c>
      <c r="F153" s="441" t="s">
        <v>16332</v>
      </c>
      <c r="G153" s="441" t="s">
        <v>16741</v>
      </c>
      <c r="H153" s="441" t="str">
        <f>IFERROR(VLOOKUP(F153,[1]Releases!$A$7:$D$102,4,FALSE),"")</f>
        <v>Rockwell FactoryTalk</v>
      </c>
      <c r="I153" s="441" t="s">
        <v>14992</v>
      </c>
      <c r="J153" s="441" t="s">
        <v>16857</v>
      </c>
      <c r="K153" s="441" t="s">
        <v>16863</v>
      </c>
    </row>
    <row r="154" spans="1:11" x14ac:dyDescent="0.3">
      <c r="A154" s="440" t="str">
        <f t="shared" si="3"/>
        <v>Apr 2027</v>
      </c>
      <c r="B154" s="441">
        <v>2</v>
      </c>
      <c r="C154" s="442">
        <v>46489</v>
      </c>
      <c r="D154" s="441" t="s">
        <v>16886</v>
      </c>
      <c r="E154" s="441" t="s">
        <v>16856</v>
      </c>
      <c r="F154" s="441" t="s">
        <v>16330</v>
      </c>
      <c r="G154" s="441" t="s">
        <v>16739</v>
      </c>
      <c r="H154" s="441" t="str">
        <f>IFERROR(VLOOKUP(F154,[1]Releases!$A$7:$D$102,4,FALSE),"")</f>
        <v>Salesforce Sales Cloud</v>
      </c>
      <c r="I154" s="441" t="s">
        <v>14993</v>
      </c>
      <c r="J154" s="441" t="s">
        <v>16895</v>
      </c>
      <c r="K154" s="441" t="s">
        <v>16867</v>
      </c>
    </row>
    <row r="155" spans="1:11" x14ac:dyDescent="0.3">
      <c r="A155" s="440" t="str">
        <f t="shared" si="3"/>
        <v>Apr 2027</v>
      </c>
      <c r="B155" s="441">
        <v>3</v>
      </c>
      <c r="C155" s="442">
        <v>46495</v>
      </c>
      <c r="D155" s="441" t="s">
        <v>16874</v>
      </c>
      <c r="E155" s="441" t="s">
        <v>16853</v>
      </c>
      <c r="F155" s="441" t="s">
        <v>16335</v>
      </c>
      <c r="G155" s="441" t="s">
        <v>17020</v>
      </c>
      <c r="H155" s="441" t="str">
        <f>IFERROR(VLOOKUP(F155,[1]Releases!$A$7:$D$102,4,FALSE),"")</f>
        <v>BMC Remedy</v>
      </c>
      <c r="I155" s="441" t="s">
        <v>14991</v>
      </c>
      <c r="J155" s="441" t="s">
        <v>1122</v>
      </c>
      <c r="K155" s="441" t="s">
        <v>17021</v>
      </c>
    </row>
    <row r="156" spans="1:11" x14ac:dyDescent="0.3">
      <c r="A156" s="440" t="str">
        <f t="shared" si="3"/>
        <v>Apr 2027</v>
      </c>
      <c r="B156" s="441">
        <v>3</v>
      </c>
      <c r="C156" s="442">
        <v>46497</v>
      </c>
      <c r="D156" s="441" t="s">
        <v>16875</v>
      </c>
      <c r="E156" s="441" t="s">
        <v>16856</v>
      </c>
      <c r="F156" s="441" t="s">
        <v>16335</v>
      </c>
      <c r="G156" s="441" t="s">
        <v>16743</v>
      </c>
      <c r="H156" s="441" t="str">
        <f>IFERROR(VLOOKUP(F156,[1]Releases!$A$7:$D$102,4,FALSE),"")</f>
        <v>BMC Remedy</v>
      </c>
      <c r="I156" s="441" t="s">
        <v>14991</v>
      </c>
      <c r="J156" s="441" t="s">
        <v>16870</v>
      </c>
      <c r="K156" s="441" t="s">
        <v>16871</v>
      </c>
    </row>
    <row r="157" spans="1:11" x14ac:dyDescent="0.3">
      <c r="A157" s="440" t="str">
        <f t="shared" si="3"/>
        <v>Apr 2027</v>
      </c>
      <c r="B157" s="441">
        <v>4</v>
      </c>
      <c r="C157" s="442">
        <v>46499</v>
      </c>
      <c r="D157" s="441" t="s">
        <v>16881</v>
      </c>
      <c r="E157" s="441" t="s">
        <v>16853</v>
      </c>
      <c r="F157" s="441" t="s">
        <v>16337</v>
      </c>
      <c r="G157" s="441" t="s">
        <v>17022</v>
      </c>
      <c r="H157" s="441" t="str">
        <f>IFERROR(VLOOKUP(F157,[1]Releases!$A$7:$D$102,4,FALSE),"")</f>
        <v>Oracle HCM Cloud</v>
      </c>
      <c r="I157" s="441" t="s">
        <v>1159</v>
      </c>
      <c r="J157" s="441" t="s">
        <v>1125</v>
      </c>
      <c r="K157" s="441" t="s">
        <v>17023</v>
      </c>
    </row>
    <row r="158" spans="1:11" x14ac:dyDescent="0.3">
      <c r="A158" s="440" t="str">
        <f t="shared" si="3"/>
        <v>Apr 2027</v>
      </c>
      <c r="B158" s="441">
        <v>4</v>
      </c>
      <c r="C158" s="442">
        <v>46501</v>
      </c>
      <c r="D158" s="441" t="s">
        <v>16882</v>
      </c>
      <c r="E158" s="441" t="s">
        <v>16966</v>
      </c>
      <c r="F158" s="441" t="s">
        <v>16337</v>
      </c>
      <c r="G158" s="441" t="s">
        <v>16745</v>
      </c>
      <c r="H158" s="441" t="str">
        <f>IFERROR(VLOOKUP(F158,[1]Releases!$A$7:$D$102,4,FALSE),"")</f>
        <v>Oracle HCM Cloud</v>
      </c>
      <c r="I158" s="441" t="s">
        <v>1159</v>
      </c>
      <c r="J158" s="441" t="s">
        <v>16926</v>
      </c>
      <c r="K158" s="441" t="s">
        <v>16693</v>
      </c>
    </row>
    <row r="159" spans="1:11" x14ac:dyDescent="0.3">
      <c r="A159" s="440" t="str">
        <f t="shared" si="3"/>
        <v>Apr 2027</v>
      </c>
      <c r="B159" s="441">
        <v>4</v>
      </c>
      <c r="C159" s="442">
        <v>46505</v>
      </c>
      <c r="D159" s="441" t="s">
        <v>16878</v>
      </c>
      <c r="E159" s="441" t="s">
        <v>16853</v>
      </c>
      <c r="F159" s="441" t="s">
        <v>16339</v>
      </c>
      <c r="G159" s="441" t="s">
        <v>17024</v>
      </c>
      <c r="H159" s="441" t="str">
        <f>IFERROR(VLOOKUP(F159,[1]Releases!$A$7:$D$102,4,FALSE),"")</f>
        <v>Agiloft CLM</v>
      </c>
      <c r="I159" s="441" t="s">
        <v>14990</v>
      </c>
      <c r="J159" s="441" t="s">
        <v>1122</v>
      </c>
      <c r="K159" s="441" t="s">
        <v>17025</v>
      </c>
    </row>
    <row r="160" spans="1:11" x14ac:dyDescent="0.3">
      <c r="A160" s="440" t="str">
        <f t="shared" si="3"/>
        <v>Apr 2027</v>
      </c>
      <c r="B160" s="441">
        <v>5</v>
      </c>
      <c r="C160" s="442">
        <v>46507</v>
      </c>
      <c r="D160" s="441" t="s">
        <v>14599</v>
      </c>
      <c r="E160" s="441" t="s">
        <v>16856</v>
      </c>
      <c r="F160" s="441" t="s">
        <v>16339</v>
      </c>
      <c r="G160" s="441" t="s">
        <v>16747</v>
      </c>
      <c r="H160" s="441" t="str">
        <f>IFERROR(VLOOKUP(F160,[1]Releases!$A$7:$D$102,4,FALSE),"")</f>
        <v>Agiloft CLM</v>
      </c>
      <c r="I160" s="441" t="s">
        <v>14990</v>
      </c>
      <c r="J160" s="441" t="s">
        <v>16857</v>
      </c>
      <c r="K160" s="441" t="s">
        <v>16863</v>
      </c>
    </row>
    <row r="161" spans="1:11" x14ac:dyDescent="0.3">
      <c r="A161" s="440" t="str">
        <f t="shared" si="3"/>
        <v>May 2027</v>
      </c>
      <c r="B161" s="441">
        <v>1</v>
      </c>
      <c r="C161" s="442">
        <v>46508</v>
      </c>
      <c r="D161" s="441" t="s">
        <v>16882</v>
      </c>
      <c r="E161" s="441" t="s">
        <v>16853</v>
      </c>
      <c r="F161" s="441" t="s">
        <v>16345</v>
      </c>
      <c r="G161" s="441" t="s">
        <v>17026</v>
      </c>
      <c r="H161" s="441" t="str">
        <f>IFERROR(VLOOKUP(F161,[1]Releases!$A$7:$D$102,4,FALSE),"")</f>
        <v>Kyriba</v>
      </c>
      <c r="I161" s="441" t="s">
        <v>1158</v>
      </c>
      <c r="J161" s="441" t="s">
        <v>1125</v>
      </c>
      <c r="K161" s="441" t="s">
        <v>17027</v>
      </c>
    </row>
    <row r="162" spans="1:11" x14ac:dyDescent="0.3">
      <c r="A162" s="440" t="str">
        <f t="shared" si="3"/>
        <v>May 2027</v>
      </c>
      <c r="B162" s="441">
        <v>1</v>
      </c>
      <c r="C162" s="442">
        <v>46509</v>
      </c>
      <c r="D162" s="441" t="s">
        <v>16874</v>
      </c>
      <c r="E162" s="441" t="s">
        <v>16853</v>
      </c>
      <c r="F162" s="441" t="s">
        <v>16343</v>
      </c>
      <c r="G162" s="441" t="s">
        <v>17028</v>
      </c>
      <c r="H162" s="441" t="str">
        <f>IFERROR(VLOOKUP(F162,[1]Releases!$A$7:$D$102,4,FALSE),"")</f>
        <v>Palo Alto Cortex XDR</v>
      </c>
      <c r="I162" s="441" t="s">
        <v>152</v>
      </c>
      <c r="J162" s="441" t="s">
        <v>1122</v>
      </c>
      <c r="K162" s="441" t="s">
        <v>17029</v>
      </c>
    </row>
    <row r="163" spans="1:11" x14ac:dyDescent="0.3">
      <c r="A163" s="440" t="str">
        <f t="shared" si="3"/>
        <v>May 2027</v>
      </c>
      <c r="B163" s="441">
        <v>1</v>
      </c>
      <c r="C163" s="442">
        <v>46510</v>
      </c>
      <c r="D163" s="441" t="s">
        <v>16886</v>
      </c>
      <c r="E163" s="441" t="s">
        <v>16856</v>
      </c>
      <c r="F163" s="441" t="s">
        <v>16345</v>
      </c>
      <c r="G163" s="441" t="s">
        <v>16751</v>
      </c>
      <c r="H163" s="441" t="str">
        <f>IFERROR(VLOOKUP(F163,[1]Releases!$A$7:$D$102,4,FALSE),"")</f>
        <v>Kyriba</v>
      </c>
      <c r="I163" s="441" t="s">
        <v>1158</v>
      </c>
      <c r="J163" s="441" t="s">
        <v>16926</v>
      </c>
      <c r="K163" s="441" t="s">
        <v>16871</v>
      </c>
    </row>
    <row r="164" spans="1:11" x14ac:dyDescent="0.3">
      <c r="A164" s="440" t="str">
        <f t="shared" si="3"/>
        <v>May 2027</v>
      </c>
      <c r="B164" s="441">
        <v>1</v>
      </c>
      <c r="C164" s="442">
        <v>46511</v>
      </c>
      <c r="D164" s="441" t="s">
        <v>16875</v>
      </c>
      <c r="E164" s="441" t="s">
        <v>16856</v>
      </c>
      <c r="F164" s="441" t="s">
        <v>16343</v>
      </c>
      <c r="G164" s="441" t="s">
        <v>16749</v>
      </c>
      <c r="H164" s="441" t="str">
        <f>IFERROR(VLOOKUP(F164,[1]Releases!$A$7:$D$102,4,FALSE),"")</f>
        <v>Palo Alto Cortex XDR</v>
      </c>
      <c r="I164" s="441" t="s">
        <v>152</v>
      </c>
      <c r="J164" s="441" t="s">
        <v>16857</v>
      </c>
      <c r="K164" s="441" t="s">
        <v>16863</v>
      </c>
    </row>
    <row r="165" spans="1:11" x14ac:dyDescent="0.3">
      <c r="A165" s="440" t="str">
        <f t="shared" si="3"/>
        <v>May 2027</v>
      </c>
      <c r="B165" s="441">
        <v>2</v>
      </c>
      <c r="C165" s="442">
        <v>46517</v>
      </c>
      <c r="D165" s="441" t="s">
        <v>16886</v>
      </c>
      <c r="E165" s="441" t="s">
        <v>16853</v>
      </c>
      <c r="F165" s="441" t="s">
        <v>16348</v>
      </c>
      <c r="G165" s="441" t="s">
        <v>17030</v>
      </c>
      <c r="H165" s="441" t="str">
        <f>IFERROR(VLOOKUP(F165,[1]Releases!$A$7:$D$102,4,FALSE),"")</f>
        <v>Oracle Transportation Management</v>
      </c>
      <c r="I165" s="441" t="s">
        <v>14994</v>
      </c>
      <c r="J165" s="441" t="s">
        <v>1122</v>
      </c>
      <c r="K165" s="441" t="s">
        <v>17031</v>
      </c>
    </row>
    <row r="166" spans="1:11" x14ac:dyDescent="0.3">
      <c r="A166" s="440" t="str">
        <f t="shared" si="3"/>
        <v>May 2027</v>
      </c>
      <c r="B166" s="441">
        <v>2</v>
      </c>
      <c r="C166" s="442">
        <v>46519</v>
      </c>
      <c r="D166" s="441" t="s">
        <v>16878</v>
      </c>
      <c r="E166" s="441" t="s">
        <v>16856</v>
      </c>
      <c r="F166" s="441" t="s">
        <v>16348</v>
      </c>
      <c r="G166" s="441" t="s">
        <v>16753</v>
      </c>
      <c r="H166" s="441" t="str">
        <f>IFERROR(VLOOKUP(F166,[1]Releases!$A$7:$D$102,4,FALSE),"")</f>
        <v>Oracle Transportation Management</v>
      </c>
      <c r="I166" s="441" t="s">
        <v>14994</v>
      </c>
      <c r="J166" s="441" t="s">
        <v>16857</v>
      </c>
      <c r="K166" s="441" t="s">
        <v>16863</v>
      </c>
    </row>
    <row r="167" spans="1:11" x14ac:dyDescent="0.3">
      <c r="A167" s="440" t="str">
        <f t="shared" si="3"/>
        <v>May 2027</v>
      </c>
      <c r="B167" s="441">
        <v>2</v>
      </c>
      <c r="C167" s="442">
        <v>46521</v>
      </c>
      <c r="D167" s="441" t="s">
        <v>14599</v>
      </c>
      <c r="E167" s="441" t="s">
        <v>16853</v>
      </c>
      <c r="F167" s="441" t="s">
        <v>16350</v>
      </c>
      <c r="G167" s="441" t="s">
        <v>17032</v>
      </c>
      <c r="H167" s="441" t="str">
        <f>IFERROR(VLOOKUP(F167,[1]Releases!$A$7:$D$102,4,FALSE),"")</f>
        <v>HubSpot CRM</v>
      </c>
      <c r="I167" s="441" t="s">
        <v>14993</v>
      </c>
      <c r="J167" s="441" t="s">
        <v>1125</v>
      </c>
      <c r="K167" s="441" t="s">
        <v>17033</v>
      </c>
    </row>
    <row r="168" spans="1:11" x14ac:dyDescent="0.3">
      <c r="A168" s="440" t="str">
        <f t="shared" si="3"/>
        <v>May 2027</v>
      </c>
      <c r="B168" s="441">
        <v>3</v>
      </c>
      <c r="C168" s="442">
        <v>46523</v>
      </c>
      <c r="D168" s="441" t="s">
        <v>16874</v>
      </c>
      <c r="E168" s="441" t="s">
        <v>16856</v>
      </c>
      <c r="F168" s="441" t="s">
        <v>16350</v>
      </c>
      <c r="G168" s="441" t="s">
        <v>16755</v>
      </c>
      <c r="H168" s="441" t="str">
        <f>IFERROR(VLOOKUP(F168,[1]Releases!$A$7:$D$102,4,FALSE),"")</f>
        <v>HubSpot CRM</v>
      </c>
      <c r="I168" s="441" t="s">
        <v>14993</v>
      </c>
      <c r="J168" s="441" t="s">
        <v>16926</v>
      </c>
      <c r="K168" s="441" t="s">
        <v>16871</v>
      </c>
    </row>
    <row r="169" spans="1:11" x14ac:dyDescent="0.3">
      <c r="A169" s="440" t="str">
        <f t="shared" si="3"/>
        <v>May 2027</v>
      </c>
      <c r="B169" s="441">
        <v>3</v>
      </c>
      <c r="C169" s="442">
        <v>46525</v>
      </c>
      <c r="D169" s="441" t="s">
        <v>16875</v>
      </c>
      <c r="E169" s="441" t="s">
        <v>16853</v>
      </c>
      <c r="F169" s="441" t="s">
        <v>16352</v>
      </c>
      <c r="G169" s="441" t="s">
        <v>17034</v>
      </c>
      <c r="H169" s="441" t="str">
        <f>IFERROR(VLOOKUP(F169,[1]Releases!$A$7:$D$102,4,FALSE),"")</f>
        <v>SAP S/4HANA Manufacturing</v>
      </c>
      <c r="I169" s="441" t="s">
        <v>14992</v>
      </c>
      <c r="J169" s="441" t="s">
        <v>1122</v>
      </c>
      <c r="K169" s="441" t="s">
        <v>17035</v>
      </c>
    </row>
    <row r="170" spans="1:11" x14ac:dyDescent="0.3">
      <c r="A170" s="440" t="str">
        <f t="shared" si="3"/>
        <v>May 2027</v>
      </c>
      <c r="B170" s="441">
        <v>3</v>
      </c>
      <c r="C170" s="442">
        <v>46527</v>
      </c>
      <c r="D170" s="441" t="s">
        <v>16881</v>
      </c>
      <c r="E170" s="441" t="s">
        <v>16856</v>
      </c>
      <c r="F170" s="441" t="s">
        <v>16352</v>
      </c>
      <c r="G170" s="441" t="s">
        <v>16757</v>
      </c>
      <c r="H170" s="441" t="str">
        <f>IFERROR(VLOOKUP(F170,[1]Releases!$A$7:$D$102,4,FALSE),"")</f>
        <v>SAP S/4HANA Manufacturing</v>
      </c>
      <c r="I170" s="441" t="s">
        <v>14992</v>
      </c>
      <c r="J170" s="441" t="s">
        <v>16857</v>
      </c>
      <c r="K170" s="441" t="s">
        <v>16863</v>
      </c>
    </row>
    <row r="171" spans="1:11" x14ac:dyDescent="0.3">
      <c r="A171" s="440" t="str">
        <f t="shared" si="3"/>
        <v>May 2027</v>
      </c>
      <c r="B171" s="441">
        <v>3</v>
      </c>
      <c r="C171" s="442">
        <v>46528</v>
      </c>
      <c r="D171" s="441" t="s">
        <v>14599</v>
      </c>
      <c r="E171" s="441" t="s">
        <v>16853</v>
      </c>
      <c r="F171" s="441" t="s">
        <v>16354</v>
      </c>
      <c r="G171" s="441" t="s">
        <v>17036</v>
      </c>
      <c r="H171" s="441" t="str">
        <f>IFERROR(VLOOKUP(F171,[1]Releases!$A$7:$D$102,4,FALSE),"")</f>
        <v>Jira Service Management</v>
      </c>
      <c r="I171" s="441" t="s">
        <v>14991</v>
      </c>
      <c r="J171" s="441" t="s">
        <v>1128</v>
      </c>
      <c r="K171" s="441" t="s">
        <v>17037</v>
      </c>
    </row>
    <row r="172" spans="1:11" x14ac:dyDescent="0.3">
      <c r="A172" s="440" t="str">
        <f t="shared" si="3"/>
        <v>May 2027</v>
      </c>
      <c r="B172" s="441">
        <v>4</v>
      </c>
      <c r="C172" s="442">
        <v>46531</v>
      </c>
      <c r="D172" s="441" t="s">
        <v>16886</v>
      </c>
      <c r="E172" s="441" t="s">
        <v>16856</v>
      </c>
      <c r="F172" s="441" t="s">
        <v>16354</v>
      </c>
      <c r="G172" s="441" t="s">
        <v>16758</v>
      </c>
      <c r="H172" s="441" t="str">
        <f>IFERROR(VLOOKUP(F172,[1]Releases!$A$7:$D$102,4,FALSE),"")</f>
        <v>Jira Service Management</v>
      </c>
      <c r="I172" s="441" t="s">
        <v>14991</v>
      </c>
      <c r="J172" s="441" t="s">
        <v>16895</v>
      </c>
      <c r="K172" s="441" t="s">
        <v>16867</v>
      </c>
    </row>
    <row r="173" spans="1:11" x14ac:dyDescent="0.3">
      <c r="A173" s="440" t="str">
        <f t="shared" si="3"/>
        <v>May 2027</v>
      </c>
      <c r="B173" s="441">
        <v>5</v>
      </c>
      <c r="C173" s="442">
        <v>46536</v>
      </c>
      <c r="D173" s="441" t="s">
        <v>16882</v>
      </c>
      <c r="E173" s="441" t="s">
        <v>16853</v>
      </c>
      <c r="F173" s="441" t="s">
        <v>16356</v>
      </c>
      <c r="G173" s="441" t="s">
        <v>17038</v>
      </c>
      <c r="H173" s="441" t="str">
        <f>IFERROR(VLOOKUP(F173,[1]Releases!$A$7:$D$102,4,FALSE),"")</f>
        <v>ADP Workforce Now</v>
      </c>
      <c r="I173" s="441" t="s">
        <v>1159</v>
      </c>
      <c r="J173" s="441" t="s">
        <v>1125</v>
      </c>
      <c r="K173" s="441" t="s">
        <v>17039</v>
      </c>
    </row>
    <row r="174" spans="1:11" x14ac:dyDescent="0.3">
      <c r="A174" s="440" t="str">
        <f t="shared" si="3"/>
        <v>May 2027</v>
      </c>
      <c r="B174" s="441">
        <v>5</v>
      </c>
      <c r="C174" s="442">
        <v>46538</v>
      </c>
      <c r="D174" s="441" t="s">
        <v>16886</v>
      </c>
      <c r="E174" s="441" t="s">
        <v>16856</v>
      </c>
      <c r="F174" s="441" t="s">
        <v>16356</v>
      </c>
      <c r="G174" s="441" t="s">
        <v>16760</v>
      </c>
      <c r="H174" s="441" t="str">
        <f>IFERROR(VLOOKUP(F174,[1]Releases!$A$7:$D$102,4,FALSE),"")</f>
        <v>ADP Workforce Now</v>
      </c>
      <c r="I174" s="441" t="s">
        <v>1159</v>
      </c>
      <c r="J174" s="441" t="s">
        <v>16866</v>
      </c>
      <c r="K174" s="441" t="s">
        <v>16867</v>
      </c>
    </row>
    <row r="175" spans="1:11" x14ac:dyDescent="0.3">
      <c r="A175" s="440" t="str">
        <f t="shared" si="3"/>
        <v>Jun 2027</v>
      </c>
      <c r="B175" s="441">
        <v>1</v>
      </c>
      <c r="C175" s="442">
        <v>46540</v>
      </c>
      <c r="D175" s="441" t="s">
        <v>16878</v>
      </c>
      <c r="E175" s="441" t="s">
        <v>16853</v>
      </c>
      <c r="F175" s="441" t="s">
        <v>16359</v>
      </c>
      <c r="G175" s="441" t="s">
        <v>17040</v>
      </c>
      <c r="H175" s="441" t="str">
        <f>IFERROR(VLOOKUP(F175,[1]Releases!$A$7:$D$102,4,FALSE),"")</f>
        <v>Ironclad</v>
      </c>
      <c r="I175" s="441" t="s">
        <v>14990</v>
      </c>
      <c r="J175" s="441" t="s">
        <v>1125</v>
      </c>
      <c r="K175" s="441" t="s">
        <v>17041</v>
      </c>
    </row>
    <row r="176" spans="1:11" x14ac:dyDescent="0.3">
      <c r="A176" s="440" t="str">
        <f t="shared" si="3"/>
        <v>Jun 2027</v>
      </c>
      <c r="B176" s="441">
        <v>1</v>
      </c>
      <c r="C176" s="442">
        <v>46542</v>
      </c>
      <c r="D176" s="441" t="s">
        <v>14599</v>
      </c>
      <c r="E176" s="441" t="s">
        <v>16907</v>
      </c>
      <c r="F176" s="441" t="s">
        <v>16359</v>
      </c>
      <c r="G176" s="441" t="s">
        <v>16762</v>
      </c>
      <c r="H176" s="441" t="str">
        <f>IFERROR(VLOOKUP(F176,[1]Releases!$A$7:$D$102,4,FALSE),"")</f>
        <v>Ironclad</v>
      </c>
      <c r="I176" s="441" t="s">
        <v>14990</v>
      </c>
      <c r="J176" s="441" t="s">
        <v>16866</v>
      </c>
      <c r="K176" s="441" t="s">
        <v>16669</v>
      </c>
    </row>
    <row r="177" spans="1:11" x14ac:dyDescent="0.3">
      <c r="A177" s="440" t="str">
        <f t="shared" si="3"/>
        <v>Jun 2027</v>
      </c>
      <c r="B177" s="441">
        <v>1</v>
      </c>
      <c r="C177" s="442">
        <v>46544</v>
      </c>
      <c r="D177" s="441" t="s">
        <v>16874</v>
      </c>
      <c r="E177" s="441" t="s">
        <v>16853</v>
      </c>
      <c r="F177" s="441" t="s">
        <v>16361</v>
      </c>
      <c r="G177" s="441" t="s">
        <v>17042</v>
      </c>
      <c r="H177" s="441" t="str">
        <f>IFERROR(VLOOKUP(F177,[1]Releases!$A$7:$D$102,4,FALSE),"")</f>
        <v>CrowdStrike Falcon</v>
      </c>
      <c r="I177" s="441" t="s">
        <v>152</v>
      </c>
      <c r="J177" s="441" t="s">
        <v>1125</v>
      </c>
      <c r="K177" s="441" t="s">
        <v>17043</v>
      </c>
    </row>
    <row r="178" spans="1:11" x14ac:dyDescent="0.3">
      <c r="A178" s="440" t="str">
        <f t="shared" si="3"/>
        <v>Jun 2027</v>
      </c>
      <c r="B178" s="441">
        <v>2</v>
      </c>
      <c r="C178" s="442">
        <v>46546</v>
      </c>
      <c r="D178" s="441" t="s">
        <v>16875</v>
      </c>
      <c r="E178" s="441" t="s">
        <v>16856</v>
      </c>
      <c r="F178" s="441" t="s">
        <v>16361</v>
      </c>
      <c r="G178" s="441" t="s">
        <v>16764</v>
      </c>
      <c r="H178" s="441" t="str">
        <f>IFERROR(VLOOKUP(F178,[1]Releases!$A$7:$D$102,4,FALSE),"")</f>
        <v>CrowdStrike Falcon</v>
      </c>
      <c r="I178" s="441" t="s">
        <v>152</v>
      </c>
      <c r="J178" s="441" t="s">
        <v>16866</v>
      </c>
      <c r="K178" s="441" t="s">
        <v>16867</v>
      </c>
    </row>
    <row r="179" spans="1:11" x14ac:dyDescent="0.3">
      <c r="A179" s="440" t="str">
        <f t="shared" si="3"/>
        <v>Jun 2027</v>
      </c>
      <c r="B179" s="441">
        <v>4</v>
      </c>
      <c r="C179" s="442">
        <v>46563</v>
      </c>
      <c r="D179" s="441" t="s">
        <v>14599</v>
      </c>
      <c r="E179" s="441" t="s">
        <v>16951</v>
      </c>
      <c r="F179" s="441" t="s">
        <v>16952</v>
      </c>
      <c r="G179" s="441" t="s">
        <v>17044</v>
      </c>
      <c r="H179" s="441" t="str">
        <f>IFERROR(VLOOKUP(F179,[1]Releases!$A$7:$D$102,4,FALSE),"")</f>
        <v/>
      </c>
      <c r="I179" s="441" t="s">
        <v>16954</v>
      </c>
      <c r="J179" s="441" t="s">
        <v>14588</v>
      </c>
      <c r="K179" s="441" t="s">
        <v>16955</v>
      </c>
    </row>
    <row r="180" spans="1:11" x14ac:dyDescent="0.3">
      <c r="A180" s="440" t="str">
        <f t="shared" si="3"/>
        <v>Jun 2027</v>
      </c>
      <c r="B180" s="441">
        <v>4</v>
      </c>
      <c r="C180" s="442">
        <v>46565</v>
      </c>
      <c r="D180" s="441" t="s">
        <v>16874</v>
      </c>
      <c r="E180" s="441" t="s">
        <v>16951</v>
      </c>
      <c r="F180" s="441" t="s">
        <v>16952</v>
      </c>
      <c r="G180" s="441" t="s">
        <v>17045</v>
      </c>
      <c r="H180" s="441" t="str">
        <f>IFERROR(VLOOKUP(F180,[1]Releases!$A$7:$D$102,4,FALSE),"")</f>
        <v/>
      </c>
      <c r="I180" s="441" t="s">
        <v>16954</v>
      </c>
      <c r="J180" s="441" t="s">
        <v>14588</v>
      </c>
      <c r="K180" s="441" t="s">
        <v>16955</v>
      </c>
    </row>
    <row r="181" spans="1:11" x14ac:dyDescent="0.3">
      <c r="A181" s="441"/>
      <c r="B181" s="441"/>
      <c r="C181" s="441"/>
      <c r="D181" s="441"/>
      <c r="E181" s="441"/>
      <c r="F181" s="441"/>
      <c r="G181" s="441"/>
      <c r="H181" s="441"/>
      <c r="I181" s="441"/>
      <c r="J181" s="441"/>
      <c r="K181" s="441"/>
    </row>
    <row r="182" spans="1:11" x14ac:dyDescent="0.3">
      <c r="A182" s="441"/>
      <c r="B182" s="441"/>
      <c r="C182" s="441"/>
      <c r="D182" s="441"/>
      <c r="E182" s="441"/>
      <c r="F182" s="441"/>
      <c r="G182" s="441"/>
      <c r="H182" s="441"/>
      <c r="I182" s="441"/>
      <c r="J182" s="441"/>
      <c r="K182" s="441"/>
    </row>
    <row r="183" spans="1:11" x14ac:dyDescent="0.3">
      <c r="A183" s="443" t="s">
        <v>17046</v>
      </c>
      <c r="B183" s="443"/>
      <c r="C183" s="443"/>
      <c r="D183" s="443"/>
      <c r="E183" s="443"/>
      <c r="F183" s="443"/>
      <c r="G183" s="443"/>
      <c r="H183" s="443"/>
      <c r="I183" s="443"/>
      <c r="J183" s="443"/>
      <c r="K183" s="443"/>
    </row>
    <row r="184" spans="1:11" x14ac:dyDescent="0.3">
      <c r="A184" s="441"/>
      <c r="B184" s="441"/>
      <c r="C184" s="441"/>
      <c r="D184" s="441"/>
      <c r="E184" s="441"/>
      <c r="F184" s="441"/>
      <c r="G184" s="441"/>
      <c r="H184" s="441"/>
      <c r="I184" s="441"/>
      <c r="J184" s="441"/>
      <c r="K184" s="441"/>
    </row>
    <row r="185" spans="1:11" x14ac:dyDescent="0.3">
      <c r="A185" s="441" t="s">
        <v>17047</v>
      </c>
      <c r="B185" s="441"/>
      <c r="C185" s="441"/>
      <c r="D185" s="441"/>
      <c r="E185" s="441"/>
      <c r="F185" s="441"/>
      <c r="G185" s="441"/>
      <c r="H185" s="441"/>
      <c r="I185" s="441"/>
      <c r="J185" s="441"/>
      <c r="K185" s="441"/>
    </row>
    <row r="186" spans="1:11" x14ac:dyDescent="0.3">
      <c r="A186" s="441" t="s">
        <v>17048</v>
      </c>
      <c r="B186" s="441"/>
      <c r="C186" s="441"/>
      <c r="D186" s="441"/>
      <c r="E186" s="441"/>
      <c r="F186" s="441"/>
      <c r="G186" s="441"/>
      <c r="H186" s="441"/>
      <c r="I186" s="441"/>
      <c r="J186" s="441"/>
      <c r="K186" s="441"/>
    </row>
    <row r="187" spans="1:11" x14ac:dyDescent="0.3">
      <c r="A187" s="441" t="s">
        <v>17049</v>
      </c>
      <c r="B187" s="441"/>
      <c r="C187" s="441"/>
      <c r="D187" s="441"/>
      <c r="E187" s="441"/>
      <c r="F187" s="441"/>
      <c r="G187" s="441"/>
      <c r="H187" s="441"/>
      <c r="I187" s="441"/>
      <c r="J187" s="441"/>
      <c r="K187" s="441"/>
    </row>
    <row r="188" spans="1:11" x14ac:dyDescent="0.3">
      <c r="A188" s="441" t="s">
        <v>17050</v>
      </c>
      <c r="B188" s="441"/>
      <c r="C188" s="441"/>
      <c r="D188" s="441"/>
      <c r="E188" s="441"/>
      <c r="F188" s="441"/>
      <c r="G188" s="441"/>
      <c r="H188" s="441"/>
      <c r="I188" s="441"/>
      <c r="J188" s="441"/>
      <c r="K188" s="441"/>
    </row>
    <row r="189" spans="1:11" x14ac:dyDescent="0.3">
      <c r="A189" s="441" t="s">
        <v>17051</v>
      </c>
      <c r="B189" s="441"/>
      <c r="C189" s="441"/>
      <c r="D189" s="441"/>
      <c r="E189" s="441"/>
      <c r="F189" s="441"/>
      <c r="G189" s="441"/>
      <c r="H189" s="441"/>
      <c r="I189" s="441"/>
      <c r="J189" s="441"/>
      <c r="K189" s="441"/>
    </row>
    <row r="190" spans="1:11" x14ac:dyDescent="0.3">
      <c r="A190" s="441"/>
      <c r="B190" s="441"/>
      <c r="C190" s="441"/>
      <c r="D190" s="441"/>
      <c r="E190" s="441"/>
      <c r="F190" s="441"/>
      <c r="G190" s="441"/>
      <c r="H190" s="441"/>
      <c r="I190" s="441"/>
      <c r="J190" s="441"/>
      <c r="K190" s="441"/>
    </row>
    <row r="191" spans="1:11" x14ac:dyDescent="0.3">
      <c r="A191" s="441" t="s">
        <v>17052</v>
      </c>
      <c r="B191" s="441"/>
      <c r="C191" s="441"/>
      <c r="D191" s="441"/>
      <c r="E191" s="441"/>
      <c r="F191" s="441"/>
      <c r="G191" s="441"/>
      <c r="H191" s="441"/>
      <c r="I191" s="441"/>
      <c r="J191" s="441"/>
      <c r="K191" s="441"/>
    </row>
    <row r="192" spans="1:11" x14ac:dyDescent="0.3">
      <c r="A192" s="441" t="s">
        <v>17053</v>
      </c>
      <c r="B192" s="441"/>
      <c r="C192" s="441"/>
      <c r="D192" s="441"/>
      <c r="E192" s="441"/>
      <c r="F192" s="441"/>
      <c r="G192" s="441"/>
      <c r="H192" s="441"/>
      <c r="I192" s="441"/>
      <c r="J192" s="441"/>
      <c r="K192" s="441"/>
    </row>
    <row r="193" spans="1:11" x14ac:dyDescent="0.3">
      <c r="A193" s="441" t="s">
        <v>17054</v>
      </c>
      <c r="B193" s="441"/>
      <c r="C193" s="441"/>
      <c r="D193" s="441"/>
      <c r="E193" s="441"/>
      <c r="F193" s="441"/>
      <c r="G193" s="441"/>
      <c r="H193" s="441"/>
      <c r="I193" s="441"/>
      <c r="J193" s="441"/>
      <c r="K193" s="441"/>
    </row>
    <row r="194" spans="1:11" x14ac:dyDescent="0.3">
      <c r="A194" s="441" t="s">
        <v>17055</v>
      </c>
      <c r="B194" s="441"/>
      <c r="C194" s="441"/>
      <c r="D194" s="441"/>
      <c r="E194" s="441"/>
      <c r="F194" s="441"/>
      <c r="G194" s="441"/>
      <c r="H194" s="441"/>
      <c r="I194" s="441"/>
      <c r="J194" s="441"/>
      <c r="K194" s="441"/>
    </row>
    <row r="195" spans="1:11" x14ac:dyDescent="0.3">
      <c r="A195" s="441"/>
      <c r="B195" s="441"/>
      <c r="C195" s="441"/>
      <c r="D195" s="441"/>
      <c r="E195" s="441"/>
      <c r="F195" s="441"/>
      <c r="G195" s="441"/>
      <c r="H195" s="441"/>
      <c r="I195" s="441"/>
      <c r="J195" s="441"/>
      <c r="K195" s="441"/>
    </row>
    <row r="196" spans="1:11" x14ac:dyDescent="0.3">
      <c r="A196" s="441" t="s">
        <v>17056</v>
      </c>
      <c r="B196" s="441"/>
      <c r="C196" s="441"/>
      <c r="D196" s="441"/>
      <c r="E196" s="441"/>
      <c r="F196" s="441"/>
      <c r="G196" s="441"/>
      <c r="H196" s="441"/>
      <c r="I196" s="441"/>
      <c r="J196" s="441"/>
      <c r="K196" s="441"/>
    </row>
    <row r="197" spans="1:11" x14ac:dyDescent="0.3">
      <c r="A197" s="441"/>
      <c r="B197" s="441"/>
      <c r="C197" s="441"/>
      <c r="D197" s="441"/>
      <c r="E197" s="441"/>
      <c r="F197" s="441"/>
      <c r="G197" s="441"/>
      <c r="H197" s="441"/>
      <c r="I197" s="441"/>
      <c r="J197" s="441"/>
      <c r="K197" s="441"/>
    </row>
    <row r="198" spans="1:11" x14ac:dyDescent="0.3">
      <c r="A198" s="441" t="s">
        <v>17057</v>
      </c>
      <c r="B198" s="441"/>
      <c r="C198" s="441"/>
      <c r="D198" s="441"/>
      <c r="E198" s="441"/>
      <c r="F198" s="441"/>
      <c r="G198" s="441"/>
      <c r="H198" s="441"/>
      <c r="I198" s="441"/>
      <c r="J198" s="441"/>
      <c r="K198" s="441"/>
    </row>
    <row r="199" spans="1:11" x14ac:dyDescent="0.3">
      <c r="A199" s="441"/>
      <c r="B199" s="441"/>
      <c r="C199" s="441"/>
      <c r="D199" s="441"/>
      <c r="E199" s="441"/>
      <c r="F199" s="441"/>
      <c r="G199" s="441"/>
      <c r="H199" s="441"/>
      <c r="I199" s="441"/>
      <c r="J199" s="441"/>
      <c r="K199" s="441"/>
    </row>
    <row r="200" spans="1:11" x14ac:dyDescent="0.3">
      <c r="A200" s="441" t="s">
        <v>16399</v>
      </c>
      <c r="B200" s="441"/>
      <c r="C200" s="441"/>
      <c r="D200" s="441"/>
      <c r="E200" s="441"/>
      <c r="F200" s="441"/>
      <c r="G200" s="441"/>
      <c r="H200" s="441"/>
      <c r="I200" s="441"/>
      <c r="J200" s="441"/>
      <c r="K200" s="441"/>
    </row>
    <row r="201" spans="1:11" x14ac:dyDescent="0.3">
      <c r="A201" s="441"/>
      <c r="B201" s="441"/>
      <c r="C201" s="441"/>
      <c r="D201" s="441"/>
      <c r="E201" s="441"/>
      <c r="F201" s="441"/>
      <c r="G201" s="441"/>
      <c r="H201" s="441"/>
      <c r="I201" s="441"/>
      <c r="J201" s="441"/>
      <c r="K201" s="441"/>
    </row>
    <row r="202" spans="1:11" x14ac:dyDescent="0.3">
      <c r="A202" s="441"/>
      <c r="B202" s="441"/>
      <c r="C202" s="441"/>
      <c r="D202" s="441"/>
      <c r="E202" s="441"/>
      <c r="F202" s="441"/>
      <c r="G202" s="441"/>
      <c r="H202" s="441"/>
      <c r="I202" s="441"/>
      <c r="J202" s="441"/>
      <c r="K202" s="441"/>
    </row>
    <row r="203" spans="1:11" x14ac:dyDescent="0.3">
      <c r="A203" s="443" t="s">
        <v>17058</v>
      </c>
      <c r="B203" s="443"/>
      <c r="C203" s="443"/>
      <c r="D203" s="443"/>
      <c r="E203" s="443"/>
      <c r="F203" s="443"/>
      <c r="G203" s="443"/>
      <c r="H203" s="443"/>
      <c r="I203" s="443"/>
      <c r="J203" s="443"/>
      <c r="K203" s="443"/>
    </row>
    <row r="204" spans="1:11" x14ac:dyDescent="0.3">
      <c r="A204" s="441"/>
      <c r="B204" s="441"/>
      <c r="C204" s="441"/>
      <c r="D204" s="441"/>
      <c r="E204" s="441"/>
      <c r="F204" s="441"/>
      <c r="G204" s="441"/>
      <c r="H204" s="441"/>
      <c r="I204" s="441"/>
      <c r="J204" s="441"/>
      <c r="K204" s="441"/>
    </row>
    <row r="205" spans="1:11" x14ac:dyDescent="0.3">
      <c r="A205" s="441" t="s">
        <v>16401</v>
      </c>
      <c r="B205" s="441"/>
      <c r="C205" s="441"/>
      <c r="D205" s="441"/>
      <c r="E205" s="441"/>
      <c r="F205" s="441"/>
      <c r="G205" s="441"/>
      <c r="H205" s="441"/>
      <c r="I205" s="441"/>
      <c r="J205" s="441"/>
      <c r="K205" s="441"/>
    </row>
    <row r="206" spans="1:11" x14ac:dyDescent="0.3">
      <c r="A206" s="441" t="s">
        <v>17059</v>
      </c>
      <c r="B206" s="441"/>
      <c r="C206" s="441"/>
      <c r="D206" s="441"/>
      <c r="E206" s="441"/>
      <c r="F206" s="441"/>
      <c r="G206" s="441"/>
      <c r="H206" s="441"/>
      <c r="I206" s="441"/>
      <c r="J206" s="441"/>
      <c r="K206" s="441"/>
    </row>
    <row r="207" spans="1:11" x14ac:dyDescent="0.3">
      <c r="A207" s="441" t="s">
        <v>17060</v>
      </c>
      <c r="B207" s="441"/>
      <c r="C207" s="441"/>
      <c r="D207" s="441"/>
      <c r="E207" s="441"/>
      <c r="F207" s="441"/>
      <c r="G207" s="441"/>
      <c r="H207" s="441"/>
      <c r="I207" s="441"/>
      <c r="J207" s="441"/>
      <c r="K207" s="441"/>
    </row>
    <row r="208" spans="1:11" x14ac:dyDescent="0.3">
      <c r="A208" s="441" t="s">
        <v>17061</v>
      </c>
      <c r="B208" s="441"/>
      <c r="C208" s="441"/>
      <c r="D208" s="441"/>
      <c r="E208" s="441"/>
      <c r="F208" s="441"/>
      <c r="G208" s="441"/>
      <c r="H208" s="441"/>
      <c r="I208" s="441"/>
      <c r="J208" s="441"/>
      <c r="K208" s="441"/>
    </row>
    <row r="209" spans="1:11" x14ac:dyDescent="0.3">
      <c r="A209" s="441"/>
      <c r="B209" s="441"/>
      <c r="C209" s="441"/>
      <c r="D209" s="441"/>
      <c r="E209" s="441"/>
      <c r="F209" s="441"/>
      <c r="G209" s="441"/>
      <c r="H209" s="441"/>
      <c r="I209" s="441"/>
      <c r="J209" s="441"/>
      <c r="K209" s="441"/>
    </row>
    <row r="210" spans="1:11" x14ac:dyDescent="0.3">
      <c r="A210" s="441" t="s">
        <v>17062</v>
      </c>
      <c r="B210" s="441"/>
      <c r="C210" s="441"/>
      <c r="D210" s="441"/>
      <c r="E210" s="441"/>
      <c r="F210" s="441"/>
      <c r="G210" s="441"/>
      <c r="H210" s="441"/>
      <c r="I210" s="441"/>
      <c r="J210" s="441"/>
      <c r="K210" s="441"/>
    </row>
    <row r="211" spans="1:11" x14ac:dyDescent="0.3">
      <c r="A211" s="441"/>
      <c r="B211" s="441"/>
      <c r="C211" s="441"/>
      <c r="D211" s="441"/>
      <c r="E211" s="441"/>
      <c r="F211" s="441"/>
      <c r="G211" s="441"/>
      <c r="H211" s="441"/>
      <c r="I211" s="441"/>
      <c r="J211" s="441"/>
      <c r="K211" s="441"/>
    </row>
    <row r="212" spans="1:11" x14ac:dyDescent="0.3">
      <c r="A212" s="441" t="s">
        <v>17063</v>
      </c>
      <c r="B212" s="441"/>
      <c r="C212" s="441"/>
      <c r="D212" s="441"/>
      <c r="E212" s="441"/>
      <c r="F212" s="441"/>
      <c r="G212" s="441"/>
      <c r="H212" s="441"/>
      <c r="I212" s="441"/>
      <c r="J212" s="441"/>
      <c r="K212" s="441"/>
    </row>
    <row r="213" spans="1:11" x14ac:dyDescent="0.3">
      <c r="A213" s="441" t="s">
        <v>16407</v>
      </c>
      <c r="B213" s="441"/>
      <c r="C213" s="441"/>
      <c r="D213" s="441"/>
      <c r="E213" s="441"/>
      <c r="F213" s="441"/>
      <c r="G213" s="441"/>
      <c r="H213" s="441"/>
      <c r="I213" s="441"/>
      <c r="J213" s="441"/>
      <c r="K213" s="441"/>
    </row>
    <row r="214" spans="1:11" x14ac:dyDescent="0.3">
      <c r="A214" s="441" t="s">
        <v>17064</v>
      </c>
      <c r="B214" s="441"/>
      <c r="C214" s="441"/>
      <c r="D214" s="441"/>
      <c r="E214" s="441"/>
      <c r="F214" s="441"/>
      <c r="G214" s="441"/>
      <c r="H214" s="441"/>
      <c r="I214" s="441"/>
      <c r="J214" s="441"/>
      <c r="K214" s="441"/>
    </row>
    <row r="215" spans="1:11" x14ac:dyDescent="0.3">
      <c r="A215" s="441" t="s">
        <v>17065</v>
      </c>
      <c r="B215" s="441"/>
      <c r="C215" s="441"/>
      <c r="D215" s="441"/>
      <c r="E215" s="441"/>
      <c r="F215" s="441"/>
      <c r="G215" s="441"/>
      <c r="H215" s="441"/>
      <c r="I215" s="441"/>
      <c r="J215" s="441"/>
      <c r="K215" s="441"/>
    </row>
    <row r="216" spans="1:11" x14ac:dyDescent="0.3">
      <c r="A216" s="441" t="s">
        <v>17066</v>
      </c>
      <c r="B216" s="441"/>
      <c r="C216" s="441"/>
      <c r="D216" s="441"/>
      <c r="E216" s="441"/>
      <c r="F216" s="441"/>
      <c r="G216" s="441"/>
      <c r="H216" s="441"/>
      <c r="I216" s="441"/>
      <c r="J216" s="441"/>
      <c r="K216" s="441"/>
    </row>
    <row r="217" spans="1:11" x14ac:dyDescent="0.3">
      <c r="A217" s="441" t="s">
        <v>17067</v>
      </c>
      <c r="B217" s="441"/>
      <c r="C217" s="441"/>
      <c r="D217" s="441"/>
      <c r="E217" s="441"/>
      <c r="F217" s="441"/>
      <c r="G217" s="441"/>
      <c r="H217" s="441"/>
      <c r="I217" s="441"/>
      <c r="J217" s="441"/>
      <c r="K217" s="441"/>
    </row>
    <row r="218" spans="1:11" x14ac:dyDescent="0.3">
      <c r="A218" s="441"/>
      <c r="B218" s="441"/>
      <c r="C218" s="441"/>
      <c r="D218" s="441"/>
      <c r="E218" s="441"/>
      <c r="F218" s="441"/>
      <c r="G218" s="441"/>
      <c r="H218" s="441"/>
      <c r="I218" s="441"/>
      <c r="J218" s="441"/>
      <c r="K218" s="441"/>
    </row>
    <row r="219" spans="1:11" x14ac:dyDescent="0.3">
      <c r="A219" s="441" t="s">
        <v>17068</v>
      </c>
      <c r="B219" s="441"/>
      <c r="C219" s="441"/>
      <c r="D219" s="441"/>
      <c r="E219" s="441"/>
      <c r="F219" s="441"/>
      <c r="G219" s="441"/>
      <c r="H219" s="441"/>
      <c r="I219" s="441"/>
      <c r="J219" s="441"/>
      <c r="K219" s="441"/>
    </row>
    <row r="220" spans="1:11" x14ac:dyDescent="0.3">
      <c r="A220" s="441"/>
      <c r="B220" s="441"/>
      <c r="C220" s="441"/>
      <c r="D220" s="441"/>
      <c r="E220" s="441"/>
      <c r="F220" s="441"/>
      <c r="G220" s="441"/>
      <c r="H220" s="441"/>
      <c r="I220" s="441"/>
      <c r="J220" s="441"/>
      <c r="K220" s="441"/>
    </row>
    <row r="221" spans="1:11" x14ac:dyDescent="0.3">
      <c r="A221" s="441" t="s">
        <v>17069</v>
      </c>
      <c r="B221" s="441"/>
      <c r="C221" s="441"/>
      <c r="D221" s="441"/>
      <c r="E221" s="441"/>
      <c r="F221" s="441"/>
      <c r="G221" s="441"/>
      <c r="H221" s="441"/>
      <c r="I221" s="441"/>
      <c r="J221" s="441"/>
      <c r="K221" s="441"/>
    </row>
    <row r="222" spans="1:11" x14ac:dyDescent="0.3">
      <c r="A222" s="441" t="s">
        <v>16407</v>
      </c>
      <c r="B222" s="441"/>
      <c r="C222" s="441"/>
      <c r="D222" s="441"/>
      <c r="E222" s="441"/>
      <c r="F222" s="441"/>
      <c r="G222" s="441"/>
      <c r="H222" s="441"/>
      <c r="I222" s="441"/>
      <c r="J222" s="441"/>
      <c r="K222" s="441"/>
    </row>
    <row r="223" spans="1:11" x14ac:dyDescent="0.3">
      <c r="A223" s="441" t="s">
        <v>17070</v>
      </c>
      <c r="B223" s="441"/>
      <c r="C223" s="441"/>
      <c r="D223" s="441"/>
      <c r="E223" s="441"/>
      <c r="F223" s="441"/>
      <c r="G223" s="441"/>
      <c r="H223" s="441"/>
      <c r="I223" s="441"/>
      <c r="J223" s="441"/>
      <c r="K223" s="441"/>
    </row>
    <row r="224" spans="1:11" x14ac:dyDescent="0.3">
      <c r="A224" s="441" t="s">
        <v>17071</v>
      </c>
      <c r="B224" s="441"/>
      <c r="C224" s="441"/>
      <c r="D224" s="441"/>
      <c r="E224" s="441"/>
      <c r="F224" s="441"/>
      <c r="G224" s="441"/>
      <c r="H224" s="441"/>
      <c r="I224" s="441"/>
      <c r="J224" s="441"/>
      <c r="K224" s="441"/>
    </row>
    <row r="225" spans="1:11" x14ac:dyDescent="0.3">
      <c r="A225" s="441" t="s">
        <v>17072</v>
      </c>
      <c r="B225" s="441"/>
      <c r="C225" s="441"/>
      <c r="D225" s="441"/>
      <c r="E225" s="441"/>
      <c r="F225" s="441"/>
      <c r="G225" s="441"/>
      <c r="H225" s="441"/>
      <c r="I225" s="441"/>
      <c r="J225" s="441"/>
      <c r="K225" s="441"/>
    </row>
    <row r="226" spans="1:11" x14ac:dyDescent="0.3">
      <c r="A226" s="441"/>
      <c r="B226" s="441"/>
      <c r="C226" s="441"/>
      <c r="D226" s="441"/>
      <c r="E226" s="441"/>
      <c r="F226" s="441"/>
      <c r="G226" s="441"/>
      <c r="H226" s="441"/>
      <c r="I226" s="441"/>
      <c r="J226" s="441"/>
      <c r="K226" s="441"/>
    </row>
    <row r="227" spans="1:11" x14ac:dyDescent="0.3">
      <c r="A227" s="441" t="s">
        <v>17073</v>
      </c>
      <c r="B227" s="441"/>
      <c r="C227" s="441"/>
      <c r="D227" s="441"/>
      <c r="E227" s="441"/>
      <c r="F227" s="441"/>
      <c r="G227" s="441"/>
      <c r="H227" s="441"/>
      <c r="I227" s="441"/>
      <c r="J227" s="441"/>
      <c r="K227" s="441"/>
    </row>
    <row r="228" spans="1:11" x14ac:dyDescent="0.3">
      <c r="A228" s="441"/>
      <c r="B228" s="441"/>
      <c r="C228" s="441"/>
      <c r="D228" s="441"/>
      <c r="E228" s="441"/>
      <c r="F228" s="441"/>
      <c r="G228" s="441"/>
      <c r="H228" s="441"/>
      <c r="I228" s="441"/>
      <c r="J228" s="441"/>
      <c r="K228" s="441"/>
    </row>
    <row r="229" spans="1:11" x14ac:dyDescent="0.3">
      <c r="A229" s="441" t="s">
        <v>17074</v>
      </c>
      <c r="B229" s="441"/>
      <c r="C229" s="441"/>
      <c r="D229" s="441"/>
      <c r="E229" s="441"/>
      <c r="F229" s="441"/>
      <c r="G229" s="441"/>
      <c r="H229" s="441"/>
      <c r="I229" s="441"/>
      <c r="J229" s="441"/>
      <c r="K229" s="441"/>
    </row>
    <row r="230" spans="1:11" x14ac:dyDescent="0.3">
      <c r="A230" s="441" t="s">
        <v>17075</v>
      </c>
      <c r="B230" s="441"/>
      <c r="C230" s="441"/>
      <c r="D230" s="441"/>
      <c r="E230" s="441"/>
      <c r="F230" s="441"/>
      <c r="G230" s="441"/>
      <c r="H230" s="441"/>
      <c r="I230" s="441"/>
      <c r="J230" s="441"/>
      <c r="K230" s="441"/>
    </row>
    <row r="231" spans="1:11" x14ac:dyDescent="0.3">
      <c r="A231" s="441" t="s">
        <v>17076</v>
      </c>
      <c r="B231" s="441"/>
      <c r="C231" s="441"/>
      <c r="D231" s="441"/>
      <c r="E231" s="441"/>
      <c r="F231" s="441"/>
      <c r="G231" s="441"/>
      <c r="H231" s="441"/>
      <c r="I231" s="441"/>
      <c r="J231" s="441"/>
      <c r="K231" s="441"/>
    </row>
    <row r="232" spans="1:11" x14ac:dyDescent="0.3">
      <c r="A232" s="441" t="s">
        <v>17077</v>
      </c>
      <c r="B232" s="441"/>
      <c r="C232" s="441"/>
      <c r="D232" s="441"/>
      <c r="E232" s="441"/>
      <c r="F232" s="441"/>
      <c r="G232" s="441"/>
      <c r="H232" s="441"/>
      <c r="I232" s="441"/>
      <c r="J232" s="441"/>
      <c r="K232" s="441"/>
    </row>
    <row r="233" spans="1:11" x14ac:dyDescent="0.3">
      <c r="A233" s="441" t="s">
        <v>17078</v>
      </c>
      <c r="B233" s="441"/>
      <c r="C233" s="441"/>
      <c r="D233" s="441"/>
      <c r="E233" s="441"/>
      <c r="F233" s="441"/>
      <c r="G233" s="441"/>
      <c r="H233" s="441"/>
      <c r="I233" s="441"/>
      <c r="J233" s="441"/>
      <c r="K233" s="441"/>
    </row>
    <row r="234" spans="1:11" x14ac:dyDescent="0.3">
      <c r="A234" s="441"/>
      <c r="B234" s="441"/>
      <c r="C234" s="441"/>
      <c r="D234" s="441"/>
      <c r="E234" s="441"/>
      <c r="F234" s="441"/>
      <c r="G234" s="441"/>
      <c r="H234" s="441"/>
      <c r="I234" s="441"/>
      <c r="J234" s="441"/>
      <c r="K234" s="441"/>
    </row>
    <row r="235" spans="1:11" x14ac:dyDescent="0.3">
      <c r="A235" s="441" t="s">
        <v>17079</v>
      </c>
      <c r="B235" s="441"/>
      <c r="C235" s="441"/>
      <c r="D235" s="441"/>
      <c r="E235" s="441"/>
      <c r="F235" s="441"/>
      <c r="G235" s="441"/>
      <c r="H235" s="441"/>
      <c r="I235" s="441"/>
      <c r="J235" s="441"/>
      <c r="K235" s="441"/>
    </row>
    <row r="236" spans="1:11" x14ac:dyDescent="0.3">
      <c r="A236" s="441"/>
      <c r="B236" s="441"/>
      <c r="C236" s="441"/>
      <c r="D236" s="441"/>
      <c r="E236" s="441"/>
      <c r="F236" s="441"/>
      <c r="G236" s="441"/>
      <c r="H236" s="441"/>
      <c r="I236" s="441"/>
      <c r="J236" s="441"/>
      <c r="K236" s="441"/>
    </row>
    <row r="237" spans="1:11" x14ac:dyDescent="0.3">
      <c r="A237" s="441" t="s">
        <v>16431</v>
      </c>
      <c r="B237" s="441"/>
      <c r="C237" s="441"/>
      <c r="D237" s="441"/>
      <c r="E237" s="441"/>
      <c r="F237" s="441"/>
      <c r="G237" s="441"/>
      <c r="H237" s="441"/>
      <c r="I237" s="441"/>
      <c r="J237" s="441"/>
      <c r="K237" s="441"/>
    </row>
    <row r="238" spans="1:11" x14ac:dyDescent="0.3">
      <c r="A238" s="441"/>
      <c r="B238" s="441"/>
      <c r="C238" s="441"/>
      <c r="D238" s="441"/>
      <c r="E238" s="441"/>
      <c r="F238" s="441"/>
      <c r="G238" s="441"/>
      <c r="H238" s="441"/>
      <c r="I238" s="441"/>
      <c r="J238" s="441"/>
      <c r="K238" s="441"/>
    </row>
    <row r="239" spans="1:11" x14ac:dyDescent="0.3">
      <c r="A239" s="441" t="s">
        <v>17080</v>
      </c>
      <c r="B239" s="441"/>
      <c r="C239" s="441"/>
      <c r="D239" s="441"/>
      <c r="E239" s="441"/>
      <c r="F239" s="441"/>
      <c r="G239" s="441"/>
      <c r="H239" s="441"/>
      <c r="I239" s="441"/>
      <c r="J239" s="441"/>
      <c r="K239" s="441"/>
    </row>
    <row r="240" spans="1:11" x14ac:dyDescent="0.3">
      <c r="A240" s="441" t="s">
        <v>17081</v>
      </c>
      <c r="B240" s="441"/>
      <c r="C240" s="441"/>
      <c r="D240" s="441"/>
      <c r="E240" s="441"/>
      <c r="F240" s="441"/>
      <c r="G240" s="441"/>
      <c r="H240" s="441"/>
      <c r="I240" s="441"/>
      <c r="J240" s="441"/>
      <c r="K240" s="441"/>
    </row>
    <row r="241" spans="1:11" x14ac:dyDescent="0.3">
      <c r="A241" s="441" t="s">
        <v>17082</v>
      </c>
      <c r="B241" s="441"/>
      <c r="C241" s="441"/>
      <c r="D241" s="441"/>
      <c r="E241" s="441"/>
      <c r="F241" s="441"/>
      <c r="G241" s="441"/>
      <c r="H241" s="441"/>
      <c r="I241" s="441"/>
      <c r="J241" s="441"/>
      <c r="K241" s="441"/>
    </row>
    <row r="242" spans="1:11" x14ac:dyDescent="0.3">
      <c r="A242" s="441" t="s">
        <v>17083</v>
      </c>
      <c r="B242" s="441"/>
      <c r="C242" s="441"/>
      <c r="D242" s="441"/>
      <c r="E242" s="441"/>
      <c r="F242" s="441"/>
      <c r="G242" s="441"/>
      <c r="H242" s="441"/>
      <c r="I242" s="441"/>
      <c r="J242" s="441"/>
      <c r="K242" s="441"/>
    </row>
    <row r="243" spans="1:11" x14ac:dyDescent="0.3">
      <c r="A243" s="441" t="s">
        <v>17084</v>
      </c>
      <c r="B243" s="441"/>
      <c r="C243" s="441"/>
      <c r="D243" s="441"/>
      <c r="E243" s="441"/>
      <c r="F243" s="441"/>
      <c r="G243" s="441"/>
      <c r="H243" s="441"/>
      <c r="I243" s="441"/>
      <c r="J243" s="441"/>
      <c r="K243" s="441"/>
    </row>
    <row r="244" spans="1:11" x14ac:dyDescent="0.3">
      <c r="A244" s="441" t="s">
        <v>17085</v>
      </c>
      <c r="B244" s="441"/>
      <c r="C244" s="441"/>
      <c r="D244" s="441"/>
      <c r="E244" s="441"/>
      <c r="F244" s="441"/>
      <c r="G244" s="441"/>
      <c r="H244" s="441"/>
      <c r="I244" s="441"/>
      <c r="J244" s="441"/>
      <c r="K244" s="441"/>
    </row>
    <row r="245" spans="1:11" x14ac:dyDescent="0.3">
      <c r="A245" s="441" t="s">
        <v>17086</v>
      </c>
      <c r="B245" s="441"/>
      <c r="C245" s="441"/>
      <c r="D245" s="441"/>
      <c r="E245" s="441"/>
      <c r="F245" s="441"/>
      <c r="G245" s="441"/>
      <c r="H245" s="441"/>
      <c r="I245" s="441"/>
      <c r="J245" s="441"/>
      <c r="K245" s="441"/>
    </row>
    <row r="246" spans="1:11" x14ac:dyDescent="0.3">
      <c r="A246" s="441" t="s">
        <v>17087</v>
      </c>
      <c r="B246" s="441"/>
      <c r="C246" s="441"/>
      <c r="D246" s="441"/>
      <c r="E246" s="441"/>
      <c r="F246" s="441"/>
      <c r="G246" s="441"/>
      <c r="H246" s="441"/>
      <c r="I246" s="441"/>
      <c r="J246" s="441"/>
      <c r="K246" s="441"/>
    </row>
    <row r="247" spans="1:11" x14ac:dyDescent="0.3">
      <c r="A247" s="441"/>
      <c r="B247" s="441"/>
      <c r="C247" s="441"/>
      <c r="D247" s="441"/>
      <c r="E247" s="441"/>
      <c r="F247" s="441"/>
      <c r="G247" s="441"/>
      <c r="H247" s="441"/>
      <c r="I247" s="441"/>
      <c r="J247" s="441"/>
      <c r="K247" s="441"/>
    </row>
    <row r="248" spans="1:11" x14ac:dyDescent="0.3">
      <c r="A248" s="441" t="s">
        <v>17088</v>
      </c>
      <c r="B248" s="441"/>
      <c r="C248" s="441"/>
      <c r="D248" s="441"/>
      <c r="E248" s="441"/>
      <c r="F248" s="441"/>
      <c r="G248" s="441"/>
      <c r="H248" s="441"/>
      <c r="I248" s="441"/>
      <c r="J248" s="441"/>
      <c r="K248" s="441"/>
    </row>
    <row r="249" spans="1:11" x14ac:dyDescent="0.3">
      <c r="A249" s="441"/>
      <c r="B249" s="441"/>
      <c r="C249" s="441"/>
      <c r="D249" s="441"/>
      <c r="E249" s="441"/>
      <c r="F249" s="441"/>
      <c r="G249" s="441"/>
      <c r="H249" s="441"/>
      <c r="I249" s="441"/>
      <c r="J249" s="441"/>
      <c r="K249" s="441"/>
    </row>
    <row r="250" spans="1:11" x14ac:dyDescent="0.3">
      <c r="A250" s="441" t="s">
        <v>17089</v>
      </c>
      <c r="B250" s="441"/>
      <c r="C250" s="441"/>
      <c r="D250" s="441"/>
      <c r="E250" s="441"/>
      <c r="F250" s="441"/>
      <c r="G250" s="441"/>
      <c r="H250" s="441"/>
      <c r="I250" s="441"/>
      <c r="J250" s="441"/>
      <c r="K250" s="441"/>
    </row>
    <row r="251" spans="1:11" x14ac:dyDescent="0.3">
      <c r="A251" s="441" t="s">
        <v>17090</v>
      </c>
      <c r="B251" s="441"/>
      <c r="C251" s="441"/>
      <c r="D251" s="441"/>
      <c r="E251" s="441"/>
      <c r="F251" s="441"/>
      <c r="G251" s="441"/>
      <c r="H251" s="441"/>
      <c r="I251" s="441"/>
      <c r="J251" s="441"/>
      <c r="K251" s="441"/>
    </row>
    <row r="252" spans="1:11" x14ac:dyDescent="0.3">
      <c r="A252" s="441" t="s">
        <v>17091</v>
      </c>
      <c r="B252" s="441"/>
      <c r="C252" s="441"/>
      <c r="D252" s="441"/>
      <c r="E252" s="441"/>
      <c r="F252" s="441"/>
      <c r="G252" s="441"/>
      <c r="H252" s="441"/>
      <c r="I252" s="441"/>
      <c r="J252" s="441"/>
      <c r="K252" s="441"/>
    </row>
    <row r="253" spans="1:11" x14ac:dyDescent="0.3">
      <c r="A253" s="441" t="s">
        <v>17092</v>
      </c>
      <c r="B253" s="441"/>
      <c r="C253" s="441"/>
      <c r="D253" s="441"/>
      <c r="E253" s="441"/>
      <c r="F253" s="441"/>
      <c r="G253" s="441"/>
      <c r="H253" s="441"/>
      <c r="I253" s="441"/>
      <c r="J253" s="441"/>
      <c r="K253" s="441"/>
    </row>
    <row r="254" spans="1:11" x14ac:dyDescent="0.3">
      <c r="A254" s="441"/>
      <c r="B254" s="441"/>
      <c r="C254" s="441"/>
      <c r="D254" s="441"/>
      <c r="E254" s="441"/>
      <c r="F254" s="441"/>
      <c r="G254" s="441"/>
      <c r="H254" s="441"/>
      <c r="I254" s="441"/>
      <c r="J254" s="441"/>
      <c r="K254" s="441"/>
    </row>
    <row r="255" spans="1:11" x14ac:dyDescent="0.3">
      <c r="A255" s="441" t="s">
        <v>15424</v>
      </c>
      <c r="B255" s="441"/>
      <c r="C255" s="441"/>
      <c r="D255" s="441"/>
      <c r="E255" s="441"/>
      <c r="F255" s="441"/>
      <c r="G255" s="441"/>
      <c r="H255" s="441"/>
      <c r="I255" s="441"/>
      <c r="J255" s="441"/>
      <c r="K255" s="441"/>
    </row>
    <row r="256" spans="1:11" x14ac:dyDescent="0.3">
      <c r="A256" s="441"/>
      <c r="B256" s="441"/>
      <c r="C256" s="441"/>
      <c r="D256" s="441"/>
      <c r="E256" s="441"/>
      <c r="F256" s="441"/>
      <c r="G256" s="441"/>
      <c r="H256" s="441"/>
      <c r="I256" s="441"/>
      <c r="J256" s="441"/>
      <c r="K256" s="441"/>
    </row>
    <row r="257" spans="1:11" x14ac:dyDescent="0.3">
      <c r="A257" s="441" t="s">
        <v>17093</v>
      </c>
      <c r="B257" s="441"/>
      <c r="C257" s="441"/>
      <c r="D257" s="441"/>
      <c r="E257" s="441"/>
      <c r="F257" s="441"/>
      <c r="G257" s="441"/>
      <c r="H257" s="441"/>
      <c r="I257" s="441"/>
      <c r="J257" s="441"/>
      <c r="K257" s="441"/>
    </row>
    <row r="258" spans="1:11" x14ac:dyDescent="0.3">
      <c r="A258" s="441" t="s">
        <v>17094</v>
      </c>
      <c r="B258" s="441"/>
      <c r="C258" s="441"/>
      <c r="D258" s="441"/>
      <c r="E258" s="441"/>
      <c r="F258" s="441"/>
      <c r="G258" s="441"/>
      <c r="H258" s="441"/>
      <c r="I258" s="441"/>
      <c r="J258" s="441"/>
      <c r="K258" s="441"/>
    </row>
    <row r="259" spans="1:11" x14ac:dyDescent="0.3">
      <c r="A259" s="441" t="s">
        <v>17095</v>
      </c>
      <c r="B259" s="441"/>
      <c r="C259" s="441"/>
      <c r="D259" s="441"/>
      <c r="E259" s="441"/>
      <c r="F259" s="441"/>
      <c r="G259" s="441"/>
      <c r="H259" s="441"/>
      <c r="I259" s="441"/>
      <c r="J259" s="441"/>
      <c r="K259" s="441"/>
    </row>
    <row r="260" spans="1:11" x14ac:dyDescent="0.3">
      <c r="A260" s="441" t="s">
        <v>17096</v>
      </c>
      <c r="B260" s="441"/>
      <c r="C260" s="441"/>
      <c r="D260" s="441"/>
      <c r="E260" s="441"/>
      <c r="F260" s="441"/>
      <c r="G260" s="441"/>
      <c r="H260" s="441"/>
      <c r="I260" s="441"/>
      <c r="J260" s="441"/>
      <c r="K260" s="441"/>
    </row>
    <row r="261" spans="1:11" x14ac:dyDescent="0.3">
      <c r="A261" s="441" t="s">
        <v>17097</v>
      </c>
      <c r="B261" s="441"/>
      <c r="C261" s="441"/>
      <c r="D261" s="441"/>
      <c r="E261" s="441"/>
      <c r="F261" s="441"/>
      <c r="G261" s="441"/>
      <c r="H261" s="441"/>
      <c r="I261" s="441"/>
      <c r="J261" s="441"/>
      <c r="K261" s="441"/>
    </row>
    <row r="262" spans="1:11" x14ac:dyDescent="0.3">
      <c r="A262" s="441" t="s">
        <v>17098</v>
      </c>
      <c r="B262" s="441"/>
      <c r="C262" s="441"/>
      <c r="D262" s="441"/>
      <c r="E262" s="441"/>
      <c r="F262" s="441"/>
      <c r="G262" s="441"/>
      <c r="H262" s="441"/>
      <c r="I262" s="441"/>
      <c r="J262" s="441"/>
      <c r="K262" s="441"/>
    </row>
    <row r="275" spans="1:1" x14ac:dyDescent="0.3">
      <c r="A275">
        <v>3</v>
      </c>
    </row>
  </sheetData>
  <mergeCells count="4">
    <mergeCell ref="A1:B1"/>
    <mergeCell ref="A4:I4"/>
    <mergeCell ref="A183:K183"/>
    <mergeCell ref="A203:K203"/>
  </mergeCells>
  <conditionalFormatting sqref="A15:K180">
    <cfRule type="expression" dxfId="8" priority="1">
      <formula>$E15="CHANGE FREEZE"</formula>
    </cfRule>
    <cfRule type="expression" dxfId="7" priority="2">
      <formula>$E15="REGULATORY"</formula>
    </cfRule>
    <cfRule type="expression" dxfId="6" priority="3">
      <formula>$E15="VENDOR MAINT"</formula>
    </cfRule>
    <cfRule type="expression" dxfId="5" priority="4">
      <formula>AND($E15="RELEASE",LEFT($J15,5)="Large")</formula>
    </cfRule>
    <cfRule type="expression" dxfId="4" priority="5">
      <formula>AND($E15="RELEASE",LEFT($J15,6)="Medium")</formula>
    </cfRule>
    <cfRule type="expression" dxfId="3" priority="6">
      <formula>AND($E15="RELEASE",LEFT($J15,5)="Small")</formula>
    </cfRule>
  </conditionalFormatting>
  <conditionalFormatting sqref="A15:K200">
    <cfRule type="expression" dxfId="2" priority="7">
      <formula>OR(AND($D$1&lt;&gt;"All Time",IF($D$1="Today",$C15&lt;&gt;TODAY(),IF($D$1="This Week",OR($C15&lt;TODAY(),$C15&gt;TODAY()+7),IF($D$1="This Month",OR($C15&lt;TODAY(),$C15&gt;TODAY()+30),OR($C15&lt;DATE(YEAR(TODAY()),1,1),$C15&gt;DATE(YEAR(TODAY()),12,31)))))),AND($F$1&lt;&gt;"All",$I15&lt;&gt;$F$1),AND($H$1&lt;&gt;"All",$E15&lt;&gt;$H$1),AND($J$1&lt;&gt;"All",$H15&lt;&gt;$J$1))</formula>
    </cfRule>
  </conditionalFormatting>
  <dataValidations count="4">
    <dataValidation type="list" allowBlank="1" showInputMessage="1" showErrorMessage="1" sqref="K1" xr:uid="{B3058FEA-C0C3-45AF-930D-EC1A3B9A03CA}">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 type="list" allowBlank="1" showInputMessage="1" showErrorMessage="1" sqref="I1" xr:uid="{3630C096-E5D5-4187-B125-40E2111EA54B}">
      <formula1>"All,CAB MEETING,RELEASE START,RELEASE END,VENDOR MAINT,CHANGE FREEZE START,CHANGE FREEZE END,REGULATORY"</formula1>
    </dataValidation>
    <dataValidation type="list" allowBlank="1" showInputMessage="1" showErrorMessage="1" sqref="F1" xr:uid="{55EF8CA3-8E57-455A-96F1-995270E1FF31}">
      <formula1>"All,Finance,Logistics,CRM,Manufacturing,IT,HR,Legal,Security"</formula1>
    </dataValidation>
    <dataValidation type="list" allowBlank="1" showInputMessage="1" showErrorMessage="1" sqref="D1" xr:uid="{958D7B38-A3A7-4879-9CB2-ECDF49DA5895}">
      <formula1>"All Time,Today,This Week,This Month,This Year"</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CE5FA-6873-42EC-A450-482D44ECE0D2}">
  <dimension ref="A1:L16"/>
  <sheetViews>
    <sheetView workbookViewId="0"/>
  </sheetViews>
  <sheetFormatPr defaultRowHeight="14.4" x14ac:dyDescent="0.3"/>
  <cols>
    <col min="1" max="1" width="14.77734375" customWidth="1"/>
    <col min="7" max="7" width="37" customWidth="1"/>
    <col min="11" max="11" width="23.77734375" bestFit="1" customWidth="1"/>
    <col min="12" max="12" width="48.109375" customWidth="1"/>
  </cols>
  <sheetData>
    <row r="1" spans="1:12" ht="18" x14ac:dyDescent="0.35">
      <c r="A1" s="17" t="s">
        <v>19579</v>
      </c>
    </row>
    <row r="2" spans="1:12" x14ac:dyDescent="0.3">
      <c r="A2" t="s">
        <v>19580</v>
      </c>
    </row>
    <row r="4" spans="1:12" x14ac:dyDescent="0.3">
      <c r="A4" s="252" t="s">
        <v>19581</v>
      </c>
      <c r="B4" s="252" t="s">
        <v>1542</v>
      </c>
      <c r="C4" s="252" t="s">
        <v>15432</v>
      </c>
      <c r="D4" s="252" t="s">
        <v>19582</v>
      </c>
      <c r="E4" s="252" t="s">
        <v>19583</v>
      </c>
      <c r="F4" s="252" t="s">
        <v>19584</v>
      </c>
      <c r="G4" s="252" t="s">
        <v>1553</v>
      </c>
      <c r="H4" s="252" t="s">
        <v>19585</v>
      </c>
      <c r="I4" s="252" t="s">
        <v>14611</v>
      </c>
      <c r="J4" s="252" t="s">
        <v>1068</v>
      </c>
      <c r="K4" s="252" t="s">
        <v>581</v>
      </c>
      <c r="L4" s="252" t="s">
        <v>1245</v>
      </c>
    </row>
    <row r="5" spans="1:12" x14ac:dyDescent="0.3">
      <c r="A5" t="s">
        <v>19586</v>
      </c>
      <c r="B5" t="s">
        <v>18670</v>
      </c>
      <c r="C5" t="s">
        <v>1158</v>
      </c>
      <c r="D5">
        <v>46232</v>
      </c>
      <c r="E5">
        <v>46232.166700000002</v>
      </c>
      <c r="F5">
        <v>4</v>
      </c>
      <c r="G5" t="s">
        <v>19587</v>
      </c>
      <c r="H5" t="s">
        <v>14574</v>
      </c>
      <c r="I5" t="s">
        <v>988</v>
      </c>
      <c r="J5" t="s">
        <v>14943</v>
      </c>
      <c r="K5" t="s">
        <v>15448</v>
      </c>
      <c r="L5" t="s">
        <v>19588</v>
      </c>
    </row>
    <row r="6" spans="1:12" x14ac:dyDescent="0.3">
      <c r="A6" t="s">
        <v>19589</v>
      </c>
      <c r="B6" t="s">
        <v>15557</v>
      </c>
      <c r="C6" t="s">
        <v>14994</v>
      </c>
      <c r="D6">
        <v>46378</v>
      </c>
      <c r="E6">
        <v>46378.25</v>
      </c>
      <c r="F6">
        <v>6</v>
      </c>
      <c r="G6" t="s">
        <v>19590</v>
      </c>
      <c r="H6" t="s">
        <v>1188</v>
      </c>
      <c r="I6" t="s">
        <v>988</v>
      </c>
      <c r="J6" t="s">
        <v>14767</v>
      </c>
      <c r="K6" t="s">
        <v>15448</v>
      </c>
      <c r="L6" t="s">
        <v>19591</v>
      </c>
    </row>
    <row r="7" spans="1:12" x14ac:dyDescent="0.3">
      <c r="A7" t="s">
        <v>19592</v>
      </c>
      <c r="B7" t="s">
        <v>15563</v>
      </c>
      <c r="C7" t="s">
        <v>14994</v>
      </c>
      <c r="D7">
        <v>46220</v>
      </c>
      <c r="E7">
        <v>46220.125</v>
      </c>
      <c r="F7">
        <v>3</v>
      </c>
      <c r="G7" t="s">
        <v>19593</v>
      </c>
      <c r="H7" t="s">
        <v>14567</v>
      </c>
      <c r="I7" t="s">
        <v>988</v>
      </c>
      <c r="J7" t="s">
        <v>14943</v>
      </c>
      <c r="K7" t="s">
        <v>15448</v>
      </c>
    </row>
    <row r="8" spans="1:12" x14ac:dyDescent="0.3">
      <c r="A8" t="s">
        <v>19594</v>
      </c>
      <c r="B8" t="s">
        <v>15664</v>
      </c>
      <c r="C8" t="s">
        <v>14991</v>
      </c>
      <c r="D8">
        <v>46201</v>
      </c>
      <c r="E8">
        <v>46201.083299999998</v>
      </c>
      <c r="F8">
        <v>2</v>
      </c>
      <c r="G8" t="s">
        <v>19595</v>
      </c>
      <c r="H8" t="s">
        <v>1188</v>
      </c>
      <c r="I8" t="s">
        <v>962</v>
      </c>
      <c r="J8" t="s">
        <v>14943</v>
      </c>
      <c r="K8" t="s">
        <v>15447</v>
      </c>
      <c r="L8" t="s">
        <v>19596</v>
      </c>
    </row>
    <row r="9" spans="1:12" x14ac:dyDescent="0.3">
      <c r="A9" t="s">
        <v>19597</v>
      </c>
      <c r="B9" t="s">
        <v>15732</v>
      </c>
      <c r="C9" t="s">
        <v>152</v>
      </c>
      <c r="D9">
        <v>46232</v>
      </c>
      <c r="E9">
        <v>46232.083299999998</v>
      </c>
      <c r="F9">
        <v>2</v>
      </c>
      <c r="G9" t="s">
        <v>19598</v>
      </c>
      <c r="H9" t="s">
        <v>14574</v>
      </c>
      <c r="I9" t="s">
        <v>988</v>
      </c>
      <c r="J9" t="s">
        <v>14943</v>
      </c>
      <c r="K9" t="s">
        <v>15447</v>
      </c>
    </row>
    <row r="10" spans="1:12" x14ac:dyDescent="0.3">
      <c r="A10" t="s">
        <v>19599</v>
      </c>
      <c r="B10" t="s">
        <v>15676</v>
      </c>
      <c r="C10" t="s">
        <v>1159</v>
      </c>
      <c r="D10">
        <v>46223</v>
      </c>
      <c r="E10">
        <v>46223.166700000002</v>
      </c>
      <c r="F10">
        <v>4</v>
      </c>
      <c r="G10" t="s">
        <v>19600</v>
      </c>
      <c r="H10" t="s">
        <v>1188</v>
      </c>
      <c r="I10" t="s">
        <v>988</v>
      </c>
      <c r="J10" t="s">
        <v>14943</v>
      </c>
      <c r="K10" t="s">
        <v>15448</v>
      </c>
    </row>
    <row r="11" spans="1:12" x14ac:dyDescent="0.3">
      <c r="A11" t="s">
        <v>19601</v>
      </c>
      <c r="B11" t="s">
        <v>15744</v>
      </c>
      <c r="C11" t="s">
        <v>152</v>
      </c>
      <c r="D11">
        <v>46440</v>
      </c>
      <c r="E11">
        <v>46440.083299999998</v>
      </c>
      <c r="F11">
        <v>2</v>
      </c>
      <c r="G11" t="s">
        <v>19602</v>
      </c>
      <c r="H11" t="s">
        <v>19603</v>
      </c>
      <c r="I11" t="s">
        <v>988</v>
      </c>
      <c r="J11" t="s">
        <v>14767</v>
      </c>
      <c r="K11" t="s">
        <v>15447</v>
      </c>
    </row>
    <row r="12" spans="1:12" x14ac:dyDescent="0.3">
      <c r="A12" t="s">
        <v>19604</v>
      </c>
      <c r="B12" t="s">
        <v>15652</v>
      </c>
      <c r="C12" t="s">
        <v>14991</v>
      </c>
      <c r="D12">
        <v>46392</v>
      </c>
      <c r="E12">
        <v>46392.25</v>
      </c>
      <c r="F12">
        <v>6</v>
      </c>
      <c r="G12" t="s">
        <v>16699</v>
      </c>
      <c r="H12" t="s">
        <v>1188</v>
      </c>
      <c r="I12" t="s">
        <v>988</v>
      </c>
      <c r="J12" t="s">
        <v>14767</v>
      </c>
      <c r="K12" t="s">
        <v>15448</v>
      </c>
      <c r="L12" t="s">
        <v>19605</v>
      </c>
    </row>
    <row r="13" spans="1:12" x14ac:dyDescent="0.3">
      <c r="A13" t="s">
        <v>19606</v>
      </c>
      <c r="B13" t="s">
        <v>15458</v>
      </c>
      <c r="C13" t="s">
        <v>1158</v>
      </c>
      <c r="D13">
        <v>46339</v>
      </c>
      <c r="E13">
        <v>46339.166700000002</v>
      </c>
      <c r="F13">
        <v>4</v>
      </c>
      <c r="G13" t="s">
        <v>16615</v>
      </c>
      <c r="H13" t="s">
        <v>1188</v>
      </c>
      <c r="I13" t="s">
        <v>988</v>
      </c>
      <c r="J13" t="s">
        <v>14767</v>
      </c>
      <c r="K13" t="s">
        <v>15448</v>
      </c>
    </row>
    <row r="14" spans="1:12" x14ac:dyDescent="0.3">
      <c r="A14" t="s">
        <v>19607</v>
      </c>
      <c r="B14" t="s">
        <v>15673</v>
      </c>
      <c r="C14" t="s">
        <v>1159</v>
      </c>
      <c r="D14">
        <v>46431</v>
      </c>
      <c r="E14">
        <v>46431.125</v>
      </c>
      <c r="F14">
        <v>3</v>
      </c>
      <c r="G14" t="s">
        <v>19608</v>
      </c>
      <c r="H14" t="s">
        <v>1188</v>
      </c>
      <c r="I14" t="s">
        <v>988</v>
      </c>
      <c r="J14" t="s">
        <v>14767</v>
      </c>
      <c r="K14" t="s">
        <v>15447</v>
      </c>
    </row>
    <row r="15" spans="1:12" x14ac:dyDescent="0.3">
      <c r="A15" t="s">
        <v>19609</v>
      </c>
      <c r="B15" t="s">
        <v>15587</v>
      </c>
      <c r="C15" t="s">
        <v>14993</v>
      </c>
      <c r="D15">
        <v>46220</v>
      </c>
      <c r="E15">
        <v>46220.020799999998</v>
      </c>
      <c r="F15">
        <v>0.5</v>
      </c>
      <c r="G15" t="s">
        <v>16725</v>
      </c>
      <c r="H15" t="s">
        <v>1188</v>
      </c>
      <c r="I15" t="s">
        <v>988</v>
      </c>
      <c r="J15" t="s">
        <v>1104</v>
      </c>
      <c r="K15" t="s">
        <v>15447</v>
      </c>
      <c r="L15" t="s">
        <v>19610</v>
      </c>
    </row>
    <row r="16" spans="1:12" x14ac:dyDescent="0.3">
      <c r="A16" t="s">
        <v>19611</v>
      </c>
      <c r="B16" t="s">
        <v>15655</v>
      </c>
      <c r="C16" t="s">
        <v>14991</v>
      </c>
      <c r="D16">
        <v>46357</v>
      </c>
      <c r="E16">
        <v>46357.166700000002</v>
      </c>
      <c r="F16">
        <v>4</v>
      </c>
      <c r="G16" t="s">
        <v>16624</v>
      </c>
      <c r="H16" t="s">
        <v>1188</v>
      </c>
      <c r="I16" t="s">
        <v>988</v>
      </c>
      <c r="J16" t="s">
        <v>14767</v>
      </c>
      <c r="K16" t="s">
        <v>15448</v>
      </c>
      <c r="L16" t="s">
        <v>19612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E831-8868-4738-A2FE-DCC583A3D665}">
  <sheetPr>
    <tabColor theme="5"/>
  </sheetPr>
  <dimension ref="A1:W372"/>
  <sheetViews>
    <sheetView topLeftCell="J1" workbookViewId="0">
      <pane ySplit="4" topLeftCell="A5" activePane="bottomLeft" state="frozen"/>
      <selection activeCell="G26" sqref="G26"/>
      <selection pane="bottomLeft" activeCell="G1" sqref="G1:G1048576"/>
    </sheetView>
  </sheetViews>
  <sheetFormatPr defaultRowHeight="14.4" x14ac:dyDescent="0.3"/>
  <cols>
    <col min="1" max="1" width="14.77734375" customWidth="1"/>
    <col min="2" max="2" width="15.77734375" customWidth="1"/>
    <col min="3" max="3" width="27.77734375" customWidth="1"/>
    <col min="4" max="4" width="16.6640625" customWidth="1"/>
    <col min="5" max="5" width="22.5546875" style="153" customWidth="1"/>
    <col min="6" max="6" width="14.77734375" customWidth="1"/>
    <col min="7" max="7" width="24.109375" customWidth="1"/>
    <col min="8" max="8" width="16.6640625" customWidth="1"/>
    <col min="9" max="9" width="17.5546875" customWidth="1"/>
    <col min="10" max="11" width="16.6640625" customWidth="1"/>
    <col min="12" max="12" width="13" customWidth="1"/>
    <col min="13" max="13" width="17.5546875" customWidth="1"/>
    <col min="14" max="15" width="16.6640625" customWidth="1"/>
    <col min="16" max="16" width="13" customWidth="1"/>
    <col min="17" max="17" width="20.33203125" customWidth="1"/>
    <col min="18" max="19" width="16.6640625" customWidth="1"/>
    <col min="20" max="20" width="13" customWidth="1"/>
    <col min="21" max="21" width="18.5546875" customWidth="1"/>
    <col min="22" max="22" width="56.109375" bestFit="1" customWidth="1"/>
    <col min="23" max="23" width="22.44140625" bestFit="1" customWidth="1"/>
  </cols>
  <sheetData>
    <row r="1" spans="1:23" ht="33" customHeight="1" x14ac:dyDescent="0.3">
      <c r="A1" s="216" t="s">
        <v>16091</v>
      </c>
      <c r="B1" s="216"/>
      <c r="C1" s="16" t="s">
        <v>16092</v>
      </c>
      <c r="D1" s="386" t="s">
        <v>16093</v>
      </c>
      <c r="E1" s="249" t="s">
        <v>16094</v>
      </c>
      <c r="F1" s="386" t="s">
        <v>16095</v>
      </c>
      <c r="G1" s="16" t="s">
        <v>16096</v>
      </c>
      <c r="H1" s="386" t="s">
        <v>16095</v>
      </c>
      <c r="I1" s="16" t="s">
        <v>16097</v>
      </c>
      <c r="J1" s="386" t="s">
        <v>16095</v>
      </c>
      <c r="L1" s="226" t="s">
        <v>16098</v>
      </c>
    </row>
    <row r="2" spans="1:23" x14ac:dyDescent="0.3">
      <c r="A2" s="16" t="s">
        <v>16099</v>
      </c>
      <c r="B2" t="str">
        <f>COUNTA(A5:A246)&amp;" of "&amp;COUNTA(A5:A246)&amp;" bookings"</f>
        <v>242 of 242 bookings</v>
      </c>
    </row>
    <row r="4" spans="1:23" ht="30" customHeight="1" x14ac:dyDescent="0.3">
      <c r="A4" s="499" t="s">
        <v>16100</v>
      </c>
      <c r="B4" s="500" t="s">
        <v>1537</v>
      </c>
      <c r="C4" s="500" t="s">
        <v>1542</v>
      </c>
      <c r="D4" s="500" t="s">
        <v>15432</v>
      </c>
      <c r="E4" s="501" t="s">
        <v>16101</v>
      </c>
      <c r="F4" s="500" t="s">
        <v>1140</v>
      </c>
      <c r="G4" s="500" t="s">
        <v>14988</v>
      </c>
      <c r="H4" s="500" t="s">
        <v>19582</v>
      </c>
      <c r="I4" s="500" t="s">
        <v>19583</v>
      </c>
      <c r="J4" s="500" t="s">
        <v>1574</v>
      </c>
      <c r="K4" s="387" t="s">
        <v>16102</v>
      </c>
      <c r="L4" s="387" t="s">
        <v>14976</v>
      </c>
      <c r="M4" s="387" t="s">
        <v>16103</v>
      </c>
      <c r="N4" s="387" t="s">
        <v>16104</v>
      </c>
      <c r="O4" s="387" t="s">
        <v>16105</v>
      </c>
      <c r="P4" s="387" t="s">
        <v>14975</v>
      </c>
      <c r="Q4" s="387" t="s">
        <v>16106</v>
      </c>
      <c r="R4" s="387" t="s">
        <v>16107</v>
      </c>
      <c r="S4" s="387" t="s">
        <v>16108</v>
      </c>
      <c r="T4" s="387" t="s">
        <v>14974</v>
      </c>
      <c r="U4" s="387" t="s">
        <v>16109</v>
      </c>
      <c r="V4" s="388" t="s">
        <v>1245</v>
      </c>
      <c r="W4" s="389" t="s">
        <v>16110</v>
      </c>
    </row>
    <row r="5" spans="1:23" ht="30" customHeight="1" x14ac:dyDescent="0.3">
      <c r="A5" s="496" t="s">
        <v>16111</v>
      </c>
      <c r="B5" s="496" t="s">
        <v>15290</v>
      </c>
      <c r="C5" s="496" t="s">
        <v>15467</v>
      </c>
      <c r="D5" s="496" t="s">
        <v>1158</v>
      </c>
      <c r="E5" s="497" t="s">
        <v>1122</v>
      </c>
      <c r="F5" s="496" t="s">
        <v>15441</v>
      </c>
      <c r="G5" s="496" t="s">
        <v>16112</v>
      </c>
      <c r="H5" s="496">
        <v>46237</v>
      </c>
      <c r="I5" s="496">
        <v>46239</v>
      </c>
      <c r="J5" s="496">
        <f>I5-H5+1</f>
        <v>3</v>
      </c>
      <c r="K5" s="496"/>
      <c r="L5" s="496"/>
      <c r="M5" s="496"/>
      <c r="N5" s="496"/>
      <c r="O5" s="496"/>
      <c r="P5" s="496"/>
      <c r="Q5" s="496"/>
      <c r="R5" s="496"/>
      <c r="S5" s="496"/>
      <c r="T5" s="496"/>
      <c r="U5" s="496"/>
      <c r="V5" s="496"/>
      <c r="W5" s="498"/>
    </row>
    <row r="6" spans="1:23" ht="30" customHeight="1" x14ac:dyDescent="0.3">
      <c r="A6" s="496" t="s">
        <v>16118</v>
      </c>
      <c r="B6" s="496" t="s">
        <v>15290</v>
      </c>
      <c r="C6" s="496" t="s">
        <v>15467</v>
      </c>
      <c r="D6" s="496" t="s">
        <v>1158</v>
      </c>
      <c r="E6" s="497" t="s">
        <v>1122</v>
      </c>
      <c r="F6" s="496" t="s">
        <v>1081</v>
      </c>
      <c r="G6" s="496" t="s">
        <v>16113</v>
      </c>
      <c r="H6" s="496">
        <v>46240</v>
      </c>
      <c r="I6" s="496">
        <v>46241</v>
      </c>
      <c r="J6" s="496">
        <f>I6-H6+1</f>
        <v>2</v>
      </c>
      <c r="K6" s="496"/>
      <c r="L6" s="496"/>
      <c r="M6" s="496"/>
      <c r="N6" s="496"/>
      <c r="O6" s="496"/>
      <c r="P6" s="496"/>
      <c r="Q6" s="496"/>
      <c r="R6" s="496"/>
      <c r="S6" s="496"/>
      <c r="T6" s="496"/>
      <c r="U6" s="496"/>
      <c r="V6" s="496"/>
      <c r="W6" s="498"/>
    </row>
    <row r="7" spans="1:23" ht="30" customHeight="1" x14ac:dyDescent="0.3">
      <c r="A7" s="496" t="s">
        <v>16123</v>
      </c>
      <c r="B7" s="496" t="s">
        <v>15290</v>
      </c>
      <c r="C7" s="496" t="s">
        <v>15467</v>
      </c>
      <c r="D7" s="496" t="s">
        <v>1158</v>
      </c>
      <c r="E7" s="497" t="s">
        <v>1122</v>
      </c>
      <c r="F7" s="496" t="s">
        <v>19770</v>
      </c>
      <c r="G7" s="496" t="s">
        <v>16114</v>
      </c>
      <c r="H7" s="496">
        <v>46242</v>
      </c>
      <c r="I7" s="496">
        <v>46242</v>
      </c>
      <c r="J7" s="496">
        <f>I7-H7+1</f>
        <v>1</v>
      </c>
      <c r="K7" s="496"/>
      <c r="L7" s="496"/>
      <c r="M7" s="496"/>
      <c r="N7" s="496"/>
      <c r="O7" s="496"/>
      <c r="P7" s="496"/>
      <c r="Q7" s="496"/>
      <c r="R7" s="496"/>
      <c r="S7" s="496"/>
      <c r="T7" s="496"/>
      <c r="U7" s="496"/>
      <c r="V7" s="496"/>
      <c r="W7" s="498"/>
    </row>
    <row r="8" spans="1:23" ht="30" customHeight="1" x14ac:dyDescent="0.3">
      <c r="A8" s="496" t="s">
        <v>16126</v>
      </c>
      <c r="B8" s="496" t="s">
        <v>15292</v>
      </c>
      <c r="C8" s="496" t="s">
        <v>15560</v>
      </c>
      <c r="D8" s="496" t="s">
        <v>14994</v>
      </c>
      <c r="E8" s="497" t="s">
        <v>1125</v>
      </c>
      <c r="F8" s="496" t="s">
        <v>15441</v>
      </c>
      <c r="G8" s="496" t="s">
        <v>16119</v>
      </c>
      <c r="H8" s="496">
        <v>46236</v>
      </c>
      <c r="I8" s="496">
        <v>46240</v>
      </c>
      <c r="J8" s="496">
        <f>I8-H8+1</f>
        <v>5</v>
      </c>
      <c r="K8" s="496"/>
      <c r="L8" s="496"/>
      <c r="M8" s="496"/>
      <c r="N8" s="496"/>
      <c r="O8" s="496"/>
      <c r="P8" s="496"/>
      <c r="Q8" s="496"/>
      <c r="R8" s="496"/>
      <c r="S8" s="496"/>
      <c r="T8" s="496"/>
      <c r="U8" s="496"/>
      <c r="V8" s="496"/>
      <c r="W8" s="498"/>
    </row>
    <row r="9" spans="1:23" ht="30" customHeight="1" x14ac:dyDescent="0.3">
      <c r="A9" s="496" t="s">
        <v>16130</v>
      </c>
      <c r="B9" s="496" t="s">
        <v>15292</v>
      </c>
      <c r="C9" s="496" t="s">
        <v>15560</v>
      </c>
      <c r="D9" s="496" t="s">
        <v>14994</v>
      </c>
      <c r="E9" s="497" t="s">
        <v>1125</v>
      </c>
      <c r="F9" s="496" t="s">
        <v>1081</v>
      </c>
      <c r="G9" s="496" t="s">
        <v>16120</v>
      </c>
      <c r="H9" s="496">
        <v>46241</v>
      </c>
      <c r="I9" s="496">
        <v>46243</v>
      </c>
      <c r="J9" s="496">
        <f>I9-H9+1</f>
        <v>3</v>
      </c>
      <c r="K9" s="496"/>
      <c r="L9" s="496"/>
      <c r="M9" s="496"/>
      <c r="N9" s="496"/>
      <c r="O9" s="496"/>
      <c r="P9" s="496"/>
      <c r="Q9" s="496"/>
      <c r="R9" s="496"/>
      <c r="S9" s="496"/>
      <c r="T9" s="496"/>
      <c r="U9" s="496"/>
      <c r="V9" s="496"/>
      <c r="W9" s="498"/>
    </row>
    <row r="10" spans="1:23" ht="30" customHeight="1" x14ac:dyDescent="0.3">
      <c r="A10" s="496" t="s">
        <v>16135</v>
      </c>
      <c r="B10" s="496" t="s">
        <v>15292</v>
      </c>
      <c r="C10" s="496" t="s">
        <v>15560</v>
      </c>
      <c r="D10" s="496" t="s">
        <v>14994</v>
      </c>
      <c r="E10" s="497" t="s">
        <v>1125</v>
      </c>
      <c r="F10" s="496" t="s">
        <v>19770</v>
      </c>
      <c r="G10" s="496" t="s">
        <v>16121</v>
      </c>
      <c r="H10" s="496">
        <v>46244</v>
      </c>
      <c r="I10" s="496">
        <v>46245</v>
      </c>
      <c r="J10" s="496">
        <f>I10-H10+1</f>
        <v>2</v>
      </c>
      <c r="K10" s="496"/>
      <c r="L10" s="496"/>
      <c r="M10" s="496"/>
      <c r="N10" s="496"/>
      <c r="O10" s="496"/>
      <c r="P10" s="496"/>
      <c r="Q10" s="496"/>
      <c r="R10" s="496"/>
      <c r="S10" s="496"/>
      <c r="T10" s="496"/>
      <c r="U10" s="496"/>
      <c r="V10" s="496"/>
      <c r="W10" s="498"/>
    </row>
    <row r="11" spans="1:23" ht="30" customHeight="1" x14ac:dyDescent="0.3">
      <c r="A11" s="496" t="s">
        <v>16140</v>
      </c>
      <c r="B11" s="496" t="s">
        <v>15294</v>
      </c>
      <c r="C11" s="496" t="s">
        <v>15608</v>
      </c>
      <c r="D11" s="496" t="s">
        <v>14993</v>
      </c>
      <c r="E11" s="497" t="s">
        <v>1122</v>
      </c>
      <c r="F11" s="496" t="s">
        <v>15441</v>
      </c>
      <c r="G11" s="496" t="s">
        <v>16112</v>
      </c>
      <c r="H11" s="496">
        <v>46238</v>
      </c>
      <c r="I11" s="496">
        <v>46240</v>
      </c>
      <c r="J11" s="496">
        <f>I11-H11+1</f>
        <v>3</v>
      </c>
      <c r="K11" s="496"/>
      <c r="L11" s="496"/>
      <c r="M11" s="496"/>
      <c r="N11" s="496"/>
      <c r="O11" s="496"/>
      <c r="P11" s="496"/>
      <c r="Q11" s="496"/>
      <c r="R11" s="496"/>
      <c r="S11" s="496"/>
      <c r="T11" s="496"/>
      <c r="U11" s="496"/>
      <c r="V11" s="496"/>
      <c r="W11" s="498"/>
    </row>
    <row r="12" spans="1:23" ht="30" customHeight="1" x14ac:dyDescent="0.3">
      <c r="A12" s="496" t="s">
        <v>16143</v>
      </c>
      <c r="B12" s="496" t="s">
        <v>15294</v>
      </c>
      <c r="C12" s="496" t="s">
        <v>15608</v>
      </c>
      <c r="D12" s="496" t="s">
        <v>14993</v>
      </c>
      <c r="E12" s="497" t="s">
        <v>1122</v>
      </c>
      <c r="F12" s="496" t="s">
        <v>1081</v>
      </c>
      <c r="G12" s="496" t="s">
        <v>16113</v>
      </c>
      <c r="H12" s="496">
        <v>46241</v>
      </c>
      <c r="I12" s="496">
        <v>46242</v>
      </c>
      <c r="J12" s="496">
        <f>I12-H12+1</f>
        <v>2</v>
      </c>
      <c r="K12" s="496"/>
      <c r="L12" s="496"/>
      <c r="M12" s="496"/>
      <c r="N12" s="496"/>
      <c r="O12" s="496"/>
      <c r="P12" s="496"/>
      <c r="Q12" s="496"/>
      <c r="R12" s="496"/>
      <c r="S12" s="496"/>
      <c r="T12" s="496"/>
      <c r="U12" s="496"/>
      <c r="V12" s="496"/>
      <c r="W12" s="498"/>
    </row>
    <row r="13" spans="1:23" ht="30" customHeight="1" x14ac:dyDescent="0.3">
      <c r="A13" s="496" t="s">
        <v>16148</v>
      </c>
      <c r="B13" s="496" t="s">
        <v>15294</v>
      </c>
      <c r="C13" s="496" t="s">
        <v>15608</v>
      </c>
      <c r="D13" s="496" t="s">
        <v>14993</v>
      </c>
      <c r="E13" s="497" t="s">
        <v>1122</v>
      </c>
      <c r="F13" s="496" t="s">
        <v>19770</v>
      </c>
      <c r="G13" s="496" t="s">
        <v>16114</v>
      </c>
      <c r="H13" s="496">
        <v>46243</v>
      </c>
      <c r="I13" s="496">
        <v>46243</v>
      </c>
      <c r="J13" s="496">
        <f>I13-H13+1</f>
        <v>1</v>
      </c>
      <c r="K13" s="496"/>
      <c r="L13" s="496"/>
      <c r="M13" s="496"/>
      <c r="N13" s="496"/>
      <c r="O13" s="496"/>
      <c r="P13" s="496"/>
      <c r="Q13" s="496"/>
      <c r="R13" s="496"/>
      <c r="S13" s="496"/>
      <c r="T13" s="496"/>
      <c r="U13" s="496"/>
      <c r="V13" s="496"/>
      <c r="W13" s="498"/>
    </row>
    <row r="14" spans="1:23" ht="30" customHeight="1" x14ac:dyDescent="0.3">
      <c r="A14" s="496" t="s">
        <v>16152</v>
      </c>
      <c r="B14" s="496" t="s">
        <v>15296</v>
      </c>
      <c r="C14" s="496" t="s">
        <v>15622</v>
      </c>
      <c r="D14" s="496" t="s">
        <v>14992</v>
      </c>
      <c r="E14" s="497" t="s">
        <v>1125</v>
      </c>
      <c r="F14" s="496" t="s">
        <v>15441</v>
      </c>
      <c r="G14" s="496" t="s">
        <v>16127</v>
      </c>
      <c r="H14" s="496">
        <v>46203</v>
      </c>
      <c r="I14" s="496">
        <v>46207</v>
      </c>
      <c r="J14" s="496">
        <f>I14-H14+1</f>
        <v>5</v>
      </c>
      <c r="K14" s="496"/>
      <c r="L14" s="496"/>
      <c r="M14" s="496"/>
      <c r="N14" s="496"/>
      <c r="O14" s="496"/>
      <c r="P14" s="496"/>
      <c r="Q14" s="496"/>
      <c r="R14" s="496"/>
      <c r="S14" s="496"/>
      <c r="T14" s="496"/>
      <c r="U14" s="496"/>
      <c r="V14" s="496"/>
      <c r="W14" s="498"/>
    </row>
    <row r="15" spans="1:23" ht="30" customHeight="1" x14ac:dyDescent="0.3">
      <c r="A15" s="496" t="s">
        <v>16153</v>
      </c>
      <c r="B15" s="496" t="s">
        <v>15296</v>
      </c>
      <c r="C15" s="496" t="s">
        <v>15622</v>
      </c>
      <c r="D15" s="496" t="s">
        <v>14992</v>
      </c>
      <c r="E15" s="497" t="s">
        <v>1125</v>
      </c>
      <c r="F15" s="496" t="s">
        <v>1081</v>
      </c>
      <c r="G15" s="496" t="s">
        <v>16128</v>
      </c>
      <c r="H15" s="496">
        <v>46208</v>
      </c>
      <c r="I15" s="496">
        <v>46210</v>
      </c>
      <c r="J15" s="496">
        <f>I15-H15+1</f>
        <v>3</v>
      </c>
      <c r="K15" s="496"/>
      <c r="L15" s="496"/>
      <c r="M15" s="496"/>
      <c r="N15" s="496"/>
      <c r="O15" s="496"/>
      <c r="P15" s="496"/>
      <c r="Q15" s="496"/>
      <c r="R15" s="496"/>
      <c r="S15" s="496"/>
      <c r="T15" s="496"/>
      <c r="U15" s="496"/>
      <c r="V15" s="496"/>
      <c r="W15" s="498"/>
    </row>
    <row r="16" spans="1:23" ht="30" customHeight="1" x14ac:dyDescent="0.3">
      <c r="A16" s="496" t="s">
        <v>16157</v>
      </c>
      <c r="B16" s="496" t="s">
        <v>15296</v>
      </c>
      <c r="C16" s="496" t="s">
        <v>15622</v>
      </c>
      <c r="D16" s="496" t="s">
        <v>14992</v>
      </c>
      <c r="E16" s="497" t="s">
        <v>1125</v>
      </c>
      <c r="F16" s="496" t="s">
        <v>19770</v>
      </c>
      <c r="G16" s="496" t="s">
        <v>19771</v>
      </c>
      <c r="H16" s="496">
        <v>46211</v>
      </c>
      <c r="I16" s="496">
        <v>46212</v>
      </c>
      <c r="J16" s="496">
        <f>I16-H16+1</f>
        <v>2</v>
      </c>
      <c r="K16" s="496"/>
      <c r="L16" s="496"/>
      <c r="M16" s="496"/>
      <c r="N16" s="496"/>
      <c r="O16" s="496"/>
      <c r="P16" s="496"/>
      <c r="Q16" s="496"/>
      <c r="R16" s="496"/>
      <c r="S16" s="496"/>
      <c r="T16" s="496"/>
      <c r="U16" s="496"/>
      <c r="V16" s="496"/>
      <c r="W16" s="498"/>
    </row>
    <row r="17" spans="1:23" ht="30" customHeight="1" x14ac:dyDescent="0.3">
      <c r="A17" s="496" t="s">
        <v>16159</v>
      </c>
      <c r="B17" s="496" t="s">
        <v>15298</v>
      </c>
      <c r="C17" s="496" t="s">
        <v>15664</v>
      </c>
      <c r="D17" s="496" t="s">
        <v>14991</v>
      </c>
      <c r="E17" s="497" t="s">
        <v>1125</v>
      </c>
      <c r="F17" s="496" t="s">
        <v>15441</v>
      </c>
      <c r="G17" s="496" t="s">
        <v>16131</v>
      </c>
      <c r="H17" s="496">
        <v>46207</v>
      </c>
      <c r="I17" s="496">
        <v>46211</v>
      </c>
      <c r="J17" s="496">
        <f>I17-H17+1</f>
        <v>5</v>
      </c>
      <c r="K17" s="496"/>
      <c r="L17" s="496"/>
      <c r="M17" s="496"/>
      <c r="N17" s="496"/>
      <c r="O17" s="496"/>
      <c r="P17" s="496"/>
      <c r="Q17" s="496"/>
      <c r="R17" s="496"/>
      <c r="S17" s="496"/>
      <c r="T17" s="496"/>
      <c r="U17" s="496"/>
      <c r="V17" s="496"/>
      <c r="W17" s="498"/>
    </row>
    <row r="18" spans="1:23" ht="30" customHeight="1" x14ac:dyDescent="0.3">
      <c r="A18" s="496" t="s">
        <v>16164</v>
      </c>
      <c r="B18" s="496" t="s">
        <v>15298</v>
      </c>
      <c r="C18" s="496" t="s">
        <v>15664</v>
      </c>
      <c r="D18" s="496" t="s">
        <v>14991</v>
      </c>
      <c r="E18" s="497" t="s">
        <v>1125</v>
      </c>
      <c r="F18" s="496" t="s">
        <v>1081</v>
      </c>
      <c r="G18" s="496" t="s">
        <v>16132</v>
      </c>
      <c r="H18" s="496">
        <v>46212</v>
      </c>
      <c r="I18" s="496">
        <v>46214</v>
      </c>
      <c r="J18" s="496">
        <f>I18-H18+1</f>
        <v>3</v>
      </c>
      <c r="K18" s="496"/>
      <c r="L18" s="496"/>
      <c r="M18" s="496"/>
      <c r="N18" s="496"/>
      <c r="O18" s="496"/>
      <c r="P18" s="496"/>
      <c r="Q18" s="496"/>
      <c r="R18" s="496"/>
      <c r="S18" s="496"/>
      <c r="T18" s="496"/>
      <c r="U18" s="496"/>
      <c r="V18" s="496"/>
      <c r="W18" s="498"/>
    </row>
    <row r="19" spans="1:23" ht="30" customHeight="1" x14ac:dyDescent="0.3">
      <c r="A19" s="496" t="s">
        <v>16167</v>
      </c>
      <c r="B19" s="496" t="s">
        <v>15298</v>
      </c>
      <c r="C19" s="496" t="s">
        <v>15664</v>
      </c>
      <c r="D19" s="496" t="s">
        <v>14991</v>
      </c>
      <c r="E19" s="497" t="s">
        <v>1125</v>
      </c>
      <c r="F19" s="496" t="s">
        <v>19770</v>
      </c>
      <c r="G19" s="496" t="s">
        <v>16133</v>
      </c>
      <c r="H19" s="496">
        <v>46215</v>
      </c>
      <c r="I19" s="496">
        <v>46216</v>
      </c>
      <c r="J19" s="496">
        <f>I19-H19+1</f>
        <v>2</v>
      </c>
      <c r="K19" s="496"/>
      <c r="L19" s="496"/>
      <c r="M19" s="496"/>
      <c r="N19" s="496"/>
      <c r="O19" s="496"/>
      <c r="P19" s="496"/>
      <c r="Q19" s="496"/>
      <c r="R19" s="496"/>
      <c r="S19" s="496"/>
      <c r="T19" s="496"/>
      <c r="U19" s="496"/>
      <c r="V19" s="496"/>
      <c r="W19" s="498"/>
    </row>
    <row r="20" spans="1:23" ht="30" customHeight="1" x14ac:dyDescent="0.3">
      <c r="A20" s="496" t="s">
        <v>16170</v>
      </c>
      <c r="B20" s="496" t="s">
        <v>15300</v>
      </c>
      <c r="C20" s="496" t="s">
        <v>15676</v>
      </c>
      <c r="D20" s="496" t="s">
        <v>1159</v>
      </c>
      <c r="E20" s="497" t="s">
        <v>1122</v>
      </c>
      <c r="F20" s="496" t="s">
        <v>15441</v>
      </c>
      <c r="G20" s="496" t="s">
        <v>16136</v>
      </c>
      <c r="H20" s="496">
        <v>46215</v>
      </c>
      <c r="I20" s="496">
        <v>46217</v>
      </c>
      <c r="J20" s="496">
        <f>I20-H20+1</f>
        <v>3</v>
      </c>
      <c r="K20" s="496"/>
      <c r="L20" s="496"/>
      <c r="M20" s="496"/>
      <c r="N20" s="496"/>
      <c r="O20" s="496"/>
      <c r="P20" s="496"/>
      <c r="Q20" s="496"/>
      <c r="R20" s="496"/>
      <c r="S20" s="496"/>
      <c r="T20" s="496"/>
      <c r="U20" s="496"/>
      <c r="V20" s="496"/>
      <c r="W20" s="498"/>
    </row>
    <row r="21" spans="1:23" ht="30" customHeight="1" x14ac:dyDescent="0.3">
      <c r="A21" s="496" t="s">
        <v>16173</v>
      </c>
      <c r="B21" s="496" t="s">
        <v>15300</v>
      </c>
      <c r="C21" s="496" t="s">
        <v>15676</v>
      </c>
      <c r="D21" s="496" t="s">
        <v>1159</v>
      </c>
      <c r="E21" s="497" t="s">
        <v>1122</v>
      </c>
      <c r="F21" s="496" t="s">
        <v>1081</v>
      </c>
      <c r="G21" s="496" t="s">
        <v>16137</v>
      </c>
      <c r="H21" s="496">
        <v>46218</v>
      </c>
      <c r="I21" s="496">
        <v>46219</v>
      </c>
      <c r="J21" s="496">
        <f>I21-H21+1</f>
        <v>2</v>
      </c>
      <c r="K21" s="496"/>
      <c r="L21" s="496"/>
      <c r="M21" s="496"/>
      <c r="N21" s="496"/>
      <c r="O21" s="496"/>
      <c r="P21" s="496"/>
      <c r="Q21" s="496"/>
      <c r="R21" s="496"/>
      <c r="S21" s="496"/>
      <c r="T21" s="496"/>
      <c r="U21" s="496"/>
      <c r="V21" s="496"/>
      <c r="W21" s="498"/>
    </row>
    <row r="22" spans="1:23" ht="30" customHeight="1" x14ac:dyDescent="0.3">
      <c r="A22" s="496" t="s">
        <v>16176</v>
      </c>
      <c r="B22" s="496" t="s">
        <v>15300</v>
      </c>
      <c r="C22" s="496" t="s">
        <v>15676</v>
      </c>
      <c r="D22" s="496" t="s">
        <v>1159</v>
      </c>
      <c r="E22" s="497" t="s">
        <v>1122</v>
      </c>
      <c r="F22" s="496" t="s">
        <v>19770</v>
      </c>
      <c r="G22" s="496" t="s">
        <v>16138</v>
      </c>
      <c r="H22" s="496">
        <v>46220</v>
      </c>
      <c r="I22" s="496">
        <v>46220</v>
      </c>
      <c r="J22" s="496">
        <f>I22-H22+1</f>
        <v>1</v>
      </c>
      <c r="K22" s="496"/>
      <c r="L22" s="496"/>
      <c r="M22" s="496"/>
      <c r="N22" s="496"/>
      <c r="O22" s="496"/>
      <c r="P22" s="496"/>
      <c r="Q22" s="496"/>
      <c r="R22" s="496"/>
      <c r="S22" s="496"/>
      <c r="T22" s="496"/>
      <c r="U22" s="496"/>
      <c r="V22" s="496"/>
      <c r="W22" s="498"/>
    </row>
    <row r="23" spans="1:23" ht="30" customHeight="1" x14ac:dyDescent="0.3">
      <c r="A23" s="496" t="s">
        <v>16181</v>
      </c>
      <c r="B23" s="496" t="s">
        <v>15302</v>
      </c>
      <c r="C23" s="496" t="s">
        <v>15705</v>
      </c>
      <c r="D23" s="496" t="s">
        <v>14990</v>
      </c>
      <c r="E23" s="497" t="s">
        <v>1125</v>
      </c>
      <c r="F23" s="496" t="s">
        <v>15441</v>
      </c>
      <c r="G23" s="496" t="s">
        <v>16112</v>
      </c>
      <c r="H23" s="496">
        <v>46237</v>
      </c>
      <c r="I23" s="496">
        <v>46241</v>
      </c>
      <c r="J23" s="496">
        <f>I23-H23+1</f>
        <v>5</v>
      </c>
      <c r="K23" s="496"/>
      <c r="L23" s="496"/>
      <c r="M23" s="496"/>
      <c r="N23" s="496"/>
      <c r="O23" s="496"/>
      <c r="P23" s="496"/>
      <c r="Q23" s="496"/>
      <c r="R23" s="496"/>
      <c r="S23" s="496"/>
      <c r="T23" s="496"/>
      <c r="U23" s="496"/>
      <c r="V23" s="496"/>
      <c r="W23" s="498"/>
    </row>
    <row r="24" spans="1:23" ht="30" customHeight="1" x14ac:dyDescent="0.3">
      <c r="A24" s="496" t="s">
        <v>16187</v>
      </c>
      <c r="B24" s="496" t="s">
        <v>15302</v>
      </c>
      <c r="C24" s="496" t="s">
        <v>15705</v>
      </c>
      <c r="D24" s="496" t="s">
        <v>14990</v>
      </c>
      <c r="E24" s="497" t="s">
        <v>1125</v>
      </c>
      <c r="F24" s="496" t="s">
        <v>1081</v>
      </c>
      <c r="G24" s="496" t="s">
        <v>16113</v>
      </c>
      <c r="H24" s="496">
        <v>46242</v>
      </c>
      <c r="I24" s="496">
        <v>46244</v>
      </c>
      <c r="J24" s="496">
        <f>I24-H24+1</f>
        <v>3</v>
      </c>
      <c r="K24" s="496"/>
      <c r="L24" s="496"/>
      <c r="M24" s="496"/>
      <c r="N24" s="496"/>
      <c r="O24" s="496"/>
      <c r="P24" s="496"/>
      <c r="Q24" s="496"/>
      <c r="R24" s="496"/>
      <c r="S24" s="496"/>
      <c r="T24" s="496"/>
      <c r="U24" s="496"/>
      <c r="V24" s="496"/>
      <c r="W24" s="498"/>
    </row>
    <row r="25" spans="1:23" ht="30" customHeight="1" x14ac:dyDescent="0.3">
      <c r="A25" s="496" t="s">
        <v>16190</v>
      </c>
      <c r="B25" s="496" t="s">
        <v>15302</v>
      </c>
      <c r="C25" s="496" t="s">
        <v>15705</v>
      </c>
      <c r="D25" s="496" t="s">
        <v>14990</v>
      </c>
      <c r="E25" s="497" t="s">
        <v>1125</v>
      </c>
      <c r="F25" s="496" t="s">
        <v>19770</v>
      </c>
      <c r="G25" s="496" t="s">
        <v>16114</v>
      </c>
      <c r="H25" s="496">
        <v>46245</v>
      </c>
      <c r="I25" s="496">
        <v>46246</v>
      </c>
      <c r="J25" s="496">
        <f>I25-H25+1</f>
        <v>2</v>
      </c>
      <c r="K25" s="496"/>
      <c r="L25" s="496"/>
      <c r="M25" s="496"/>
      <c r="N25" s="496"/>
      <c r="O25" s="496"/>
      <c r="P25" s="496"/>
      <c r="Q25" s="496"/>
      <c r="R25" s="496"/>
      <c r="S25" s="496"/>
      <c r="T25" s="496"/>
      <c r="U25" s="496"/>
      <c r="V25" s="496"/>
      <c r="W25" s="498"/>
    </row>
    <row r="26" spans="1:23" ht="30" customHeight="1" x14ac:dyDescent="0.3">
      <c r="A26" s="496" t="s">
        <v>16193</v>
      </c>
      <c r="B26" s="496" t="s">
        <v>15304</v>
      </c>
      <c r="C26" s="496" t="s">
        <v>15732</v>
      </c>
      <c r="D26" s="496" t="s">
        <v>152</v>
      </c>
      <c r="E26" s="497" t="s">
        <v>1122</v>
      </c>
      <c r="F26" s="496" t="s">
        <v>15441</v>
      </c>
      <c r="G26" s="496" t="s">
        <v>16144</v>
      </c>
      <c r="H26" s="496">
        <v>46226</v>
      </c>
      <c r="I26" s="496">
        <v>46228</v>
      </c>
      <c r="J26" s="496">
        <f>I26-H26+1</f>
        <v>3</v>
      </c>
      <c r="K26" s="496"/>
      <c r="L26" s="496"/>
      <c r="M26" s="496"/>
      <c r="N26" s="496"/>
      <c r="O26" s="496"/>
      <c r="P26" s="496"/>
      <c r="Q26" s="496"/>
      <c r="R26" s="496"/>
      <c r="S26" s="496"/>
      <c r="T26" s="496"/>
      <c r="U26" s="496"/>
      <c r="V26" s="496"/>
      <c r="W26" s="498"/>
    </row>
    <row r="27" spans="1:23" ht="30" customHeight="1" x14ac:dyDescent="0.3">
      <c r="A27" s="496" t="s">
        <v>16196</v>
      </c>
      <c r="B27" s="496" t="s">
        <v>15304</v>
      </c>
      <c r="C27" s="496" t="s">
        <v>15732</v>
      </c>
      <c r="D27" s="496" t="s">
        <v>152</v>
      </c>
      <c r="E27" s="497" t="s">
        <v>1122</v>
      </c>
      <c r="F27" s="496" t="s">
        <v>1081</v>
      </c>
      <c r="G27" s="496" t="s">
        <v>16145</v>
      </c>
      <c r="H27" s="496">
        <v>46229</v>
      </c>
      <c r="I27" s="496">
        <v>46230</v>
      </c>
      <c r="J27" s="496">
        <f>I27-H27+1</f>
        <v>2</v>
      </c>
      <c r="K27" s="496"/>
      <c r="L27" s="496"/>
      <c r="M27" s="496"/>
      <c r="N27" s="496"/>
      <c r="O27" s="496"/>
      <c r="P27" s="496"/>
      <c r="Q27" s="496"/>
      <c r="R27" s="496"/>
      <c r="S27" s="496"/>
      <c r="T27" s="496"/>
      <c r="U27" s="496"/>
      <c r="V27" s="496"/>
      <c r="W27" s="498"/>
    </row>
    <row r="28" spans="1:23" ht="30" customHeight="1" x14ac:dyDescent="0.3">
      <c r="A28" s="496" t="s">
        <v>16202</v>
      </c>
      <c r="B28" s="496" t="s">
        <v>15304</v>
      </c>
      <c r="C28" s="496" t="s">
        <v>15732</v>
      </c>
      <c r="D28" s="496" t="s">
        <v>152</v>
      </c>
      <c r="E28" s="497" t="s">
        <v>1122</v>
      </c>
      <c r="F28" s="496" t="s">
        <v>19770</v>
      </c>
      <c r="G28" s="496" t="s">
        <v>16146</v>
      </c>
      <c r="H28" s="496">
        <v>46231</v>
      </c>
      <c r="I28" s="496">
        <v>46231</v>
      </c>
      <c r="J28" s="496">
        <f>I28-H28+1</f>
        <v>1</v>
      </c>
      <c r="K28" s="496"/>
      <c r="L28" s="496"/>
      <c r="M28" s="496"/>
      <c r="N28" s="496"/>
      <c r="O28" s="496"/>
      <c r="P28" s="496"/>
      <c r="Q28" s="496"/>
      <c r="R28" s="496"/>
      <c r="S28" s="496"/>
      <c r="T28" s="496"/>
      <c r="U28" s="496"/>
      <c r="V28" s="496"/>
      <c r="W28" s="498"/>
    </row>
    <row r="29" spans="1:23" ht="30" customHeight="1" x14ac:dyDescent="0.3">
      <c r="A29" s="496" t="s">
        <v>16205</v>
      </c>
      <c r="B29" s="496" t="s">
        <v>15306</v>
      </c>
      <c r="C29" s="496" t="s">
        <v>15458</v>
      </c>
      <c r="D29" s="496" t="s">
        <v>1158</v>
      </c>
      <c r="E29" s="497" t="s">
        <v>1122</v>
      </c>
      <c r="F29" s="496" t="s">
        <v>15441</v>
      </c>
      <c r="G29" s="496" t="s">
        <v>16149</v>
      </c>
      <c r="H29" s="496">
        <v>46230</v>
      </c>
      <c r="I29" s="496">
        <v>46232</v>
      </c>
      <c r="J29" s="496">
        <f>I29-H29+1</f>
        <v>3</v>
      </c>
      <c r="K29" s="496"/>
      <c r="L29" s="496"/>
      <c r="M29" s="496"/>
      <c r="N29" s="496"/>
      <c r="O29" s="496"/>
      <c r="P29" s="496"/>
      <c r="Q29" s="496"/>
      <c r="R29" s="496"/>
      <c r="S29" s="496"/>
      <c r="T29" s="496"/>
      <c r="U29" s="496"/>
      <c r="V29" s="496"/>
      <c r="W29" s="498"/>
    </row>
    <row r="30" spans="1:23" ht="30" customHeight="1" x14ac:dyDescent="0.3">
      <c r="A30" s="496" t="s">
        <v>16209</v>
      </c>
      <c r="B30" s="496" t="s">
        <v>15306</v>
      </c>
      <c r="C30" s="496" t="s">
        <v>15458</v>
      </c>
      <c r="D30" s="496" t="s">
        <v>1158</v>
      </c>
      <c r="E30" s="497" t="s">
        <v>1122</v>
      </c>
      <c r="F30" s="496" t="s">
        <v>1081</v>
      </c>
      <c r="G30" s="496" t="s">
        <v>16113</v>
      </c>
      <c r="H30" s="496">
        <v>46233</v>
      </c>
      <c r="I30" s="496">
        <v>46234</v>
      </c>
      <c r="J30" s="496">
        <f>I30-H30+1</f>
        <v>2</v>
      </c>
      <c r="K30" s="496"/>
      <c r="L30" s="496"/>
      <c r="M30" s="496"/>
      <c r="N30" s="496"/>
      <c r="O30" s="496"/>
      <c r="P30" s="496"/>
      <c r="Q30" s="496"/>
      <c r="R30" s="496"/>
      <c r="S30" s="496"/>
      <c r="T30" s="496"/>
      <c r="U30" s="496"/>
      <c r="V30" s="496"/>
      <c r="W30" s="498"/>
    </row>
    <row r="31" spans="1:23" ht="30" customHeight="1" x14ac:dyDescent="0.3">
      <c r="A31" s="496" t="s">
        <v>16212</v>
      </c>
      <c r="B31" s="496" t="s">
        <v>15306</v>
      </c>
      <c r="C31" s="496" t="s">
        <v>15458</v>
      </c>
      <c r="D31" s="496" t="s">
        <v>1158</v>
      </c>
      <c r="E31" s="497" t="s">
        <v>1122</v>
      </c>
      <c r="F31" s="496" t="s">
        <v>19770</v>
      </c>
      <c r="G31" s="496" t="s">
        <v>19772</v>
      </c>
      <c r="H31" s="496">
        <v>46235</v>
      </c>
      <c r="I31" s="496">
        <v>46235</v>
      </c>
      <c r="J31" s="496">
        <f>I31-H31+1</f>
        <v>1</v>
      </c>
      <c r="K31" s="496"/>
      <c r="L31" s="496"/>
      <c r="M31" s="496"/>
      <c r="N31" s="496"/>
      <c r="O31" s="496"/>
      <c r="P31" s="496"/>
      <c r="Q31" s="496"/>
      <c r="R31" s="496"/>
      <c r="S31" s="496"/>
      <c r="T31" s="496"/>
      <c r="U31" s="496"/>
      <c r="V31" s="496"/>
      <c r="W31" s="498"/>
    </row>
    <row r="32" spans="1:23" ht="30" customHeight="1" x14ac:dyDescent="0.3">
      <c r="A32" s="496" t="s">
        <v>16215</v>
      </c>
      <c r="B32" s="496" t="s">
        <v>15308</v>
      </c>
      <c r="C32" s="496" t="s">
        <v>15563</v>
      </c>
      <c r="D32" s="496" t="s">
        <v>14994</v>
      </c>
      <c r="E32" s="497" t="s">
        <v>1128</v>
      </c>
      <c r="F32" s="496" t="s">
        <v>15441</v>
      </c>
      <c r="G32" s="496" t="s">
        <v>16131</v>
      </c>
      <c r="H32" s="496">
        <v>46199</v>
      </c>
      <c r="I32" s="496">
        <v>46208</v>
      </c>
      <c r="J32" s="496">
        <f>I32-H32+1</f>
        <v>10</v>
      </c>
      <c r="K32" s="496"/>
      <c r="L32" s="496"/>
      <c r="M32" s="496"/>
      <c r="N32" s="496"/>
      <c r="O32" s="496"/>
      <c r="P32" s="496"/>
      <c r="Q32" s="496"/>
      <c r="R32" s="496"/>
      <c r="S32" s="496"/>
      <c r="T32" s="496"/>
      <c r="U32" s="496"/>
      <c r="V32" s="496"/>
      <c r="W32" s="498"/>
    </row>
    <row r="33" spans="1:23" ht="30" customHeight="1" x14ac:dyDescent="0.3">
      <c r="A33" s="496" t="s">
        <v>16218</v>
      </c>
      <c r="B33" s="496" t="s">
        <v>15308</v>
      </c>
      <c r="C33" s="496" t="s">
        <v>15563</v>
      </c>
      <c r="D33" s="496" t="s">
        <v>14994</v>
      </c>
      <c r="E33" s="497" t="s">
        <v>1128</v>
      </c>
      <c r="F33" s="496" t="s">
        <v>1081</v>
      </c>
      <c r="G33" s="496" t="s">
        <v>16132</v>
      </c>
      <c r="H33" s="496">
        <v>46209</v>
      </c>
      <c r="I33" s="496">
        <v>46213</v>
      </c>
      <c r="J33" s="496">
        <f>I33-H33+1</f>
        <v>5</v>
      </c>
      <c r="K33" s="496"/>
      <c r="L33" s="496"/>
      <c r="M33" s="496"/>
      <c r="N33" s="496"/>
      <c r="O33" s="496"/>
      <c r="P33" s="496"/>
      <c r="Q33" s="496"/>
      <c r="R33" s="496"/>
      <c r="S33" s="496"/>
      <c r="T33" s="496"/>
      <c r="U33" s="496"/>
      <c r="V33" s="496"/>
      <c r="W33" s="498"/>
    </row>
    <row r="34" spans="1:23" ht="30" customHeight="1" x14ac:dyDescent="0.3">
      <c r="A34" s="496" t="s">
        <v>16221</v>
      </c>
      <c r="B34" s="496" t="s">
        <v>15308</v>
      </c>
      <c r="C34" s="496" t="s">
        <v>15563</v>
      </c>
      <c r="D34" s="496" t="s">
        <v>14994</v>
      </c>
      <c r="E34" s="497" t="s">
        <v>1128</v>
      </c>
      <c r="F34" s="496" t="s">
        <v>19770</v>
      </c>
      <c r="G34" s="496" t="s">
        <v>16133</v>
      </c>
      <c r="H34" s="496">
        <v>46214</v>
      </c>
      <c r="I34" s="496">
        <v>46217</v>
      </c>
      <c r="J34" s="496">
        <f>I34-H34+1</f>
        <v>4</v>
      </c>
      <c r="K34" s="496"/>
      <c r="L34" s="496"/>
      <c r="M34" s="496"/>
      <c r="N34" s="496"/>
      <c r="O34" s="496"/>
      <c r="P34" s="496"/>
      <c r="Q34" s="496"/>
      <c r="R34" s="496"/>
      <c r="S34" s="496"/>
      <c r="T34" s="496"/>
      <c r="U34" s="496"/>
      <c r="V34" s="496"/>
      <c r="W34" s="498"/>
    </row>
    <row r="35" spans="1:23" ht="30" customHeight="1" x14ac:dyDescent="0.3">
      <c r="A35" s="496" t="s">
        <v>16225</v>
      </c>
      <c r="B35" s="496" t="s">
        <v>15310</v>
      </c>
      <c r="C35" s="496" t="s">
        <v>15596</v>
      </c>
      <c r="D35" s="496" t="s">
        <v>14993</v>
      </c>
      <c r="E35" s="497" t="s">
        <v>1122</v>
      </c>
      <c r="F35" s="496" t="s">
        <v>15441</v>
      </c>
      <c r="G35" s="496" t="s">
        <v>16154</v>
      </c>
      <c r="H35" s="496">
        <v>46238</v>
      </c>
      <c r="I35" s="496">
        <v>46240</v>
      </c>
      <c r="J35" s="496">
        <f>I35-H35+1</f>
        <v>3</v>
      </c>
      <c r="K35" s="496"/>
      <c r="L35" s="496"/>
      <c r="M35" s="496"/>
      <c r="N35" s="496"/>
      <c r="O35" s="496"/>
      <c r="P35" s="496"/>
      <c r="Q35" s="496"/>
      <c r="R35" s="496"/>
      <c r="S35" s="496"/>
      <c r="T35" s="496"/>
      <c r="U35" s="496"/>
      <c r="V35" s="496"/>
      <c r="W35" s="498"/>
    </row>
    <row r="36" spans="1:23" ht="30" customHeight="1" x14ac:dyDescent="0.3">
      <c r="A36" s="496" t="s">
        <v>16228</v>
      </c>
      <c r="B36" s="496" t="s">
        <v>15310</v>
      </c>
      <c r="C36" s="496" t="s">
        <v>15596</v>
      </c>
      <c r="D36" s="496" t="s">
        <v>14993</v>
      </c>
      <c r="E36" s="497" t="s">
        <v>1122</v>
      </c>
      <c r="F36" s="496" t="s">
        <v>1081</v>
      </c>
      <c r="G36" s="496" t="s">
        <v>16155</v>
      </c>
      <c r="H36" s="496">
        <v>46241</v>
      </c>
      <c r="I36" s="496">
        <v>46242</v>
      </c>
      <c r="J36" s="496">
        <f>I36-H36+1</f>
        <v>2</v>
      </c>
      <c r="K36" s="496"/>
      <c r="L36" s="496"/>
      <c r="M36" s="496"/>
      <c r="N36" s="496"/>
      <c r="O36" s="496"/>
      <c r="P36" s="496"/>
      <c r="Q36" s="496"/>
      <c r="R36" s="496"/>
      <c r="S36" s="496"/>
      <c r="T36" s="496"/>
      <c r="U36" s="496"/>
      <c r="V36" s="496"/>
      <c r="W36" s="498"/>
    </row>
    <row r="37" spans="1:23" ht="30" customHeight="1" x14ac:dyDescent="0.3">
      <c r="A37" s="496" t="s">
        <v>16230</v>
      </c>
      <c r="B37" s="496" t="s">
        <v>15310</v>
      </c>
      <c r="C37" s="496" t="s">
        <v>15596</v>
      </c>
      <c r="D37" s="496" t="s">
        <v>14993</v>
      </c>
      <c r="E37" s="497" t="s">
        <v>1122</v>
      </c>
      <c r="F37" s="496" t="s">
        <v>19770</v>
      </c>
      <c r="G37" s="496" t="s">
        <v>19773</v>
      </c>
      <c r="H37" s="496">
        <v>46243</v>
      </c>
      <c r="I37" s="496">
        <v>46243</v>
      </c>
      <c r="J37" s="496">
        <f>I37-H37+1</f>
        <v>1</v>
      </c>
      <c r="K37" s="496"/>
      <c r="L37" s="496"/>
      <c r="M37" s="496"/>
      <c r="N37" s="496"/>
      <c r="O37" s="496"/>
      <c r="P37" s="496"/>
      <c r="Q37" s="496"/>
      <c r="R37" s="496"/>
      <c r="S37" s="496"/>
      <c r="T37" s="496"/>
      <c r="U37" s="496"/>
      <c r="V37" s="496"/>
      <c r="W37" s="498"/>
    </row>
    <row r="38" spans="1:23" ht="30" customHeight="1" x14ac:dyDescent="0.3">
      <c r="A38" s="496" t="s">
        <v>16232</v>
      </c>
      <c r="B38" s="496" t="s">
        <v>15312</v>
      </c>
      <c r="C38" s="496" t="s">
        <v>15631</v>
      </c>
      <c r="D38" s="496" t="s">
        <v>14992</v>
      </c>
      <c r="E38" s="497" t="s">
        <v>1122</v>
      </c>
      <c r="F38" s="496" t="s">
        <v>15441</v>
      </c>
      <c r="G38" s="496" t="s">
        <v>16112</v>
      </c>
      <c r="H38" s="496">
        <v>46239</v>
      </c>
      <c r="I38" s="496">
        <v>46241</v>
      </c>
      <c r="J38" s="496">
        <f>I38-H38+1</f>
        <v>3</v>
      </c>
      <c r="K38" s="496"/>
      <c r="L38" s="496"/>
      <c r="M38" s="496"/>
      <c r="N38" s="496"/>
      <c r="O38" s="496"/>
      <c r="P38" s="496"/>
      <c r="Q38" s="496"/>
      <c r="R38" s="496"/>
      <c r="S38" s="496"/>
      <c r="T38" s="496"/>
      <c r="U38" s="496"/>
      <c r="V38" s="496"/>
      <c r="W38" s="498"/>
    </row>
    <row r="39" spans="1:23" ht="30" customHeight="1" x14ac:dyDescent="0.3">
      <c r="A39" s="496" t="s">
        <v>16234</v>
      </c>
      <c r="B39" s="496" t="s">
        <v>15312</v>
      </c>
      <c r="C39" s="496" t="s">
        <v>15631</v>
      </c>
      <c r="D39" s="496" t="s">
        <v>14992</v>
      </c>
      <c r="E39" s="497" t="s">
        <v>1122</v>
      </c>
      <c r="F39" s="496" t="s">
        <v>1081</v>
      </c>
      <c r="G39" s="496" t="s">
        <v>16113</v>
      </c>
      <c r="H39" s="496">
        <v>46242</v>
      </c>
      <c r="I39" s="496">
        <v>46243</v>
      </c>
      <c r="J39" s="496">
        <f>I39-H39+1</f>
        <v>2</v>
      </c>
      <c r="K39" s="496"/>
      <c r="L39" s="496"/>
      <c r="M39" s="496"/>
      <c r="N39" s="496"/>
      <c r="O39" s="496"/>
      <c r="P39" s="496"/>
      <c r="Q39" s="496"/>
      <c r="R39" s="496"/>
      <c r="S39" s="496"/>
      <c r="T39" s="496"/>
      <c r="U39" s="496"/>
      <c r="V39" s="496"/>
      <c r="W39" s="498"/>
    </row>
    <row r="40" spans="1:23" ht="30" customHeight="1" x14ac:dyDescent="0.3">
      <c r="A40" s="496" t="s">
        <v>16236</v>
      </c>
      <c r="B40" s="496" t="s">
        <v>15312</v>
      </c>
      <c r="C40" s="496" t="s">
        <v>15631</v>
      </c>
      <c r="D40" s="496" t="s">
        <v>14992</v>
      </c>
      <c r="E40" s="497" t="s">
        <v>1122</v>
      </c>
      <c r="F40" s="496" t="s">
        <v>19770</v>
      </c>
      <c r="G40" s="496" t="s">
        <v>16114</v>
      </c>
      <c r="H40" s="496">
        <v>46244</v>
      </c>
      <c r="I40" s="496">
        <v>46244</v>
      </c>
      <c r="J40" s="496">
        <f>I40-H40+1</f>
        <v>1</v>
      </c>
      <c r="K40" s="496"/>
      <c r="L40" s="496"/>
      <c r="M40" s="496"/>
      <c r="N40" s="496"/>
      <c r="O40" s="496"/>
      <c r="P40" s="496"/>
      <c r="Q40" s="496"/>
      <c r="R40" s="496"/>
      <c r="S40" s="496"/>
      <c r="T40" s="496"/>
      <c r="U40" s="496"/>
      <c r="V40" s="496"/>
      <c r="W40" s="498"/>
    </row>
    <row r="41" spans="1:23" ht="30" customHeight="1" x14ac:dyDescent="0.3">
      <c r="A41" s="496" t="s">
        <v>16238</v>
      </c>
      <c r="B41" s="496" t="s">
        <v>16160</v>
      </c>
      <c r="C41" s="496" t="s">
        <v>15655</v>
      </c>
      <c r="D41" s="496" t="s">
        <v>14991</v>
      </c>
      <c r="E41" s="497" t="s">
        <v>1122</v>
      </c>
      <c r="F41" s="496" t="s">
        <v>15441</v>
      </c>
      <c r="G41" s="496" t="s">
        <v>16161</v>
      </c>
      <c r="H41" s="496">
        <v>46246</v>
      </c>
      <c r="I41" s="496">
        <v>46248</v>
      </c>
      <c r="J41" s="496">
        <f>I41-H41+1</f>
        <v>3</v>
      </c>
      <c r="K41" s="496"/>
      <c r="L41" s="496"/>
      <c r="M41" s="496"/>
      <c r="N41" s="496"/>
      <c r="O41" s="496"/>
      <c r="P41" s="496"/>
      <c r="Q41" s="496"/>
      <c r="R41" s="496"/>
      <c r="S41" s="496"/>
      <c r="T41" s="496"/>
      <c r="U41" s="496"/>
      <c r="V41" s="496"/>
      <c r="W41" s="498"/>
    </row>
    <row r="42" spans="1:23" ht="30" customHeight="1" x14ac:dyDescent="0.3">
      <c r="A42" s="496" t="s">
        <v>16242</v>
      </c>
      <c r="B42" s="496" t="s">
        <v>16160</v>
      </c>
      <c r="C42" s="496" t="s">
        <v>15655</v>
      </c>
      <c r="D42" s="496" t="s">
        <v>14991</v>
      </c>
      <c r="E42" s="497" t="s">
        <v>1122</v>
      </c>
      <c r="F42" s="496" t="s">
        <v>1081</v>
      </c>
      <c r="G42" s="496" t="s">
        <v>16132</v>
      </c>
      <c r="H42" s="496">
        <v>46249</v>
      </c>
      <c r="I42" s="496">
        <v>46250</v>
      </c>
      <c r="J42" s="496">
        <f>I42-H42+1</f>
        <v>2</v>
      </c>
      <c r="K42" s="496"/>
      <c r="L42" s="496"/>
      <c r="M42" s="496"/>
      <c r="N42" s="496"/>
      <c r="O42" s="496"/>
      <c r="P42" s="496"/>
      <c r="Q42" s="496"/>
      <c r="R42" s="496"/>
      <c r="S42" s="496"/>
      <c r="T42" s="496"/>
      <c r="U42" s="496"/>
      <c r="V42" s="496"/>
      <c r="W42" s="498"/>
    </row>
    <row r="43" spans="1:23" ht="30" customHeight="1" x14ac:dyDescent="0.3">
      <c r="A43" s="496" t="s">
        <v>16245</v>
      </c>
      <c r="B43" s="496" t="s">
        <v>16160</v>
      </c>
      <c r="C43" s="496" t="s">
        <v>15655</v>
      </c>
      <c r="D43" s="496" t="s">
        <v>14991</v>
      </c>
      <c r="E43" s="497" t="s">
        <v>1122</v>
      </c>
      <c r="F43" s="496" t="s">
        <v>19770</v>
      </c>
      <c r="G43" s="496" t="s">
        <v>19774</v>
      </c>
      <c r="H43" s="496">
        <v>46251</v>
      </c>
      <c r="I43" s="496">
        <v>46251</v>
      </c>
      <c r="J43" s="496">
        <f>I43-H43+1</f>
        <v>1</v>
      </c>
      <c r="K43" s="496"/>
      <c r="L43" s="496"/>
      <c r="M43" s="496"/>
      <c r="N43" s="496"/>
      <c r="O43" s="496"/>
      <c r="P43" s="496"/>
      <c r="Q43" s="496"/>
      <c r="R43" s="496"/>
      <c r="S43" s="496"/>
      <c r="T43" s="496"/>
      <c r="U43" s="496"/>
      <c r="V43" s="496"/>
      <c r="W43" s="498"/>
    </row>
    <row r="44" spans="1:23" ht="30" customHeight="1" x14ac:dyDescent="0.3">
      <c r="A44" s="496" t="s">
        <v>16249</v>
      </c>
      <c r="B44" s="496" t="s">
        <v>16165</v>
      </c>
      <c r="C44" s="496" t="s">
        <v>15678</v>
      </c>
      <c r="D44" s="496" t="s">
        <v>1159</v>
      </c>
      <c r="E44" s="497" t="s">
        <v>1128</v>
      </c>
      <c r="F44" s="496" t="s">
        <v>15441</v>
      </c>
      <c r="G44" s="496" t="s">
        <v>16154</v>
      </c>
      <c r="H44" s="496">
        <v>46226</v>
      </c>
      <c r="I44" s="496">
        <v>46235</v>
      </c>
      <c r="J44" s="496">
        <f>I44-H44+1</f>
        <v>10</v>
      </c>
      <c r="K44" s="496"/>
      <c r="L44" s="496"/>
      <c r="M44" s="496"/>
      <c r="N44" s="496"/>
      <c r="O44" s="496"/>
      <c r="P44" s="496"/>
      <c r="Q44" s="496"/>
      <c r="R44" s="496"/>
      <c r="S44" s="496"/>
      <c r="T44" s="496"/>
      <c r="U44" s="496"/>
      <c r="V44" s="496"/>
      <c r="W44" s="498"/>
    </row>
    <row r="45" spans="1:23" ht="30" customHeight="1" x14ac:dyDescent="0.3">
      <c r="A45" s="496" t="s">
        <v>16252</v>
      </c>
      <c r="B45" s="496" t="s">
        <v>16165</v>
      </c>
      <c r="C45" s="496" t="s">
        <v>15678</v>
      </c>
      <c r="D45" s="496" t="s">
        <v>1159</v>
      </c>
      <c r="E45" s="497" t="s">
        <v>1128</v>
      </c>
      <c r="F45" s="496" t="s">
        <v>1081</v>
      </c>
      <c r="G45" s="496" t="s">
        <v>16155</v>
      </c>
      <c r="H45" s="496">
        <v>46236</v>
      </c>
      <c r="I45" s="496">
        <v>46240</v>
      </c>
      <c r="J45" s="496">
        <f>I45-H45+1</f>
        <v>5</v>
      </c>
      <c r="K45" s="496"/>
      <c r="L45" s="496"/>
      <c r="M45" s="496"/>
      <c r="N45" s="496"/>
      <c r="O45" s="496"/>
      <c r="P45" s="496"/>
      <c r="Q45" s="496"/>
      <c r="R45" s="496"/>
      <c r="S45" s="496"/>
      <c r="T45" s="496"/>
      <c r="U45" s="496"/>
      <c r="V45" s="496"/>
      <c r="W45" s="498"/>
    </row>
    <row r="46" spans="1:23" ht="30" customHeight="1" x14ac:dyDescent="0.3">
      <c r="A46" s="496" t="s">
        <v>16256</v>
      </c>
      <c r="B46" s="496" t="s">
        <v>16165</v>
      </c>
      <c r="C46" s="496" t="s">
        <v>15678</v>
      </c>
      <c r="D46" s="496" t="s">
        <v>1159</v>
      </c>
      <c r="E46" s="497" t="s">
        <v>1128</v>
      </c>
      <c r="F46" s="496" t="s">
        <v>19770</v>
      </c>
      <c r="G46" s="496" t="s">
        <v>19773</v>
      </c>
      <c r="H46" s="496">
        <v>46241</v>
      </c>
      <c r="I46" s="496">
        <v>46244</v>
      </c>
      <c r="J46" s="496">
        <f>I46-H46+1</f>
        <v>4</v>
      </c>
      <c r="K46" s="496"/>
      <c r="L46" s="496"/>
      <c r="M46" s="496"/>
      <c r="N46" s="496"/>
      <c r="O46" s="496"/>
      <c r="P46" s="496"/>
      <c r="Q46" s="496"/>
      <c r="R46" s="496"/>
      <c r="S46" s="496"/>
      <c r="T46" s="496"/>
      <c r="U46" s="496"/>
      <c r="V46" s="496"/>
      <c r="W46" s="498"/>
    </row>
    <row r="47" spans="1:23" ht="30" customHeight="1" x14ac:dyDescent="0.3">
      <c r="A47" s="496" t="s">
        <v>16258</v>
      </c>
      <c r="B47" s="496" t="s">
        <v>16168</v>
      </c>
      <c r="C47" s="496" t="s">
        <v>15717</v>
      </c>
      <c r="D47" s="496" t="s">
        <v>14990</v>
      </c>
      <c r="E47" s="497" t="s">
        <v>1128</v>
      </c>
      <c r="F47" s="496" t="s">
        <v>15441</v>
      </c>
      <c r="G47" s="496" t="s">
        <v>16161</v>
      </c>
      <c r="H47" s="496">
        <v>46234</v>
      </c>
      <c r="I47" s="496">
        <v>46243</v>
      </c>
      <c r="J47" s="496">
        <f>I47-H47+1</f>
        <v>10</v>
      </c>
      <c r="K47" s="496"/>
      <c r="L47" s="496"/>
      <c r="M47" s="496"/>
      <c r="N47" s="496"/>
      <c r="O47" s="496"/>
      <c r="P47" s="496"/>
      <c r="Q47" s="496"/>
      <c r="R47" s="496"/>
      <c r="S47" s="496"/>
      <c r="T47" s="496"/>
      <c r="U47" s="496"/>
      <c r="V47" s="496"/>
      <c r="W47" s="498"/>
    </row>
    <row r="48" spans="1:23" ht="30" customHeight="1" x14ac:dyDescent="0.3">
      <c r="A48" s="496" t="s">
        <v>16261</v>
      </c>
      <c r="B48" s="496" t="s">
        <v>16168</v>
      </c>
      <c r="C48" s="496" t="s">
        <v>15717</v>
      </c>
      <c r="D48" s="496" t="s">
        <v>14990</v>
      </c>
      <c r="E48" s="497" t="s">
        <v>1128</v>
      </c>
      <c r="F48" s="496" t="s">
        <v>1081</v>
      </c>
      <c r="G48" s="496" t="s">
        <v>16132</v>
      </c>
      <c r="H48" s="496">
        <v>46244</v>
      </c>
      <c r="I48" s="496">
        <v>46248</v>
      </c>
      <c r="J48" s="496">
        <f>I48-H48+1</f>
        <v>5</v>
      </c>
      <c r="K48" s="496"/>
      <c r="L48" s="496"/>
      <c r="M48" s="496"/>
      <c r="N48" s="496"/>
      <c r="O48" s="496"/>
      <c r="P48" s="496"/>
      <c r="Q48" s="496"/>
      <c r="R48" s="496"/>
      <c r="S48" s="496"/>
      <c r="T48" s="496"/>
      <c r="U48" s="496"/>
      <c r="V48" s="496"/>
      <c r="W48" s="498"/>
    </row>
    <row r="49" spans="1:23" ht="30" customHeight="1" x14ac:dyDescent="0.3">
      <c r="A49" s="496" t="s">
        <v>16265</v>
      </c>
      <c r="B49" s="496" t="s">
        <v>16168</v>
      </c>
      <c r="C49" s="496" t="s">
        <v>15717</v>
      </c>
      <c r="D49" s="496" t="s">
        <v>14990</v>
      </c>
      <c r="E49" s="497" t="s">
        <v>1128</v>
      </c>
      <c r="F49" s="496" t="s">
        <v>19770</v>
      </c>
      <c r="G49" s="496" t="s">
        <v>19774</v>
      </c>
      <c r="H49" s="496">
        <v>46249</v>
      </c>
      <c r="I49" s="496">
        <v>46252</v>
      </c>
      <c r="J49" s="496">
        <f>I49-H49+1</f>
        <v>4</v>
      </c>
      <c r="K49" s="496"/>
      <c r="L49" s="496"/>
      <c r="M49" s="496"/>
      <c r="N49" s="496"/>
      <c r="O49" s="496"/>
      <c r="P49" s="496"/>
      <c r="Q49" s="496"/>
      <c r="R49" s="496"/>
      <c r="S49" s="496"/>
      <c r="T49" s="496"/>
      <c r="U49" s="496"/>
      <c r="V49" s="496"/>
      <c r="W49" s="498"/>
    </row>
    <row r="50" spans="1:23" ht="30" customHeight="1" x14ac:dyDescent="0.3">
      <c r="A50" s="496" t="s">
        <v>16267</v>
      </c>
      <c r="B50" s="496" t="s">
        <v>16171</v>
      </c>
      <c r="C50" s="496" t="s">
        <v>15747</v>
      </c>
      <c r="D50" s="496" t="s">
        <v>152</v>
      </c>
      <c r="E50" s="497" t="s">
        <v>1128</v>
      </c>
      <c r="F50" s="496" t="s">
        <v>15441</v>
      </c>
      <c r="G50" s="496" t="s">
        <v>16144</v>
      </c>
      <c r="H50" s="496">
        <v>46247</v>
      </c>
      <c r="I50" s="496">
        <v>46256</v>
      </c>
      <c r="J50" s="496">
        <f>I50-H50+1</f>
        <v>10</v>
      </c>
      <c r="K50" s="496"/>
      <c r="L50" s="496"/>
      <c r="M50" s="496"/>
      <c r="N50" s="496"/>
      <c r="O50" s="496"/>
      <c r="P50" s="496"/>
      <c r="Q50" s="496"/>
      <c r="R50" s="496"/>
      <c r="S50" s="496"/>
      <c r="T50" s="496"/>
      <c r="U50" s="496"/>
      <c r="V50" s="496"/>
      <c r="W50" s="498"/>
    </row>
    <row r="51" spans="1:23" ht="30" customHeight="1" x14ac:dyDescent="0.3">
      <c r="A51" s="496" t="s">
        <v>16270</v>
      </c>
      <c r="B51" s="496" t="s">
        <v>16171</v>
      </c>
      <c r="C51" s="496" t="s">
        <v>15747</v>
      </c>
      <c r="D51" s="496" t="s">
        <v>152</v>
      </c>
      <c r="E51" s="497" t="s">
        <v>1128</v>
      </c>
      <c r="F51" s="496" t="s">
        <v>1081</v>
      </c>
      <c r="G51" s="496" t="s">
        <v>16145</v>
      </c>
      <c r="H51" s="496">
        <v>46257</v>
      </c>
      <c r="I51" s="496">
        <v>46261</v>
      </c>
      <c r="J51" s="496">
        <f>I51-H51+1</f>
        <v>5</v>
      </c>
      <c r="K51" s="496"/>
      <c r="L51" s="496"/>
      <c r="M51" s="496"/>
      <c r="N51" s="496"/>
      <c r="O51" s="496"/>
      <c r="P51" s="496"/>
      <c r="Q51" s="496"/>
      <c r="R51" s="496"/>
      <c r="S51" s="496"/>
      <c r="T51" s="496"/>
      <c r="U51" s="496"/>
      <c r="V51" s="496"/>
      <c r="W51" s="498"/>
    </row>
    <row r="52" spans="1:23" ht="30" customHeight="1" x14ac:dyDescent="0.3">
      <c r="A52" s="496" t="s">
        <v>16272</v>
      </c>
      <c r="B52" s="496" t="s">
        <v>16171</v>
      </c>
      <c r="C52" s="496" t="s">
        <v>15747</v>
      </c>
      <c r="D52" s="496" t="s">
        <v>152</v>
      </c>
      <c r="E52" s="497" t="s">
        <v>1128</v>
      </c>
      <c r="F52" s="496" t="s">
        <v>19770</v>
      </c>
      <c r="G52" s="496" t="s">
        <v>16146</v>
      </c>
      <c r="H52" s="496">
        <v>46262</v>
      </c>
      <c r="I52" s="496">
        <v>46265</v>
      </c>
      <c r="J52" s="496">
        <f>I52-H52+1</f>
        <v>4</v>
      </c>
      <c r="K52" s="496"/>
      <c r="L52" s="496"/>
      <c r="M52" s="496"/>
      <c r="N52" s="496"/>
      <c r="O52" s="496"/>
      <c r="P52" s="496"/>
      <c r="Q52" s="496"/>
      <c r="R52" s="496"/>
      <c r="S52" s="496"/>
      <c r="T52" s="496"/>
      <c r="U52" s="496"/>
      <c r="V52" s="496"/>
      <c r="W52" s="498"/>
    </row>
    <row r="53" spans="1:23" ht="30" customHeight="1" x14ac:dyDescent="0.3">
      <c r="A53" s="496" t="s">
        <v>16276</v>
      </c>
      <c r="B53" s="496" t="s">
        <v>16174</v>
      </c>
      <c r="C53" s="496" t="s">
        <v>15548</v>
      </c>
      <c r="D53" s="496" t="s">
        <v>1158</v>
      </c>
      <c r="E53" s="497" t="s">
        <v>1122</v>
      </c>
      <c r="F53" s="496" t="s">
        <v>15441</v>
      </c>
      <c r="G53" s="496" t="s">
        <v>16161</v>
      </c>
      <c r="H53" s="496">
        <v>46250</v>
      </c>
      <c r="I53" s="496">
        <v>46252</v>
      </c>
      <c r="J53" s="496">
        <f>I53-H53+1</f>
        <v>3</v>
      </c>
      <c r="K53" s="496"/>
      <c r="L53" s="496"/>
      <c r="M53" s="496"/>
      <c r="N53" s="496"/>
      <c r="O53" s="496"/>
      <c r="P53" s="496"/>
      <c r="Q53" s="496"/>
      <c r="R53" s="496"/>
      <c r="S53" s="496"/>
      <c r="T53" s="496"/>
      <c r="U53" s="496"/>
      <c r="V53" s="496"/>
      <c r="W53" s="498"/>
    </row>
    <row r="54" spans="1:23" ht="30" customHeight="1" x14ac:dyDescent="0.3">
      <c r="A54" s="496" t="s">
        <v>16279</v>
      </c>
      <c r="B54" s="496" t="s">
        <v>16174</v>
      </c>
      <c r="C54" s="496" t="s">
        <v>15548</v>
      </c>
      <c r="D54" s="496" t="s">
        <v>1158</v>
      </c>
      <c r="E54" s="497" t="s">
        <v>1122</v>
      </c>
      <c r="F54" s="496" t="s">
        <v>1081</v>
      </c>
      <c r="G54" s="496" t="s">
        <v>16132</v>
      </c>
      <c r="H54" s="496">
        <v>46253</v>
      </c>
      <c r="I54" s="496">
        <v>46254</v>
      </c>
      <c r="J54" s="496">
        <f>I54-H54+1</f>
        <v>2</v>
      </c>
      <c r="K54" s="496"/>
      <c r="L54" s="496"/>
      <c r="M54" s="496"/>
      <c r="N54" s="496"/>
      <c r="O54" s="496"/>
      <c r="P54" s="496"/>
      <c r="Q54" s="496"/>
      <c r="R54" s="496"/>
      <c r="S54" s="496"/>
      <c r="T54" s="496"/>
      <c r="U54" s="496"/>
      <c r="V54" s="496"/>
      <c r="W54" s="498"/>
    </row>
    <row r="55" spans="1:23" ht="30" customHeight="1" x14ac:dyDescent="0.3">
      <c r="A55" s="496" t="s">
        <v>16281</v>
      </c>
      <c r="B55" s="496" t="s">
        <v>16174</v>
      </c>
      <c r="C55" s="496" t="s">
        <v>15548</v>
      </c>
      <c r="D55" s="496" t="s">
        <v>1158</v>
      </c>
      <c r="E55" s="497" t="s">
        <v>1122</v>
      </c>
      <c r="F55" s="496" t="s">
        <v>19770</v>
      </c>
      <c r="G55" s="496" t="s">
        <v>19774</v>
      </c>
      <c r="H55" s="496">
        <v>46255</v>
      </c>
      <c r="I55" s="496">
        <v>46255</v>
      </c>
      <c r="J55" s="496">
        <f>I55-H55+1</f>
        <v>1</v>
      </c>
      <c r="K55" s="496"/>
      <c r="L55" s="496"/>
      <c r="M55" s="496"/>
      <c r="N55" s="496"/>
      <c r="O55" s="496"/>
      <c r="P55" s="496"/>
      <c r="Q55" s="496"/>
      <c r="R55" s="496"/>
      <c r="S55" s="496"/>
      <c r="T55" s="496"/>
      <c r="U55" s="496"/>
      <c r="V55" s="496"/>
      <c r="W55" s="498"/>
    </row>
    <row r="56" spans="1:23" ht="30" customHeight="1" x14ac:dyDescent="0.3">
      <c r="A56" s="496" t="s">
        <v>16285</v>
      </c>
      <c r="B56" s="496" t="s">
        <v>16177</v>
      </c>
      <c r="C56" s="496" t="s">
        <v>15557</v>
      </c>
      <c r="D56" s="496" t="s">
        <v>14994</v>
      </c>
      <c r="E56" s="497" t="s">
        <v>1122</v>
      </c>
      <c r="F56" s="496" t="s">
        <v>15441</v>
      </c>
      <c r="G56" s="496" t="s">
        <v>16178</v>
      </c>
      <c r="H56" s="496">
        <v>46269</v>
      </c>
      <c r="I56" s="496">
        <v>46271</v>
      </c>
      <c r="J56" s="496">
        <f>I56-H56+1</f>
        <v>3</v>
      </c>
      <c r="K56" s="496"/>
      <c r="L56" s="496"/>
      <c r="M56" s="496"/>
      <c r="N56" s="496"/>
      <c r="O56" s="496"/>
      <c r="P56" s="496"/>
      <c r="Q56" s="496"/>
      <c r="R56" s="496"/>
      <c r="S56" s="496"/>
      <c r="T56" s="496"/>
      <c r="U56" s="496"/>
      <c r="V56" s="496"/>
      <c r="W56" s="498"/>
    </row>
    <row r="57" spans="1:23" ht="30" customHeight="1" x14ac:dyDescent="0.3">
      <c r="A57" s="496" t="s">
        <v>16287</v>
      </c>
      <c r="B57" s="496" t="s">
        <v>16177</v>
      </c>
      <c r="C57" s="496" t="s">
        <v>15557</v>
      </c>
      <c r="D57" s="496" t="s">
        <v>14994</v>
      </c>
      <c r="E57" s="497" t="s">
        <v>1122</v>
      </c>
      <c r="F57" s="496" t="s">
        <v>1081</v>
      </c>
      <c r="G57" s="496" t="s">
        <v>16179</v>
      </c>
      <c r="H57" s="496">
        <v>46272</v>
      </c>
      <c r="I57" s="496">
        <v>46273</v>
      </c>
      <c r="J57" s="496">
        <f>I57-H57+1</f>
        <v>2</v>
      </c>
      <c r="K57" s="496"/>
      <c r="L57" s="496"/>
      <c r="M57" s="496"/>
      <c r="N57" s="496"/>
      <c r="O57" s="496"/>
      <c r="P57" s="496"/>
      <c r="Q57" s="496"/>
      <c r="R57" s="496"/>
      <c r="S57" s="496"/>
      <c r="T57" s="496"/>
      <c r="U57" s="496"/>
      <c r="V57" s="496"/>
      <c r="W57" s="498"/>
    </row>
    <row r="58" spans="1:23" ht="30" customHeight="1" x14ac:dyDescent="0.3">
      <c r="A58" s="496" t="s">
        <v>16289</v>
      </c>
      <c r="B58" s="496" t="s">
        <v>16177</v>
      </c>
      <c r="C58" s="496" t="s">
        <v>15557</v>
      </c>
      <c r="D58" s="496" t="s">
        <v>14994</v>
      </c>
      <c r="E58" s="497" t="s">
        <v>1122</v>
      </c>
      <c r="F58" s="496" t="s">
        <v>19770</v>
      </c>
      <c r="G58" s="496" t="s">
        <v>19775</v>
      </c>
      <c r="H58" s="496">
        <v>46274</v>
      </c>
      <c r="I58" s="496">
        <v>46274</v>
      </c>
      <c r="J58" s="496">
        <f>I58-H58+1</f>
        <v>1</v>
      </c>
      <c r="K58" s="496"/>
      <c r="L58" s="496"/>
      <c r="M58" s="496"/>
      <c r="N58" s="496"/>
      <c r="O58" s="496"/>
      <c r="P58" s="496"/>
      <c r="Q58" s="496"/>
      <c r="R58" s="496"/>
      <c r="S58" s="496"/>
      <c r="T58" s="496"/>
      <c r="U58" s="496"/>
      <c r="V58" s="496"/>
      <c r="W58" s="498"/>
    </row>
    <row r="59" spans="1:23" ht="30" customHeight="1" x14ac:dyDescent="0.3">
      <c r="A59" s="496" t="s">
        <v>16292</v>
      </c>
      <c r="B59" s="496" t="s">
        <v>16182</v>
      </c>
      <c r="C59" s="496" t="s">
        <v>15587</v>
      </c>
      <c r="D59" s="496" t="s">
        <v>14993</v>
      </c>
      <c r="E59" s="497" t="s">
        <v>1122</v>
      </c>
      <c r="F59" s="496" t="s">
        <v>15441</v>
      </c>
      <c r="G59" s="496" t="s">
        <v>16183</v>
      </c>
      <c r="H59" s="496">
        <v>46273</v>
      </c>
      <c r="I59" s="496">
        <v>46275</v>
      </c>
      <c r="J59" s="496">
        <f>I59-H59+1</f>
        <v>3</v>
      </c>
      <c r="K59" s="496"/>
      <c r="L59" s="496"/>
      <c r="M59" s="496"/>
      <c r="N59" s="496"/>
      <c r="O59" s="496"/>
      <c r="P59" s="496"/>
      <c r="Q59" s="496"/>
      <c r="R59" s="496"/>
      <c r="S59" s="496"/>
      <c r="T59" s="496"/>
      <c r="U59" s="496"/>
      <c r="V59" s="496"/>
      <c r="W59" s="498"/>
    </row>
    <row r="60" spans="1:23" ht="30" customHeight="1" x14ac:dyDescent="0.3">
      <c r="A60" s="496" t="s">
        <v>16295</v>
      </c>
      <c r="B60" s="496" t="s">
        <v>16182</v>
      </c>
      <c r="C60" s="496" t="s">
        <v>15587</v>
      </c>
      <c r="D60" s="496" t="s">
        <v>14993</v>
      </c>
      <c r="E60" s="497" t="s">
        <v>1122</v>
      </c>
      <c r="F60" s="496" t="s">
        <v>1081</v>
      </c>
      <c r="G60" s="496" t="s">
        <v>16184</v>
      </c>
      <c r="H60" s="496">
        <v>46276</v>
      </c>
      <c r="I60" s="496">
        <v>46277</v>
      </c>
      <c r="J60" s="496">
        <f>I60-H60+1</f>
        <v>2</v>
      </c>
      <c r="K60" s="496"/>
      <c r="L60" s="496"/>
      <c r="M60" s="496"/>
      <c r="N60" s="496"/>
      <c r="O60" s="496"/>
      <c r="P60" s="496"/>
      <c r="Q60" s="496"/>
      <c r="R60" s="496"/>
      <c r="S60" s="496"/>
      <c r="T60" s="496"/>
      <c r="U60" s="496"/>
      <c r="V60" s="496"/>
      <c r="W60" s="498"/>
    </row>
    <row r="61" spans="1:23" ht="30" customHeight="1" x14ac:dyDescent="0.3">
      <c r="A61" s="496" t="s">
        <v>16299</v>
      </c>
      <c r="B61" s="496" t="s">
        <v>16182</v>
      </c>
      <c r="C61" s="496" t="s">
        <v>15587</v>
      </c>
      <c r="D61" s="496" t="s">
        <v>14993</v>
      </c>
      <c r="E61" s="497" t="s">
        <v>1122</v>
      </c>
      <c r="F61" s="496" t="s">
        <v>19770</v>
      </c>
      <c r="G61" s="496" t="s">
        <v>16124</v>
      </c>
      <c r="H61" s="496">
        <v>46278</v>
      </c>
      <c r="I61" s="496">
        <v>46278</v>
      </c>
      <c r="J61" s="496">
        <f>I61-H61+1</f>
        <v>1</v>
      </c>
      <c r="K61" s="496"/>
      <c r="L61" s="496"/>
      <c r="M61" s="496"/>
      <c r="N61" s="496"/>
      <c r="O61" s="496"/>
      <c r="P61" s="496"/>
      <c r="Q61" s="496"/>
      <c r="R61" s="496"/>
      <c r="S61" s="496"/>
      <c r="T61" s="496"/>
      <c r="U61" s="496"/>
      <c r="V61" s="496"/>
      <c r="W61" s="498"/>
    </row>
    <row r="62" spans="1:23" ht="30" customHeight="1" x14ac:dyDescent="0.3">
      <c r="A62" s="496" t="s">
        <v>16301</v>
      </c>
      <c r="B62" s="496" t="s">
        <v>16188</v>
      </c>
      <c r="C62" s="496" t="s">
        <v>15619</v>
      </c>
      <c r="D62" s="496" t="s">
        <v>14992</v>
      </c>
      <c r="E62" s="497" t="s">
        <v>1122</v>
      </c>
      <c r="F62" s="496" t="s">
        <v>15441</v>
      </c>
      <c r="G62" s="496" t="s">
        <v>16127</v>
      </c>
      <c r="H62" s="496">
        <v>46226</v>
      </c>
      <c r="I62" s="496">
        <v>46228</v>
      </c>
      <c r="J62" s="496">
        <f>I62-H62+1</f>
        <v>3</v>
      </c>
      <c r="K62" s="496"/>
      <c r="L62" s="496"/>
      <c r="M62" s="496"/>
      <c r="N62" s="496"/>
      <c r="O62" s="496"/>
      <c r="P62" s="496"/>
      <c r="Q62" s="496"/>
      <c r="R62" s="496"/>
      <c r="S62" s="496"/>
      <c r="T62" s="496"/>
      <c r="U62" s="496"/>
      <c r="V62" s="496"/>
      <c r="W62" s="498"/>
    </row>
    <row r="63" spans="1:23" ht="30" customHeight="1" x14ac:dyDescent="0.3">
      <c r="A63" s="496" t="s">
        <v>16304</v>
      </c>
      <c r="B63" s="496" t="s">
        <v>16188</v>
      </c>
      <c r="C63" s="496" t="s">
        <v>15619</v>
      </c>
      <c r="D63" s="496" t="s">
        <v>14992</v>
      </c>
      <c r="E63" s="497" t="s">
        <v>1122</v>
      </c>
      <c r="F63" s="496" t="s">
        <v>1081</v>
      </c>
      <c r="G63" s="496" t="s">
        <v>16128</v>
      </c>
      <c r="H63" s="496">
        <v>46229</v>
      </c>
      <c r="I63" s="496">
        <v>46230</v>
      </c>
      <c r="J63" s="496">
        <f>I63-H63+1</f>
        <v>2</v>
      </c>
      <c r="K63" s="496"/>
      <c r="L63" s="496"/>
      <c r="M63" s="496"/>
      <c r="N63" s="496"/>
      <c r="O63" s="496"/>
      <c r="P63" s="496"/>
      <c r="Q63" s="496"/>
      <c r="R63" s="496"/>
      <c r="S63" s="496"/>
      <c r="T63" s="496"/>
      <c r="U63" s="496"/>
      <c r="V63" s="496"/>
      <c r="W63" s="498"/>
    </row>
    <row r="64" spans="1:23" ht="30" customHeight="1" x14ac:dyDescent="0.3">
      <c r="A64" s="496" t="s">
        <v>16306</v>
      </c>
      <c r="B64" s="496" t="s">
        <v>16188</v>
      </c>
      <c r="C64" s="496" t="s">
        <v>15619</v>
      </c>
      <c r="D64" s="496" t="s">
        <v>14992</v>
      </c>
      <c r="E64" s="497" t="s">
        <v>1122</v>
      </c>
      <c r="F64" s="496" t="s">
        <v>19770</v>
      </c>
      <c r="G64" s="496" t="s">
        <v>19771</v>
      </c>
      <c r="H64" s="496">
        <v>46231</v>
      </c>
      <c r="I64" s="496">
        <v>46231</v>
      </c>
      <c r="J64" s="496">
        <f>I64-H64+1</f>
        <v>1</v>
      </c>
      <c r="K64" s="496"/>
      <c r="L64" s="496"/>
      <c r="M64" s="496"/>
      <c r="N64" s="496"/>
      <c r="O64" s="496"/>
      <c r="P64" s="496"/>
      <c r="Q64" s="496"/>
      <c r="R64" s="496"/>
      <c r="S64" s="496"/>
      <c r="T64" s="496"/>
      <c r="U64" s="496"/>
      <c r="V64" s="496"/>
      <c r="W64" s="498"/>
    </row>
    <row r="65" spans="1:23" ht="30" customHeight="1" x14ac:dyDescent="0.3">
      <c r="A65" s="496" t="s">
        <v>16311</v>
      </c>
      <c r="B65" s="496" t="s">
        <v>16191</v>
      </c>
      <c r="C65" s="496" t="s">
        <v>15652</v>
      </c>
      <c r="D65" s="496" t="s">
        <v>14991</v>
      </c>
      <c r="E65" s="497" t="s">
        <v>1122</v>
      </c>
      <c r="F65" s="496" t="s">
        <v>15441</v>
      </c>
      <c r="G65" s="496" t="s">
        <v>16183</v>
      </c>
      <c r="H65" s="496">
        <v>46275</v>
      </c>
      <c r="I65" s="496">
        <v>46277</v>
      </c>
      <c r="J65" s="496">
        <f>I65-H65+1</f>
        <v>3</v>
      </c>
      <c r="K65" s="496"/>
      <c r="L65" s="496"/>
      <c r="M65" s="496"/>
      <c r="N65" s="496"/>
      <c r="O65" s="496"/>
      <c r="P65" s="496"/>
      <c r="Q65" s="496"/>
      <c r="R65" s="496"/>
      <c r="S65" s="496"/>
      <c r="T65" s="496"/>
      <c r="U65" s="496"/>
      <c r="V65" s="496"/>
      <c r="W65" s="498"/>
    </row>
    <row r="66" spans="1:23" ht="30" customHeight="1" x14ac:dyDescent="0.3">
      <c r="A66" s="496" t="s">
        <v>16314</v>
      </c>
      <c r="B66" s="496" t="s">
        <v>16191</v>
      </c>
      <c r="C66" s="496" t="s">
        <v>15652</v>
      </c>
      <c r="D66" s="496" t="s">
        <v>14991</v>
      </c>
      <c r="E66" s="497" t="s">
        <v>1122</v>
      </c>
      <c r="F66" s="496" t="s">
        <v>1081</v>
      </c>
      <c r="G66" s="496" t="s">
        <v>16184</v>
      </c>
      <c r="H66" s="496">
        <v>46278</v>
      </c>
      <c r="I66" s="496">
        <v>46279</v>
      </c>
      <c r="J66" s="496">
        <f>I66-H66+1</f>
        <v>2</v>
      </c>
      <c r="K66" s="496"/>
      <c r="L66" s="496"/>
      <c r="M66" s="496"/>
      <c r="N66" s="496"/>
      <c r="O66" s="496"/>
      <c r="P66" s="496"/>
      <c r="Q66" s="496"/>
      <c r="R66" s="496"/>
      <c r="S66" s="496"/>
      <c r="T66" s="496"/>
      <c r="U66" s="496"/>
      <c r="V66" s="496"/>
      <c r="W66" s="498"/>
    </row>
    <row r="67" spans="1:23" ht="30" customHeight="1" x14ac:dyDescent="0.3">
      <c r="A67" s="496" t="s">
        <v>16316</v>
      </c>
      <c r="B67" s="496" t="s">
        <v>16191</v>
      </c>
      <c r="C67" s="496" t="s">
        <v>15652</v>
      </c>
      <c r="D67" s="496" t="s">
        <v>14991</v>
      </c>
      <c r="E67" s="497" t="s">
        <v>1122</v>
      </c>
      <c r="F67" s="496" t="s">
        <v>19770</v>
      </c>
      <c r="G67" s="496" t="s">
        <v>16124</v>
      </c>
      <c r="H67" s="496">
        <v>46280</v>
      </c>
      <c r="I67" s="496">
        <v>46280</v>
      </c>
      <c r="J67" s="496">
        <f>I67-H67+1</f>
        <v>1</v>
      </c>
      <c r="K67" s="496"/>
      <c r="L67" s="496"/>
      <c r="M67" s="496"/>
      <c r="N67" s="496"/>
      <c r="O67" s="496"/>
      <c r="P67" s="496"/>
      <c r="Q67" s="496"/>
      <c r="R67" s="496"/>
      <c r="S67" s="496"/>
      <c r="T67" s="496"/>
      <c r="U67" s="496"/>
      <c r="V67" s="496"/>
      <c r="W67" s="498"/>
    </row>
    <row r="68" spans="1:23" ht="30" customHeight="1" x14ac:dyDescent="0.3">
      <c r="A68" s="496" t="s">
        <v>16320</v>
      </c>
      <c r="B68" s="496" t="s">
        <v>16194</v>
      </c>
      <c r="C68" s="496" t="s">
        <v>15678</v>
      </c>
      <c r="D68" s="496" t="s">
        <v>1159</v>
      </c>
      <c r="E68" s="497" t="s">
        <v>1125</v>
      </c>
      <c r="F68" s="496" t="s">
        <v>15441</v>
      </c>
      <c r="G68" s="496" t="s">
        <v>16161</v>
      </c>
      <c r="H68" s="496">
        <v>46248</v>
      </c>
      <c r="I68" s="496">
        <v>46252</v>
      </c>
      <c r="J68" s="496">
        <f>I68-H68+1</f>
        <v>5</v>
      </c>
      <c r="K68" s="496"/>
      <c r="L68" s="496"/>
      <c r="M68" s="496"/>
      <c r="N68" s="496"/>
      <c r="O68" s="496"/>
      <c r="P68" s="496"/>
      <c r="Q68" s="496"/>
      <c r="R68" s="496"/>
      <c r="S68" s="496"/>
      <c r="T68" s="496"/>
      <c r="U68" s="496"/>
      <c r="V68" s="496"/>
      <c r="W68" s="498"/>
    </row>
    <row r="69" spans="1:23" ht="30" customHeight="1" x14ac:dyDescent="0.3">
      <c r="A69" s="496" t="s">
        <v>16322</v>
      </c>
      <c r="B69" s="496" t="s">
        <v>16194</v>
      </c>
      <c r="C69" s="496" t="s">
        <v>15678</v>
      </c>
      <c r="D69" s="496" t="s">
        <v>1159</v>
      </c>
      <c r="E69" s="497" t="s">
        <v>1125</v>
      </c>
      <c r="F69" s="496" t="s">
        <v>1081</v>
      </c>
      <c r="G69" s="496" t="s">
        <v>16132</v>
      </c>
      <c r="H69" s="496">
        <v>46253</v>
      </c>
      <c r="I69" s="496">
        <v>46255</v>
      </c>
      <c r="J69" s="496">
        <f>I69-H69+1</f>
        <v>3</v>
      </c>
      <c r="K69" s="496"/>
      <c r="L69" s="496"/>
      <c r="M69" s="496"/>
      <c r="N69" s="496"/>
      <c r="O69" s="496"/>
      <c r="P69" s="496"/>
      <c r="Q69" s="496"/>
      <c r="R69" s="496"/>
      <c r="S69" s="496"/>
      <c r="T69" s="496"/>
      <c r="U69" s="496"/>
      <c r="V69" s="496"/>
      <c r="W69" s="498"/>
    </row>
    <row r="70" spans="1:23" ht="30" customHeight="1" x14ac:dyDescent="0.3">
      <c r="A70" s="496" t="s">
        <v>16324</v>
      </c>
      <c r="B70" s="496" t="s">
        <v>16194</v>
      </c>
      <c r="C70" s="496" t="s">
        <v>15678</v>
      </c>
      <c r="D70" s="496" t="s">
        <v>1159</v>
      </c>
      <c r="E70" s="497" t="s">
        <v>1125</v>
      </c>
      <c r="F70" s="496" t="s">
        <v>19770</v>
      </c>
      <c r="G70" s="496" t="s">
        <v>19774</v>
      </c>
      <c r="H70" s="496">
        <v>46256</v>
      </c>
      <c r="I70" s="496">
        <v>46257</v>
      </c>
      <c r="J70" s="496">
        <f>I70-H70+1</f>
        <v>2</v>
      </c>
      <c r="K70" s="496"/>
      <c r="L70" s="496"/>
      <c r="M70" s="496"/>
      <c r="N70" s="496"/>
      <c r="O70" s="496"/>
      <c r="P70" s="496"/>
      <c r="Q70" s="496"/>
      <c r="R70" s="496"/>
      <c r="S70" s="496"/>
      <c r="T70" s="496"/>
      <c r="U70" s="496"/>
      <c r="V70" s="496"/>
      <c r="W70" s="498"/>
    </row>
    <row r="71" spans="1:23" ht="30" customHeight="1" x14ac:dyDescent="0.3">
      <c r="A71" s="496" t="s">
        <v>16329</v>
      </c>
      <c r="B71" s="496" t="s">
        <v>16197</v>
      </c>
      <c r="C71" s="496" t="s">
        <v>15717</v>
      </c>
      <c r="D71" s="496" t="s">
        <v>14990</v>
      </c>
      <c r="E71" s="497" t="s">
        <v>1125</v>
      </c>
      <c r="F71" s="496" t="s">
        <v>15441</v>
      </c>
      <c r="G71" s="496" t="s">
        <v>16198</v>
      </c>
      <c r="H71" s="496">
        <v>46287</v>
      </c>
      <c r="I71" s="496">
        <v>46291</v>
      </c>
      <c r="J71" s="496">
        <f>I71-H71+1</f>
        <v>5</v>
      </c>
      <c r="K71" s="496"/>
      <c r="L71" s="496"/>
      <c r="M71" s="496"/>
      <c r="N71" s="496"/>
      <c r="O71" s="496"/>
      <c r="P71" s="496"/>
      <c r="Q71" s="496"/>
      <c r="R71" s="496"/>
      <c r="S71" s="496"/>
      <c r="T71" s="496"/>
      <c r="U71" s="496"/>
      <c r="V71" s="496"/>
      <c r="W71" s="498"/>
    </row>
    <row r="72" spans="1:23" ht="30" customHeight="1" x14ac:dyDescent="0.3">
      <c r="A72" s="496" t="s">
        <v>16331</v>
      </c>
      <c r="B72" s="496" t="s">
        <v>16197</v>
      </c>
      <c r="C72" s="496" t="s">
        <v>15717</v>
      </c>
      <c r="D72" s="496" t="s">
        <v>14990</v>
      </c>
      <c r="E72" s="497" t="s">
        <v>1125</v>
      </c>
      <c r="F72" s="496" t="s">
        <v>1081</v>
      </c>
      <c r="G72" s="496" t="s">
        <v>16199</v>
      </c>
      <c r="H72" s="496">
        <v>46292</v>
      </c>
      <c r="I72" s="496">
        <v>46294</v>
      </c>
      <c r="J72" s="496">
        <f>I72-H72+1</f>
        <v>3</v>
      </c>
      <c r="K72" s="496"/>
      <c r="L72" s="496"/>
      <c r="M72" s="496"/>
      <c r="N72" s="496"/>
      <c r="O72" s="496"/>
      <c r="P72" s="496"/>
      <c r="Q72" s="496"/>
      <c r="R72" s="496"/>
      <c r="S72" s="496"/>
      <c r="T72" s="496"/>
      <c r="U72" s="496"/>
      <c r="V72" s="496"/>
      <c r="W72" s="498"/>
    </row>
    <row r="73" spans="1:23" ht="30" customHeight="1" x14ac:dyDescent="0.3">
      <c r="A73" s="496" t="s">
        <v>16334</v>
      </c>
      <c r="B73" s="496" t="s">
        <v>16197</v>
      </c>
      <c r="C73" s="496" t="s">
        <v>15717</v>
      </c>
      <c r="D73" s="496" t="s">
        <v>14990</v>
      </c>
      <c r="E73" s="497" t="s">
        <v>1125</v>
      </c>
      <c r="F73" s="496" t="s">
        <v>19770</v>
      </c>
      <c r="G73" s="496" t="s">
        <v>19776</v>
      </c>
      <c r="H73" s="496">
        <v>46295</v>
      </c>
      <c r="I73" s="496">
        <v>46296</v>
      </c>
      <c r="J73" s="496">
        <f>I73-H73+1</f>
        <v>2</v>
      </c>
      <c r="K73" s="496"/>
      <c r="L73" s="496"/>
      <c r="M73" s="496"/>
      <c r="N73" s="496"/>
      <c r="O73" s="496"/>
      <c r="P73" s="496"/>
      <c r="Q73" s="496"/>
      <c r="R73" s="496"/>
      <c r="S73" s="496"/>
      <c r="T73" s="496"/>
      <c r="U73" s="496"/>
      <c r="V73" s="496"/>
      <c r="W73" s="498"/>
    </row>
    <row r="74" spans="1:23" ht="30" customHeight="1" x14ac:dyDescent="0.3">
      <c r="A74" s="496" t="s">
        <v>16336</v>
      </c>
      <c r="B74" s="496" t="s">
        <v>16203</v>
      </c>
      <c r="C74" s="496" t="s">
        <v>15744</v>
      </c>
      <c r="D74" s="496" t="s">
        <v>152</v>
      </c>
      <c r="E74" s="497" t="s">
        <v>1122</v>
      </c>
      <c r="F74" s="496" t="s">
        <v>15441</v>
      </c>
      <c r="G74" s="496" t="s">
        <v>16144</v>
      </c>
      <c r="H74" s="496">
        <v>46209</v>
      </c>
      <c r="I74" s="496">
        <v>46211</v>
      </c>
      <c r="J74" s="496">
        <f>I74-H74+1</f>
        <v>3</v>
      </c>
      <c r="K74" s="496"/>
      <c r="L74" s="496"/>
      <c r="M74" s="496"/>
      <c r="N74" s="496"/>
      <c r="O74" s="496"/>
      <c r="P74" s="496"/>
      <c r="Q74" s="496"/>
      <c r="R74" s="496"/>
      <c r="S74" s="496"/>
      <c r="T74" s="496"/>
      <c r="U74" s="496"/>
      <c r="V74" s="496"/>
      <c r="W74" s="498"/>
    </row>
    <row r="75" spans="1:23" ht="30" customHeight="1" x14ac:dyDescent="0.3">
      <c r="A75" s="496" t="s">
        <v>16338</v>
      </c>
      <c r="B75" s="496" t="s">
        <v>16203</v>
      </c>
      <c r="C75" s="496" t="s">
        <v>15744</v>
      </c>
      <c r="D75" s="496" t="s">
        <v>152</v>
      </c>
      <c r="E75" s="497" t="s">
        <v>1122</v>
      </c>
      <c r="F75" s="496" t="s">
        <v>1081</v>
      </c>
      <c r="G75" s="496" t="s">
        <v>16145</v>
      </c>
      <c r="H75" s="496">
        <v>46212</v>
      </c>
      <c r="I75" s="496">
        <v>46213</v>
      </c>
      <c r="J75" s="496">
        <f>I75-H75+1</f>
        <v>2</v>
      </c>
      <c r="K75" s="496"/>
      <c r="L75" s="496"/>
      <c r="M75" s="496"/>
      <c r="N75" s="496"/>
      <c r="O75" s="496"/>
      <c r="P75" s="496"/>
      <c r="Q75" s="496"/>
      <c r="R75" s="496"/>
      <c r="S75" s="496"/>
      <c r="T75" s="496"/>
      <c r="U75" s="496"/>
      <c r="V75" s="496"/>
      <c r="W75" s="498"/>
    </row>
    <row r="76" spans="1:23" ht="30" customHeight="1" x14ac:dyDescent="0.3">
      <c r="A76" s="496" t="s">
        <v>16342</v>
      </c>
      <c r="B76" s="496" t="s">
        <v>16203</v>
      </c>
      <c r="C76" s="496" t="s">
        <v>15744</v>
      </c>
      <c r="D76" s="496" t="s">
        <v>152</v>
      </c>
      <c r="E76" s="497" t="s">
        <v>1122</v>
      </c>
      <c r="F76" s="496" t="s">
        <v>19770</v>
      </c>
      <c r="G76" s="496" t="s">
        <v>16146</v>
      </c>
      <c r="H76" s="496">
        <v>46214</v>
      </c>
      <c r="I76" s="496">
        <v>46214</v>
      </c>
      <c r="J76" s="496">
        <f>I76-H76+1</f>
        <v>1</v>
      </c>
      <c r="K76" s="496"/>
      <c r="L76" s="496"/>
      <c r="M76" s="496"/>
      <c r="N76" s="496"/>
      <c r="O76" s="496"/>
      <c r="P76" s="496"/>
      <c r="Q76" s="496"/>
      <c r="R76" s="496"/>
      <c r="S76" s="496"/>
      <c r="T76" s="496"/>
      <c r="U76" s="496"/>
      <c r="V76" s="496"/>
      <c r="W76" s="498"/>
    </row>
    <row r="77" spans="1:23" ht="30" customHeight="1" x14ac:dyDescent="0.3">
      <c r="A77" s="496" t="s">
        <v>16344</v>
      </c>
      <c r="B77" s="496" t="s">
        <v>16206</v>
      </c>
      <c r="C77" s="496" t="s">
        <v>15476</v>
      </c>
      <c r="D77" s="496" t="s">
        <v>1158</v>
      </c>
      <c r="E77" s="497" t="s">
        <v>1125</v>
      </c>
      <c r="F77" s="496" t="s">
        <v>15441</v>
      </c>
      <c r="G77" s="496" t="s">
        <v>16149</v>
      </c>
      <c r="H77" s="496">
        <v>46295</v>
      </c>
      <c r="I77" s="496">
        <v>46299</v>
      </c>
      <c r="J77" s="496">
        <f>I77-H77+1</f>
        <v>5</v>
      </c>
      <c r="K77" s="496"/>
      <c r="L77" s="496"/>
      <c r="M77" s="496"/>
      <c r="N77" s="496"/>
      <c r="O77" s="496"/>
      <c r="P77" s="496"/>
      <c r="Q77" s="496"/>
      <c r="R77" s="496"/>
      <c r="S77" s="496"/>
      <c r="T77" s="496"/>
      <c r="U77" s="496"/>
      <c r="V77" s="496"/>
      <c r="W77" s="498"/>
    </row>
    <row r="78" spans="1:23" ht="30" customHeight="1" x14ac:dyDescent="0.3">
      <c r="A78" s="496" t="s">
        <v>16347</v>
      </c>
      <c r="B78" s="496" t="s">
        <v>16206</v>
      </c>
      <c r="C78" s="496" t="s">
        <v>15476</v>
      </c>
      <c r="D78" s="496" t="s">
        <v>1158</v>
      </c>
      <c r="E78" s="497" t="s">
        <v>1125</v>
      </c>
      <c r="F78" s="496" t="s">
        <v>1081</v>
      </c>
      <c r="G78" s="496" t="s">
        <v>16207</v>
      </c>
      <c r="H78" s="496">
        <v>46300</v>
      </c>
      <c r="I78" s="496">
        <v>46302</v>
      </c>
      <c r="J78" s="496">
        <f>I78-H78+1</f>
        <v>3</v>
      </c>
      <c r="K78" s="496"/>
      <c r="L78" s="496"/>
      <c r="M78" s="496"/>
      <c r="N78" s="496"/>
      <c r="O78" s="496"/>
      <c r="P78" s="496"/>
      <c r="Q78" s="496"/>
      <c r="R78" s="496"/>
      <c r="S78" s="496"/>
      <c r="T78" s="496"/>
      <c r="U78" s="496"/>
      <c r="V78" s="496"/>
      <c r="W78" s="498"/>
    </row>
    <row r="79" spans="1:23" ht="30" customHeight="1" x14ac:dyDescent="0.3">
      <c r="A79" s="496" t="s">
        <v>16349</v>
      </c>
      <c r="B79" s="496" t="s">
        <v>16206</v>
      </c>
      <c r="C79" s="496" t="s">
        <v>15476</v>
      </c>
      <c r="D79" s="496" t="s">
        <v>1158</v>
      </c>
      <c r="E79" s="497" t="s">
        <v>1125</v>
      </c>
      <c r="F79" s="496" t="s">
        <v>19770</v>
      </c>
      <c r="G79" s="496" t="s">
        <v>19772</v>
      </c>
      <c r="H79" s="496">
        <v>46303</v>
      </c>
      <c r="I79" s="496">
        <v>46304</v>
      </c>
      <c r="J79" s="496">
        <f>I79-H79+1</f>
        <v>2</v>
      </c>
      <c r="K79" s="496"/>
      <c r="L79" s="496"/>
      <c r="M79" s="496"/>
      <c r="N79" s="496"/>
      <c r="O79" s="496"/>
      <c r="P79" s="496"/>
      <c r="Q79" s="496"/>
      <c r="R79" s="496"/>
      <c r="S79" s="496"/>
      <c r="T79" s="496"/>
      <c r="U79" s="496"/>
      <c r="V79" s="496"/>
      <c r="W79" s="498"/>
    </row>
    <row r="80" spans="1:23" ht="30" customHeight="1" x14ac:dyDescent="0.3">
      <c r="A80" s="496" t="s">
        <v>16351</v>
      </c>
      <c r="B80" s="496" t="s">
        <v>16210</v>
      </c>
      <c r="C80" s="496" t="s">
        <v>15569</v>
      </c>
      <c r="D80" s="496" t="s">
        <v>14994</v>
      </c>
      <c r="E80" s="497" t="s">
        <v>1125</v>
      </c>
      <c r="F80" s="496" t="s">
        <v>15441</v>
      </c>
      <c r="G80" s="496" t="s">
        <v>16183</v>
      </c>
      <c r="H80" s="496">
        <v>46273</v>
      </c>
      <c r="I80" s="496">
        <v>46277</v>
      </c>
      <c r="J80" s="496">
        <f>I80-H80+1</f>
        <v>5</v>
      </c>
      <c r="K80" s="496"/>
      <c r="L80" s="496"/>
      <c r="M80" s="496"/>
      <c r="N80" s="496"/>
      <c r="O80" s="496"/>
      <c r="P80" s="496"/>
      <c r="Q80" s="496"/>
      <c r="R80" s="496"/>
      <c r="S80" s="496"/>
      <c r="T80" s="496"/>
      <c r="U80" s="496"/>
      <c r="V80" s="496"/>
      <c r="W80" s="498"/>
    </row>
    <row r="81" spans="1:23" ht="30" customHeight="1" x14ac:dyDescent="0.3">
      <c r="A81" s="496" t="s">
        <v>16353</v>
      </c>
      <c r="B81" s="496" t="s">
        <v>16210</v>
      </c>
      <c r="C81" s="496" t="s">
        <v>15569</v>
      </c>
      <c r="D81" s="496" t="s">
        <v>14994</v>
      </c>
      <c r="E81" s="497" t="s">
        <v>1125</v>
      </c>
      <c r="F81" s="496" t="s">
        <v>1081</v>
      </c>
      <c r="G81" s="496" t="s">
        <v>16184</v>
      </c>
      <c r="H81" s="496">
        <v>46278</v>
      </c>
      <c r="I81" s="496">
        <v>46280</v>
      </c>
      <c r="J81" s="496">
        <f>I81-H81+1</f>
        <v>3</v>
      </c>
      <c r="K81" s="496"/>
      <c r="L81" s="496"/>
      <c r="M81" s="496"/>
      <c r="N81" s="496"/>
      <c r="O81" s="496"/>
      <c r="P81" s="496"/>
      <c r="Q81" s="496"/>
      <c r="R81" s="496"/>
      <c r="S81" s="496"/>
      <c r="T81" s="496"/>
      <c r="U81" s="496"/>
      <c r="V81" s="496"/>
      <c r="W81" s="498"/>
    </row>
    <row r="82" spans="1:23" ht="30" customHeight="1" x14ac:dyDescent="0.3">
      <c r="A82" s="496" t="s">
        <v>16355</v>
      </c>
      <c r="B82" s="496" t="s">
        <v>16210</v>
      </c>
      <c r="C82" s="496" t="s">
        <v>15569</v>
      </c>
      <c r="D82" s="496" t="s">
        <v>14994</v>
      </c>
      <c r="E82" s="497" t="s">
        <v>1125</v>
      </c>
      <c r="F82" s="496" t="s">
        <v>19770</v>
      </c>
      <c r="G82" s="496" t="s">
        <v>16124</v>
      </c>
      <c r="H82" s="496">
        <v>46281</v>
      </c>
      <c r="I82" s="496">
        <v>46282</v>
      </c>
      <c r="J82" s="496">
        <f>I82-H82+1</f>
        <v>2</v>
      </c>
      <c r="K82" s="496"/>
      <c r="L82" s="496"/>
      <c r="M82" s="496"/>
      <c r="N82" s="496"/>
      <c r="O82" s="496"/>
      <c r="P82" s="496"/>
      <c r="Q82" s="496"/>
      <c r="R82" s="496"/>
      <c r="S82" s="496"/>
      <c r="T82" s="496"/>
      <c r="U82" s="496"/>
      <c r="V82" s="496"/>
      <c r="W82" s="498"/>
    </row>
    <row r="83" spans="1:23" ht="30" customHeight="1" x14ac:dyDescent="0.3">
      <c r="A83" s="496" t="s">
        <v>16358</v>
      </c>
      <c r="B83" s="496" t="s">
        <v>16213</v>
      </c>
      <c r="C83" s="496" t="s">
        <v>15584</v>
      </c>
      <c r="D83" s="496" t="s">
        <v>14993</v>
      </c>
      <c r="E83" s="497" t="s">
        <v>1122</v>
      </c>
      <c r="F83" s="496" t="s">
        <v>15441</v>
      </c>
      <c r="G83" s="496" t="s">
        <v>16198</v>
      </c>
      <c r="H83" s="496">
        <v>46293</v>
      </c>
      <c r="I83" s="496">
        <v>46295</v>
      </c>
      <c r="J83" s="496">
        <f>I83-H83+1</f>
        <v>3</v>
      </c>
      <c r="K83" s="496"/>
      <c r="L83" s="496"/>
      <c r="M83" s="496"/>
      <c r="N83" s="496"/>
      <c r="O83" s="496"/>
      <c r="P83" s="496"/>
      <c r="Q83" s="496"/>
      <c r="R83" s="496"/>
      <c r="S83" s="496"/>
      <c r="T83" s="496"/>
      <c r="U83" s="496"/>
      <c r="V83" s="496"/>
      <c r="W83" s="498"/>
    </row>
    <row r="84" spans="1:23" ht="30" customHeight="1" x14ac:dyDescent="0.3">
      <c r="A84" s="496" t="s">
        <v>16360</v>
      </c>
      <c r="B84" s="496" t="s">
        <v>16213</v>
      </c>
      <c r="C84" s="496" t="s">
        <v>15584</v>
      </c>
      <c r="D84" s="496" t="s">
        <v>14993</v>
      </c>
      <c r="E84" s="497" t="s">
        <v>1122</v>
      </c>
      <c r="F84" s="496" t="s">
        <v>1081</v>
      </c>
      <c r="G84" s="496" t="s">
        <v>16199</v>
      </c>
      <c r="H84" s="496">
        <v>46296</v>
      </c>
      <c r="I84" s="496">
        <v>46297</v>
      </c>
      <c r="J84" s="496">
        <f>I84-H84+1</f>
        <v>2</v>
      </c>
      <c r="K84" s="496"/>
      <c r="L84" s="496"/>
      <c r="M84" s="496"/>
      <c r="N84" s="496"/>
      <c r="O84" s="496"/>
      <c r="P84" s="496"/>
      <c r="Q84" s="496"/>
      <c r="R84" s="496"/>
      <c r="S84" s="496"/>
      <c r="T84" s="496"/>
      <c r="U84" s="496"/>
      <c r="V84" s="496"/>
      <c r="W84" s="498"/>
    </row>
    <row r="85" spans="1:23" ht="30" customHeight="1" x14ac:dyDescent="0.3">
      <c r="A85" s="496" t="s">
        <v>19777</v>
      </c>
      <c r="B85" s="496" t="s">
        <v>16213</v>
      </c>
      <c r="C85" s="496" t="s">
        <v>15584</v>
      </c>
      <c r="D85" s="496" t="s">
        <v>14993</v>
      </c>
      <c r="E85" s="497" t="s">
        <v>1122</v>
      </c>
      <c r="F85" s="496" t="s">
        <v>19770</v>
      </c>
      <c r="G85" s="496" t="s">
        <v>19776</v>
      </c>
      <c r="H85" s="496">
        <v>46298</v>
      </c>
      <c r="I85" s="496">
        <v>46298</v>
      </c>
      <c r="J85" s="496">
        <f>I85-H85+1</f>
        <v>1</v>
      </c>
      <c r="K85" s="496"/>
      <c r="L85" s="496"/>
      <c r="M85" s="496"/>
      <c r="N85" s="496"/>
      <c r="O85" s="496"/>
      <c r="P85" s="496"/>
      <c r="Q85" s="496"/>
      <c r="R85" s="496"/>
      <c r="S85" s="496"/>
      <c r="T85" s="496"/>
      <c r="U85" s="496"/>
      <c r="V85" s="496"/>
      <c r="W85" s="498"/>
    </row>
    <row r="86" spans="1:23" ht="30" customHeight="1" x14ac:dyDescent="0.3">
      <c r="A86" s="496" t="s">
        <v>19778</v>
      </c>
      <c r="B86" s="496" t="s">
        <v>16216</v>
      </c>
      <c r="C86" s="496" t="s">
        <v>15614</v>
      </c>
      <c r="D86" s="496" t="s">
        <v>14992</v>
      </c>
      <c r="E86" s="497" t="s">
        <v>1128</v>
      </c>
      <c r="F86" s="496" t="s">
        <v>15441</v>
      </c>
      <c r="G86" s="496" t="s">
        <v>16127</v>
      </c>
      <c r="H86" s="496">
        <v>46216</v>
      </c>
      <c r="I86" s="496">
        <v>46225</v>
      </c>
      <c r="J86" s="496">
        <f>I86-H86+1</f>
        <v>10</v>
      </c>
      <c r="K86" s="496"/>
      <c r="L86" s="496"/>
      <c r="M86" s="496"/>
      <c r="N86" s="496"/>
      <c r="O86" s="496"/>
      <c r="P86" s="496"/>
      <c r="Q86" s="496"/>
      <c r="R86" s="496"/>
      <c r="S86" s="496"/>
      <c r="T86" s="496"/>
      <c r="U86" s="496"/>
      <c r="V86" s="496"/>
      <c r="W86" s="498"/>
    </row>
    <row r="87" spans="1:23" ht="30" customHeight="1" x14ac:dyDescent="0.3">
      <c r="A87" s="496" t="s">
        <v>19779</v>
      </c>
      <c r="B87" s="496" t="s">
        <v>16216</v>
      </c>
      <c r="C87" s="496" t="s">
        <v>15614</v>
      </c>
      <c r="D87" s="496" t="s">
        <v>14992</v>
      </c>
      <c r="E87" s="497" t="s">
        <v>1128</v>
      </c>
      <c r="F87" s="496" t="s">
        <v>1081</v>
      </c>
      <c r="G87" s="496" t="s">
        <v>16128</v>
      </c>
      <c r="H87" s="496">
        <v>46226</v>
      </c>
      <c r="I87" s="496">
        <v>46230</v>
      </c>
      <c r="J87" s="496">
        <f>I87-H87+1</f>
        <v>5</v>
      </c>
      <c r="K87" s="496"/>
      <c r="L87" s="496"/>
      <c r="M87" s="496"/>
      <c r="N87" s="496"/>
      <c r="O87" s="496"/>
      <c r="P87" s="496"/>
      <c r="Q87" s="496"/>
      <c r="R87" s="496"/>
      <c r="S87" s="496"/>
      <c r="T87" s="496"/>
      <c r="U87" s="496"/>
      <c r="V87" s="496"/>
      <c r="W87" s="498"/>
    </row>
    <row r="88" spans="1:23" ht="30" customHeight="1" x14ac:dyDescent="0.3">
      <c r="A88" s="496" t="s">
        <v>19780</v>
      </c>
      <c r="B88" s="496" t="s">
        <v>16216</v>
      </c>
      <c r="C88" s="496" t="s">
        <v>15614</v>
      </c>
      <c r="D88" s="496" t="s">
        <v>14992</v>
      </c>
      <c r="E88" s="497" t="s">
        <v>1128</v>
      </c>
      <c r="F88" s="496" t="s">
        <v>19770</v>
      </c>
      <c r="G88" s="496" t="s">
        <v>19771</v>
      </c>
      <c r="H88" s="496">
        <v>46231</v>
      </c>
      <c r="I88" s="496">
        <v>46234</v>
      </c>
      <c r="J88" s="496">
        <f>I88-H88+1</f>
        <v>4</v>
      </c>
      <c r="K88" s="496"/>
      <c r="L88" s="496"/>
      <c r="M88" s="496"/>
      <c r="N88" s="496"/>
      <c r="O88" s="496"/>
      <c r="P88" s="496"/>
      <c r="Q88" s="496"/>
      <c r="R88" s="496"/>
      <c r="S88" s="496"/>
      <c r="T88" s="496"/>
      <c r="U88" s="496"/>
      <c r="V88" s="496"/>
      <c r="W88" s="498"/>
    </row>
    <row r="89" spans="1:23" ht="30" customHeight="1" x14ac:dyDescent="0.3">
      <c r="A89" s="496" t="s">
        <v>19781</v>
      </c>
      <c r="B89" s="496" t="s">
        <v>16219</v>
      </c>
      <c r="C89" s="496" t="s">
        <v>15664</v>
      </c>
      <c r="D89" s="496" t="s">
        <v>14991</v>
      </c>
      <c r="E89" s="497" t="s">
        <v>1125</v>
      </c>
      <c r="F89" s="496" t="s">
        <v>15441</v>
      </c>
      <c r="G89" s="496" t="s">
        <v>16161</v>
      </c>
      <c r="H89" s="496">
        <v>46314</v>
      </c>
      <c r="I89" s="496">
        <v>46318</v>
      </c>
      <c r="J89" s="496">
        <f>I89-H89+1</f>
        <v>5</v>
      </c>
      <c r="K89" s="496"/>
      <c r="L89" s="496"/>
      <c r="M89" s="496"/>
      <c r="N89" s="496"/>
      <c r="O89" s="496"/>
      <c r="P89" s="496"/>
      <c r="Q89" s="496"/>
      <c r="R89" s="496"/>
      <c r="S89" s="496"/>
      <c r="T89" s="496"/>
      <c r="U89" s="496"/>
      <c r="V89" s="496"/>
      <c r="W89" s="498"/>
    </row>
    <row r="90" spans="1:23" ht="30" customHeight="1" x14ac:dyDescent="0.3">
      <c r="A90" s="496" t="s">
        <v>19782</v>
      </c>
      <c r="B90" s="496" t="s">
        <v>16219</v>
      </c>
      <c r="C90" s="496" t="s">
        <v>15664</v>
      </c>
      <c r="D90" s="496" t="s">
        <v>14991</v>
      </c>
      <c r="E90" s="497" t="s">
        <v>1125</v>
      </c>
      <c r="F90" s="496" t="s">
        <v>1081</v>
      </c>
      <c r="G90" s="496" t="s">
        <v>16132</v>
      </c>
      <c r="H90" s="496">
        <v>46319</v>
      </c>
      <c r="I90" s="496">
        <v>46321</v>
      </c>
      <c r="J90" s="496">
        <f>I90-H90+1</f>
        <v>3</v>
      </c>
      <c r="K90" s="496"/>
      <c r="L90" s="496"/>
      <c r="M90" s="496"/>
      <c r="N90" s="496"/>
      <c r="O90" s="496"/>
      <c r="P90" s="496"/>
      <c r="Q90" s="496"/>
      <c r="R90" s="496"/>
      <c r="S90" s="496"/>
      <c r="T90" s="496"/>
      <c r="U90" s="496"/>
      <c r="V90" s="496"/>
      <c r="W90" s="498"/>
    </row>
    <row r="91" spans="1:23" ht="30" customHeight="1" x14ac:dyDescent="0.3">
      <c r="A91" s="496" t="s">
        <v>19783</v>
      </c>
      <c r="B91" s="496" t="s">
        <v>16219</v>
      </c>
      <c r="C91" s="496" t="s">
        <v>15664</v>
      </c>
      <c r="D91" s="496" t="s">
        <v>14991</v>
      </c>
      <c r="E91" s="497" t="s">
        <v>1125</v>
      </c>
      <c r="F91" s="496" t="s">
        <v>19770</v>
      </c>
      <c r="G91" s="496" t="s">
        <v>19774</v>
      </c>
      <c r="H91" s="496">
        <v>46322</v>
      </c>
      <c r="I91" s="496">
        <v>46323</v>
      </c>
      <c r="J91" s="496">
        <f>I91-H91+1</f>
        <v>2</v>
      </c>
      <c r="K91" s="496"/>
      <c r="L91" s="496"/>
      <c r="M91" s="496"/>
      <c r="N91" s="496"/>
      <c r="O91" s="496"/>
      <c r="P91" s="496"/>
      <c r="Q91" s="496"/>
      <c r="R91" s="496"/>
      <c r="S91" s="496"/>
      <c r="T91" s="496"/>
      <c r="U91" s="496"/>
      <c r="V91" s="496"/>
      <c r="W91" s="498"/>
    </row>
    <row r="92" spans="1:23" ht="30" customHeight="1" x14ac:dyDescent="0.3">
      <c r="A92" s="496" t="s">
        <v>19784</v>
      </c>
      <c r="B92" s="496" t="s">
        <v>16222</v>
      </c>
      <c r="C92" s="496" t="s">
        <v>15693</v>
      </c>
      <c r="D92" s="496" t="s">
        <v>1159</v>
      </c>
      <c r="E92" s="497" t="s">
        <v>1125</v>
      </c>
      <c r="F92" s="496" t="s">
        <v>15441</v>
      </c>
      <c r="G92" s="496" t="s">
        <v>16223</v>
      </c>
      <c r="H92" s="496">
        <v>46227</v>
      </c>
      <c r="I92" s="496">
        <v>46231</v>
      </c>
      <c r="J92" s="496">
        <f>I92-H92+1</f>
        <v>5</v>
      </c>
      <c r="K92" s="496"/>
      <c r="L92" s="496"/>
      <c r="M92" s="496"/>
      <c r="N92" s="496"/>
      <c r="O92" s="496"/>
      <c r="P92" s="496"/>
      <c r="Q92" s="496"/>
      <c r="R92" s="496"/>
      <c r="S92" s="496"/>
      <c r="T92" s="496"/>
      <c r="U92" s="496"/>
      <c r="V92" s="496"/>
      <c r="W92" s="498"/>
    </row>
    <row r="93" spans="1:23" ht="30" customHeight="1" x14ac:dyDescent="0.3">
      <c r="A93" s="496" t="s">
        <v>19785</v>
      </c>
      <c r="B93" s="496" t="s">
        <v>16222</v>
      </c>
      <c r="C93" s="496" t="s">
        <v>15693</v>
      </c>
      <c r="D93" s="496" t="s">
        <v>1159</v>
      </c>
      <c r="E93" s="497" t="s">
        <v>1125</v>
      </c>
      <c r="F93" s="496" t="s">
        <v>1081</v>
      </c>
      <c r="G93" s="496" t="s">
        <v>16137</v>
      </c>
      <c r="H93" s="496">
        <v>46232</v>
      </c>
      <c r="I93" s="496">
        <v>46234</v>
      </c>
      <c r="J93" s="496">
        <f>I93-H93+1</f>
        <v>3</v>
      </c>
      <c r="K93" s="496"/>
      <c r="L93" s="496"/>
      <c r="M93" s="496"/>
      <c r="N93" s="496"/>
      <c r="O93" s="496"/>
      <c r="P93" s="496"/>
      <c r="Q93" s="496"/>
      <c r="R93" s="496"/>
      <c r="S93" s="496"/>
      <c r="T93" s="496"/>
      <c r="U93" s="496"/>
      <c r="V93" s="496"/>
      <c r="W93" s="498"/>
    </row>
    <row r="94" spans="1:23" ht="30" customHeight="1" x14ac:dyDescent="0.3">
      <c r="A94" s="496" t="s">
        <v>19786</v>
      </c>
      <c r="B94" s="496" t="s">
        <v>16222</v>
      </c>
      <c r="C94" s="496" t="s">
        <v>15693</v>
      </c>
      <c r="D94" s="496" t="s">
        <v>1159</v>
      </c>
      <c r="E94" s="497" t="s">
        <v>1125</v>
      </c>
      <c r="F94" s="496" t="s">
        <v>19770</v>
      </c>
      <c r="G94" s="496" t="s">
        <v>19787</v>
      </c>
      <c r="H94" s="496">
        <v>46235</v>
      </c>
      <c r="I94" s="496">
        <v>46236</v>
      </c>
      <c r="J94" s="496">
        <f>I94-H94+1</f>
        <v>2</v>
      </c>
      <c r="K94" s="496"/>
      <c r="L94" s="496"/>
      <c r="M94" s="496"/>
      <c r="N94" s="496"/>
      <c r="O94" s="496"/>
      <c r="P94" s="496"/>
      <c r="Q94" s="496"/>
      <c r="R94" s="496"/>
      <c r="S94" s="496"/>
      <c r="T94" s="496"/>
      <c r="U94" s="496"/>
      <c r="V94" s="496"/>
      <c r="W94" s="498"/>
    </row>
    <row r="95" spans="1:23" ht="30" customHeight="1" x14ac:dyDescent="0.3">
      <c r="A95" s="496" t="s">
        <v>19788</v>
      </c>
      <c r="B95" s="496" t="s">
        <v>16226</v>
      </c>
      <c r="C95" s="496" t="s">
        <v>15705</v>
      </c>
      <c r="D95" s="496" t="s">
        <v>14990</v>
      </c>
      <c r="E95" s="497" t="s">
        <v>1122</v>
      </c>
      <c r="F95" s="496" t="s">
        <v>15441</v>
      </c>
      <c r="G95" s="496" t="s">
        <v>16198</v>
      </c>
      <c r="H95" s="496">
        <v>46326</v>
      </c>
      <c r="I95" s="496">
        <v>46328</v>
      </c>
      <c r="J95" s="496">
        <f>I95-H95+1</f>
        <v>3</v>
      </c>
      <c r="K95" s="496"/>
      <c r="L95" s="496"/>
      <c r="M95" s="496"/>
      <c r="N95" s="496"/>
      <c r="O95" s="496"/>
      <c r="P95" s="496"/>
      <c r="Q95" s="496"/>
      <c r="R95" s="496"/>
      <c r="S95" s="496"/>
      <c r="T95" s="496"/>
      <c r="U95" s="496"/>
      <c r="V95" s="496"/>
      <c r="W95" s="498"/>
    </row>
    <row r="96" spans="1:23" ht="30" customHeight="1" x14ac:dyDescent="0.3">
      <c r="A96" s="496" t="s">
        <v>19789</v>
      </c>
      <c r="B96" s="496" t="s">
        <v>16226</v>
      </c>
      <c r="C96" s="496" t="s">
        <v>15705</v>
      </c>
      <c r="D96" s="496" t="s">
        <v>14990</v>
      </c>
      <c r="E96" s="497" t="s">
        <v>1122</v>
      </c>
      <c r="F96" s="496" t="s">
        <v>1081</v>
      </c>
      <c r="G96" s="496" t="s">
        <v>16199</v>
      </c>
      <c r="H96" s="496">
        <v>46329</v>
      </c>
      <c r="I96" s="496">
        <v>46330</v>
      </c>
      <c r="J96" s="496">
        <f>I96-H96+1</f>
        <v>2</v>
      </c>
      <c r="K96" s="496"/>
      <c r="L96" s="496"/>
      <c r="M96" s="496"/>
      <c r="N96" s="496"/>
      <c r="O96" s="496"/>
      <c r="P96" s="496"/>
      <c r="Q96" s="496"/>
      <c r="R96" s="496"/>
      <c r="S96" s="496"/>
      <c r="T96" s="496"/>
      <c r="U96" s="496"/>
      <c r="V96" s="496"/>
      <c r="W96" s="498"/>
    </row>
    <row r="97" spans="1:23" ht="30" customHeight="1" x14ac:dyDescent="0.3">
      <c r="A97" s="496" t="s">
        <v>19790</v>
      </c>
      <c r="B97" s="496" t="s">
        <v>16226</v>
      </c>
      <c r="C97" s="496" t="s">
        <v>15705</v>
      </c>
      <c r="D97" s="496" t="s">
        <v>14990</v>
      </c>
      <c r="E97" s="497" t="s">
        <v>1122</v>
      </c>
      <c r="F97" s="496" t="s">
        <v>19770</v>
      </c>
      <c r="G97" s="496" t="s">
        <v>19776</v>
      </c>
      <c r="H97" s="496">
        <v>46331</v>
      </c>
      <c r="I97" s="496">
        <v>46331</v>
      </c>
      <c r="J97" s="496">
        <f>I97-H97+1</f>
        <v>1</v>
      </c>
      <c r="K97" s="496"/>
      <c r="L97" s="496"/>
      <c r="M97" s="496"/>
      <c r="N97" s="496"/>
      <c r="O97" s="496"/>
      <c r="P97" s="496"/>
      <c r="Q97" s="496"/>
      <c r="R97" s="496"/>
      <c r="S97" s="496"/>
      <c r="T97" s="496"/>
      <c r="U97" s="496"/>
      <c r="V97" s="496"/>
      <c r="W97" s="498"/>
    </row>
    <row r="98" spans="1:23" ht="30" customHeight="1" x14ac:dyDescent="0.3">
      <c r="A98" s="496" t="s">
        <v>19791</v>
      </c>
      <c r="B98" s="496" t="s">
        <v>16229</v>
      </c>
      <c r="C98" s="496" t="s">
        <v>15732</v>
      </c>
      <c r="D98" s="496" t="s">
        <v>152</v>
      </c>
      <c r="E98" s="497" t="s">
        <v>1122</v>
      </c>
      <c r="F98" s="496" t="s">
        <v>15441</v>
      </c>
      <c r="G98" s="496" t="s">
        <v>16144</v>
      </c>
      <c r="H98" s="496">
        <v>46330</v>
      </c>
      <c r="I98" s="496">
        <v>46332</v>
      </c>
      <c r="J98" s="496">
        <f>I98-H98+1</f>
        <v>3</v>
      </c>
      <c r="K98" s="496"/>
      <c r="L98" s="496"/>
      <c r="M98" s="496"/>
      <c r="N98" s="496"/>
      <c r="O98" s="496"/>
      <c r="P98" s="496"/>
      <c r="Q98" s="496"/>
      <c r="R98" s="496"/>
      <c r="S98" s="496"/>
      <c r="T98" s="496"/>
      <c r="U98" s="496"/>
      <c r="V98" s="496"/>
      <c r="W98" s="498"/>
    </row>
    <row r="99" spans="1:23" ht="30" customHeight="1" x14ac:dyDescent="0.3">
      <c r="A99" s="496" t="s">
        <v>19792</v>
      </c>
      <c r="B99" s="496" t="s">
        <v>16229</v>
      </c>
      <c r="C99" s="496" t="s">
        <v>15732</v>
      </c>
      <c r="D99" s="496" t="s">
        <v>152</v>
      </c>
      <c r="E99" s="497" t="s">
        <v>1122</v>
      </c>
      <c r="F99" s="496" t="s">
        <v>1081</v>
      </c>
      <c r="G99" s="496" t="s">
        <v>16145</v>
      </c>
      <c r="H99" s="496">
        <v>46333</v>
      </c>
      <c r="I99" s="496">
        <v>46334</v>
      </c>
      <c r="J99" s="496">
        <f>I99-H99+1</f>
        <v>2</v>
      </c>
      <c r="K99" s="496"/>
      <c r="L99" s="496"/>
      <c r="M99" s="496"/>
      <c r="N99" s="496"/>
      <c r="O99" s="496"/>
      <c r="P99" s="496"/>
      <c r="Q99" s="496"/>
      <c r="R99" s="496"/>
      <c r="S99" s="496"/>
      <c r="T99" s="496"/>
      <c r="U99" s="496"/>
      <c r="V99" s="496"/>
      <c r="W99" s="498"/>
    </row>
    <row r="100" spans="1:23" ht="30" customHeight="1" x14ac:dyDescent="0.3">
      <c r="A100" s="496" t="s">
        <v>19793</v>
      </c>
      <c r="B100" s="496" t="s">
        <v>16229</v>
      </c>
      <c r="C100" s="496" t="s">
        <v>15732</v>
      </c>
      <c r="D100" s="496" t="s">
        <v>152</v>
      </c>
      <c r="E100" s="497" t="s">
        <v>1122</v>
      </c>
      <c r="F100" s="496" t="s">
        <v>19770</v>
      </c>
      <c r="G100" s="496" t="s">
        <v>16146</v>
      </c>
      <c r="H100" s="496">
        <v>46335</v>
      </c>
      <c r="I100" s="496">
        <v>46335</v>
      </c>
      <c r="J100" s="496">
        <f>I100-H100+1</f>
        <v>1</v>
      </c>
      <c r="K100" s="496"/>
      <c r="L100" s="496"/>
      <c r="M100" s="496"/>
      <c r="N100" s="496"/>
      <c r="O100" s="496"/>
      <c r="P100" s="496"/>
      <c r="Q100" s="496"/>
      <c r="R100" s="496"/>
      <c r="S100" s="496"/>
      <c r="T100" s="496"/>
      <c r="U100" s="496"/>
      <c r="V100" s="496"/>
      <c r="W100" s="498"/>
    </row>
    <row r="101" spans="1:23" ht="30" customHeight="1" x14ac:dyDescent="0.3">
      <c r="A101" s="496" t="s">
        <v>19794</v>
      </c>
      <c r="B101" s="496" t="s">
        <v>16231</v>
      </c>
      <c r="C101" s="496" t="s">
        <v>15458</v>
      </c>
      <c r="D101" s="496" t="s">
        <v>1158</v>
      </c>
      <c r="E101" s="497" t="s">
        <v>1128</v>
      </c>
      <c r="F101" s="496" t="s">
        <v>15441</v>
      </c>
      <c r="G101" s="496" t="s">
        <v>16112</v>
      </c>
      <c r="H101" s="496">
        <v>46320</v>
      </c>
      <c r="I101" s="496">
        <v>46329</v>
      </c>
      <c r="J101" s="496">
        <f>I101-H101+1</f>
        <v>10</v>
      </c>
      <c r="K101" s="496"/>
      <c r="L101" s="496"/>
      <c r="M101" s="496"/>
      <c r="N101" s="496"/>
      <c r="O101" s="496"/>
      <c r="P101" s="496"/>
      <c r="Q101" s="496"/>
      <c r="R101" s="496"/>
      <c r="S101" s="496"/>
      <c r="T101" s="496"/>
      <c r="U101" s="496"/>
      <c r="V101" s="496"/>
      <c r="W101" s="498"/>
    </row>
    <row r="102" spans="1:23" ht="30" customHeight="1" x14ac:dyDescent="0.3">
      <c r="A102" s="496" t="s">
        <v>19795</v>
      </c>
      <c r="B102" s="496" t="s">
        <v>16231</v>
      </c>
      <c r="C102" s="496" t="s">
        <v>15458</v>
      </c>
      <c r="D102" s="496" t="s">
        <v>1158</v>
      </c>
      <c r="E102" s="497" t="s">
        <v>1128</v>
      </c>
      <c r="F102" s="496" t="s">
        <v>1081</v>
      </c>
      <c r="G102" s="496" t="s">
        <v>16113</v>
      </c>
      <c r="H102" s="496">
        <v>46330</v>
      </c>
      <c r="I102" s="496">
        <v>46334</v>
      </c>
      <c r="J102" s="496">
        <f>I102-H102+1</f>
        <v>5</v>
      </c>
      <c r="K102" s="496"/>
      <c r="L102" s="496"/>
      <c r="M102" s="496"/>
      <c r="N102" s="496"/>
      <c r="O102" s="496"/>
      <c r="P102" s="496"/>
      <c r="Q102" s="496"/>
      <c r="R102" s="496"/>
      <c r="S102" s="496"/>
      <c r="T102" s="496"/>
      <c r="U102" s="496"/>
      <c r="V102" s="496"/>
      <c r="W102" s="498"/>
    </row>
    <row r="103" spans="1:23" ht="30" customHeight="1" x14ac:dyDescent="0.3">
      <c r="A103" s="496" t="s">
        <v>19796</v>
      </c>
      <c r="B103" s="496" t="s">
        <v>16231</v>
      </c>
      <c r="C103" s="496" t="s">
        <v>15458</v>
      </c>
      <c r="D103" s="496" t="s">
        <v>1158</v>
      </c>
      <c r="E103" s="497" t="s">
        <v>1128</v>
      </c>
      <c r="F103" s="496" t="s">
        <v>19770</v>
      </c>
      <c r="G103" s="496" t="s">
        <v>16114</v>
      </c>
      <c r="H103" s="496">
        <v>46335</v>
      </c>
      <c r="I103" s="496">
        <v>46338</v>
      </c>
      <c r="J103" s="496">
        <f>I103-H103+1</f>
        <v>4</v>
      </c>
      <c r="K103" s="496"/>
      <c r="L103" s="496"/>
      <c r="M103" s="496"/>
      <c r="N103" s="496"/>
      <c r="O103" s="496"/>
      <c r="P103" s="496"/>
      <c r="Q103" s="496"/>
      <c r="R103" s="496"/>
      <c r="S103" s="496"/>
      <c r="T103" s="496"/>
      <c r="U103" s="496"/>
      <c r="V103" s="496"/>
      <c r="W103" s="498"/>
    </row>
    <row r="104" spans="1:23" ht="30" customHeight="1" x14ac:dyDescent="0.3">
      <c r="A104" s="496" t="s">
        <v>19797</v>
      </c>
      <c r="B104" s="496" t="s">
        <v>16233</v>
      </c>
      <c r="C104" s="496" t="s">
        <v>15563</v>
      </c>
      <c r="D104" s="496" t="s">
        <v>14994</v>
      </c>
      <c r="E104" s="497" t="s">
        <v>1125</v>
      </c>
      <c r="F104" s="496" t="s">
        <v>15441</v>
      </c>
      <c r="G104" s="496" t="s">
        <v>16119</v>
      </c>
      <c r="H104" s="496">
        <v>46334</v>
      </c>
      <c r="I104" s="496">
        <v>46338</v>
      </c>
      <c r="J104" s="496">
        <f>I104-H104+1</f>
        <v>5</v>
      </c>
      <c r="K104" s="496"/>
      <c r="L104" s="496"/>
      <c r="M104" s="496"/>
      <c r="N104" s="496"/>
      <c r="O104" s="496"/>
      <c r="P104" s="496"/>
      <c r="Q104" s="496"/>
      <c r="R104" s="496"/>
      <c r="S104" s="496"/>
      <c r="T104" s="496"/>
      <c r="U104" s="496"/>
      <c r="V104" s="496"/>
      <c r="W104" s="498"/>
    </row>
    <row r="105" spans="1:23" ht="30" customHeight="1" x14ac:dyDescent="0.3">
      <c r="A105" s="496" t="s">
        <v>19798</v>
      </c>
      <c r="B105" s="496" t="s">
        <v>16233</v>
      </c>
      <c r="C105" s="496" t="s">
        <v>15563</v>
      </c>
      <c r="D105" s="496" t="s">
        <v>14994</v>
      </c>
      <c r="E105" s="497" t="s">
        <v>1125</v>
      </c>
      <c r="F105" s="496" t="s">
        <v>1081</v>
      </c>
      <c r="G105" s="496" t="s">
        <v>16120</v>
      </c>
      <c r="H105" s="496">
        <v>46339</v>
      </c>
      <c r="I105" s="496">
        <v>46341</v>
      </c>
      <c r="J105" s="496">
        <f>I105-H105+1</f>
        <v>3</v>
      </c>
      <c r="K105" s="496"/>
      <c r="L105" s="496"/>
      <c r="M105" s="496"/>
      <c r="N105" s="496"/>
      <c r="O105" s="496"/>
      <c r="P105" s="496"/>
      <c r="Q105" s="496"/>
      <c r="R105" s="496"/>
      <c r="S105" s="496"/>
      <c r="T105" s="496"/>
      <c r="U105" s="496"/>
      <c r="V105" s="496"/>
      <c r="W105" s="498"/>
    </row>
    <row r="106" spans="1:23" ht="30" customHeight="1" x14ac:dyDescent="0.3">
      <c r="A106" s="496" t="s">
        <v>19799</v>
      </c>
      <c r="B106" s="496" t="s">
        <v>16233</v>
      </c>
      <c r="C106" s="496" t="s">
        <v>15563</v>
      </c>
      <c r="D106" s="496" t="s">
        <v>14994</v>
      </c>
      <c r="E106" s="497" t="s">
        <v>1125</v>
      </c>
      <c r="F106" s="496" t="s">
        <v>19770</v>
      </c>
      <c r="G106" s="496" t="s">
        <v>16121</v>
      </c>
      <c r="H106" s="496">
        <v>46342</v>
      </c>
      <c r="I106" s="496">
        <v>46343</v>
      </c>
      <c r="J106" s="496">
        <f>I106-H106+1</f>
        <v>2</v>
      </c>
      <c r="K106" s="496"/>
      <c r="L106" s="496"/>
      <c r="M106" s="496"/>
      <c r="N106" s="496"/>
      <c r="O106" s="496"/>
      <c r="P106" s="496"/>
      <c r="Q106" s="496"/>
      <c r="R106" s="496"/>
      <c r="S106" s="496"/>
      <c r="T106" s="496"/>
      <c r="U106" s="496"/>
      <c r="V106" s="496"/>
      <c r="W106" s="498"/>
    </row>
    <row r="107" spans="1:23" ht="30" customHeight="1" x14ac:dyDescent="0.3">
      <c r="A107" s="496" t="s">
        <v>19800</v>
      </c>
      <c r="B107" s="496" t="s">
        <v>16235</v>
      </c>
      <c r="C107" s="496" t="s">
        <v>15587</v>
      </c>
      <c r="D107" s="496" t="s">
        <v>14993</v>
      </c>
      <c r="E107" s="497" t="s">
        <v>1122</v>
      </c>
      <c r="F107" s="496" t="s">
        <v>15441</v>
      </c>
      <c r="G107" s="496" t="s">
        <v>16183</v>
      </c>
      <c r="H107" s="496">
        <v>46342</v>
      </c>
      <c r="I107" s="496">
        <v>46344</v>
      </c>
      <c r="J107" s="496">
        <f>I107-H107+1</f>
        <v>3</v>
      </c>
      <c r="K107" s="496"/>
      <c r="L107" s="496"/>
      <c r="M107" s="496"/>
      <c r="N107" s="496"/>
      <c r="O107" s="496"/>
      <c r="P107" s="496"/>
      <c r="Q107" s="496"/>
      <c r="R107" s="496"/>
      <c r="S107" s="496"/>
      <c r="T107" s="496"/>
      <c r="U107" s="496"/>
      <c r="V107" s="496"/>
      <c r="W107" s="498"/>
    </row>
    <row r="108" spans="1:23" ht="30" customHeight="1" x14ac:dyDescent="0.3">
      <c r="A108" s="496" t="s">
        <v>19801</v>
      </c>
      <c r="B108" s="496" t="s">
        <v>16235</v>
      </c>
      <c r="C108" s="496" t="s">
        <v>15587</v>
      </c>
      <c r="D108" s="496" t="s">
        <v>14993</v>
      </c>
      <c r="E108" s="497" t="s">
        <v>1122</v>
      </c>
      <c r="F108" s="496" t="s">
        <v>1081</v>
      </c>
      <c r="G108" s="496" t="s">
        <v>16184</v>
      </c>
      <c r="H108" s="496">
        <v>46345</v>
      </c>
      <c r="I108" s="496">
        <v>46346</v>
      </c>
      <c r="J108" s="496">
        <f>I108-H108+1</f>
        <v>2</v>
      </c>
      <c r="K108" s="496"/>
      <c r="L108" s="496"/>
      <c r="M108" s="496"/>
      <c r="N108" s="496"/>
      <c r="O108" s="496"/>
      <c r="P108" s="496"/>
      <c r="Q108" s="496"/>
      <c r="R108" s="496"/>
      <c r="S108" s="496"/>
      <c r="T108" s="496"/>
      <c r="U108" s="496"/>
      <c r="V108" s="496"/>
      <c r="W108" s="498"/>
    </row>
    <row r="109" spans="1:23" ht="30" customHeight="1" x14ac:dyDescent="0.3">
      <c r="A109" s="496" t="s">
        <v>19802</v>
      </c>
      <c r="B109" s="496" t="s">
        <v>16235</v>
      </c>
      <c r="C109" s="496" t="s">
        <v>15587</v>
      </c>
      <c r="D109" s="496" t="s">
        <v>14993</v>
      </c>
      <c r="E109" s="497" t="s">
        <v>1122</v>
      </c>
      <c r="F109" s="496" t="s">
        <v>19770</v>
      </c>
      <c r="G109" s="496" t="s">
        <v>16124</v>
      </c>
      <c r="H109" s="496">
        <v>46347</v>
      </c>
      <c r="I109" s="496">
        <v>46347</v>
      </c>
      <c r="J109" s="496">
        <f>I109-H109+1</f>
        <v>1</v>
      </c>
      <c r="K109" s="496"/>
      <c r="L109" s="496"/>
      <c r="M109" s="496"/>
      <c r="N109" s="496"/>
      <c r="O109" s="496"/>
      <c r="P109" s="496"/>
      <c r="Q109" s="496"/>
      <c r="R109" s="496"/>
      <c r="S109" s="496"/>
      <c r="T109" s="496"/>
      <c r="U109" s="496"/>
      <c r="V109" s="496"/>
      <c r="W109" s="498"/>
    </row>
    <row r="110" spans="1:23" ht="30" customHeight="1" x14ac:dyDescent="0.3">
      <c r="A110" s="496" t="s">
        <v>19803</v>
      </c>
      <c r="B110" s="496" t="s">
        <v>16237</v>
      </c>
      <c r="C110" s="496" t="s">
        <v>15631</v>
      </c>
      <c r="D110" s="496" t="s">
        <v>14992</v>
      </c>
      <c r="E110" s="497" t="s">
        <v>1122</v>
      </c>
      <c r="F110" s="496" t="s">
        <v>15441</v>
      </c>
      <c r="G110" s="496" t="s">
        <v>16127</v>
      </c>
      <c r="H110" s="496">
        <v>46348</v>
      </c>
      <c r="I110" s="496">
        <v>46350</v>
      </c>
      <c r="J110" s="496">
        <f>I110-H110+1</f>
        <v>3</v>
      </c>
      <c r="K110" s="496"/>
      <c r="L110" s="496"/>
      <c r="M110" s="496"/>
      <c r="N110" s="496"/>
      <c r="O110" s="496"/>
      <c r="P110" s="496"/>
      <c r="Q110" s="496"/>
      <c r="R110" s="496"/>
      <c r="S110" s="496"/>
      <c r="T110" s="496"/>
      <c r="U110" s="496"/>
      <c r="V110" s="496"/>
      <c r="W110" s="498"/>
    </row>
    <row r="111" spans="1:23" ht="30" customHeight="1" x14ac:dyDescent="0.3">
      <c r="A111" s="496" t="s">
        <v>19804</v>
      </c>
      <c r="B111" s="496" t="s">
        <v>16237</v>
      </c>
      <c r="C111" s="496" t="s">
        <v>15631</v>
      </c>
      <c r="D111" s="496" t="s">
        <v>14992</v>
      </c>
      <c r="E111" s="497" t="s">
        <v>1122</v>
      </c>
      <c r="F111" s="496" t="s">
        <v>1081</v>
      </c>
      <c r="G111" s="496" t="s">
        <v>16128</v>
      </c>
      <c r="H111" s="496">
        <v>46351</v>
      </c>
      <c r="I111" s="496">
        <v>46352</v>
      </c>
      <c r="J111" s="496">
        <f>I111-H111+1</f>
        <v>2</v>
      </c>
      <c r="K111" s="496"/>
      <c r="L111" s="496"/>
      <c r="M111" s="496"/>
      <c r="N111" s="496"/>
      <c r="O111" s="496"/>
      <c r="P111" s="496"/>
      <c r="Q111" s="496"/>
      <c r="R111" s="496"/>
      <c r="S111" s="496"/>
      <c r="T111" s="496"/>
      <c r="U111" s="496"/>
      <c r="V111" s="496"/>
      <c r="W111" s="498"/>
    </row>
    <row r="112" spans="1:23" ht="30" customHeight="1" x14ac:dyDescent="0.3">
      <c r="A112" s="496" t="s">
        <v>19805</v>
      </c>
      <c r="B112" s="496" t="s">
        <v>16237</v>
      </c>
      <c r="C112" s="496" t="s">
        <v>15631</v>
      </c>
      <c r="D112" s="496" t="s">
        <v>14992</v>
      </c>
      <c r="E112" s="497" t="s">
        <v>1122</v>
      </c>
      <c r="F112" s="496" t="s">
        <v>19770</v>
      </c>
      <c r="G112" s="496" t="s">
        <v>19771</v>
      </c>
      <c r="H112" s="496">
        <v>46353</v>
      </c>
      <c r="I112" s="496">
        <v>46353</v>
      </c>
      <c r="J112" s="496">
        <f>I112-H112+1</f>
        <v>1</v>
      </c>
      <c r="K112" s="496"/>
      <c r="L112" s="496"/>
      <c r="M112" s="496"/>
      <c r="N112" s="496"/>
      <c r="O112" s="496"/>
      <c r="P112" s="496"/>
      <c r="Q112" s="496"/>
      <c r="R112" s="496"/>
      <c r="S112" s="496"/>
      <c r="T112" s="496"/>
      <c r="U112" s="496"/>
      <c r="V112" s="496"/>
      <c r="W112" s="498"/>
    </row>
    <row r="113" spans="1:23" ht="30" customHeight="1" x14ac:dyDescent="0.3">
      <c r="A113" s="496" t="s">
        <v>19806</v>
      </c>
      <c r="B113" s="496" t="s">
        <v>16239</v>
      </c>
      <c r="C113" s="496" t="s">
        <v>15655</v>
      </c>
      <c r="D113" s="496" t="s">
        <v>14991</v>
      </c>
      <c r="E113" s="497" t="s">
        <v>1128</v>
      </c>
      <c r="F113" s="496" t="s">
        <v>15441</v>
      </c>
      <c r="G113" s="496" t="s">
        <v>16161</v>
      </c>
      <c r="H113" s="496">
        <v>46338</v>
      </c>
      <c r="I113" s="496">
        <v>46347</v>
      </c>
      <c r="J113" s="496">
        <f>I113-H113+1</f>
        <v>10</v>
      </c>
      <c r="K113" s="496"/>
      <c r="L113" s="496"/>
      <c r="M113" s="496"/>
      <c r="N113" s="496"/>
      <c r="O113" s="496"/>
      <c r="P113" s="496"/>
      <c r="Q113" s="496"/>
      <c r="R113" s="496"/>
      <c r="S113" s="496"/>
      <c r="T113" s="496"/>
      <c r="U113" s="496"/>
      <c r="V113" s="496"/>
      <c r="W113" s="498"/>
    </row>
    <row r="114" spans="1:23" ht="30" customHeight="1" x14ac:dyDescent="0.3">
      <c r="A114" s="496" t="s">
        <v>19807</v>
      </c>
      <c r="B114" s="496" t="s">
        <v>16239</v>
      </c>
      <c r="C114" s="496" t="s">
        <v>15655</v>
      </c>
      <c r="D114" s="496" t="s">
        <v>14991</v>
      </c>
      <c r="E114" s="497" t="s">
        <v>1128</v>
      </c>
      <c r="F114" s="496" t="s">
        <v>1081</v>
      </c>
      <c r="G114" s="496" t="s">
        <v>16240</v>
      </c>
      <c r="H114" s="496">
        <v>46348</v>
      </c>
      <c r="I114" s="496">
        <v>46352</v>
      </c>
      <c r="J114" s="496">
        <f>I114-H114+1</f>
        <v>5</v>
      </c>
      <c r="K114" s="496"/>
      <c r="L114" s="496"/>
      <c r="M114" s="496"/>
      <c r="N114" s="496"/>
      <c r="O114" s="496"/>
      <c r="P114" s="496"/>
      <c r="Q114" s="496"/>
      <c r="R114" s="496"/>
      <c r="S114" s="496"/>
      <c r="T114" s="496"/>
      <c r="U114" s="496"/>
      <c r="V114" s="496"/>
      <c r="W114" s="498"/>
    </row>
    <row r="115" spans="1:23" ht="30" customHeight="1" x14ac:dyDescent="0.3">
      <c r="A115" s="496" t="s">
        <v>19808</v>
      </c>
      <c r="B115" s="496" t="s">
        <v>16239</v>
      </c>
      <c r="C115" s="496" t="s">
        <v>15655</v>
      </c>
      <c r="D115" s="496" t="s">
        <v>14991</v>
      </c>
      <c r="E115" s="497" t="s">
        <v>1128</v>
      </c>
      <c r="F115" s="496" t="s">
        <v>19770</v>
      </c>
      <c r="G115" s="496" t="s">
        <v>19774</v>
      </c>
      <c r="H115" s="496">
        <v>46353</v>
      </c>
      <c r="I115" s="496">
        <v>46356</v>
      </c>
      <c r="J115" s="496">
        <f>I115-H115+1</f>
        <v>4</v>
      </c>
      <c r="K115" s="496"/>
      <c r="L115" s="496"/>
      <c r="M115" s="496"/>
      <c r="N115" s="496"/>
      <c r="O115" s="496"/>
      <c r="P115" s="496"/>
      <c r="Q115" s="496"/>
      <c r="R115" s="496"/>
      <c r="S115" s="496"/>
      <c r="T115" s="496"/>
      <c r="U115" s="496"/>
      <c r="V115" s="496"/>
      <c r="W115" s="498"/>
    </row>
    <row r="116" spans="1:23" ht="30" customHeight="1" x14ac:dyDescent="0.3">
      <c r="A116" s="496" t="s">
        <v>19809</v>
      </c>
      <c r="B116" s="496" t="s">
        <v>16243</v>
      </c>
      <c r="C116" s="496" t="s">
        <v>15676</v>
      </c>
      <c r="D116" s="496" t="s">
        <v>1159</v>
      </c>
      <c r="E116" s="497" t="s">
        <v>1122</v>
      </c>
      <c r="F116" s="496" t="s">
        <v>15441</v>
      </c>
      <c r="G116" s="496" t="s">
        <v>16223</v>
      </c>
      <c r="H116" s="496">
        <v>46356</v>
      </c>
      <c r="I116" s="496">
        <v>46358</v>
      </c>
      <c r="J116" s="496">
        <f>I116-H116+1</f>
        <v>3</v>
      </c>
      <c r="K116" s="496"/>
      <c r="L116" s="496"/>
      <c r="M116" s="496"/>
      <c r="N116" s="496"/>
      <c r="O116" s="496"/>
      <c r="P116" s="496"/>
      <c r="Q116" s="496"/>
      <c r="R116" s="496"/>
      <c r="S116" s="496"/>
      <c r="T116" s="496"/>
      <c r="U116" s="496"/>
      <c r="V116" s="496"/>
      <c r="W116" s="498"/>
    </row>
    <row r="117" spans="1:23" ht="30" customHeight="1" x14ac:dyDescent="0.3">
      <c r="A117" s="496" t="s">
        <v>19810</v>
      </c>
      <c r="B117" s="496" t="s">
        <v>16243</v>
      </c>
      <c r="C117" s="496" t="s">
        <v>15676</v>
      </c>
      <c r="D117" s="496" t="s">
        <v>1159</v>
      </c>
      <c r="E117" s="497" t="s">
        <v>1122</v>
      </c>
      <c r="F117" s="496" t="s">
        <v>1081</v>
      </c>
      <c r="G117" s="496" t="s">
        <v>16244</v>
      </c>
      <c r="H117" s="496">
        <v>46359</v>
      </c>
      <c r="I117" s="496">
        <v>46360</v>
      </c>
      <c r="J117" s="496">
        <f>I117-H117+1</f>
        <v>2</v>
      </c>
      <c r="K117" s="496"/>
      <c r="L117" s="496"/>
      <c r="M117" s="496"/>
      <c r="N117" s="496"/>
      <c r="O117" s="496"/>
      <c r="P117" s="496"/>
      <c r="Q117" s="496"/>
      <c r="R117" s="496"/>
      <c r="S117" s="496"/>
      <c r="T117" s="496"/>
      <c r="U117" s="496"/>
      <c r="V117" s="496"/>
      <c r="W117" s="498"/>
    </row>
    <row r="118" spans="1:23" ht="30" customHeight="1" x14ac:dyDescent="0.3">
      <c r="A118" s="496" t="s">
        <v>19811</v>
      </c>
      <c r="B118" s="496" t="s">
        <v>16243</v>
      </c>
      <c r="C118" s="496" t="s">
        <v>15676</v>
      </c>
      <c r="D118" s="496" t="s">
        <v>1159</v>
      </c>
      <c r="E118" s="497" t="s">
        <v>1122</v>
      </c>
      <c r="F118" s="496" t="s">
        <v>19770</v>
      </c>
      <c r="G118" s="496" t="s">
        <v>19787</v>
      </c>
      <c r="H118" s="496">
        <v>46361</v>
      </c>
      <c r="I118" s="496">
        <v>46361</v>
      </c>
      <c r="J118" s="496">
        <f>I118-H118+1</f>
        <v>1</v>
      </c>
      <c r="K118" s="496"/>
      <c r="L118" s="496"/>
      <c r="M118" s="496"/>
      <c r="N118" s="496"/>
      <c r="O118" s="496"/>
      <c r="P118" s="496"/>
      <c r="Q118" s="496"/>
      <c r="R118" s="496"/>
      <c r="S118" s="496"/>
      <c r="T118" s="496"/>
      <c r="U118" s="496"/>
      <c r="V118" s="496"/>
      <c r="W118" s="498"/>
    </row>
    <row r="119" spans="1:23" ht="30" customHeight="1" x14ac:dyDescent="0.3">
      <c r="A119" s="496" t="s">
        <v>19812</v>
      </c>
      <c r="B119" s="496" t="s">
        <v>16246</v>
      </c>
      <c r="C119" s="496" t="s">
        <v>15723</v>
      </c>
      <c r="D119" s="496" t="s">
        <v>14990</v>
      </c>
      <c r="E119" s="497" t="s">
        <v>1128</v>
      </c>
      <c r="F119" s="496" t="s">
        <v>15441</v>
      </c>
      <c r="G119" s="496" t="s">
        <v>16247</v>
      </c>
      <c r="H119" s="496">
        <v>46346</v>
      </c>
      <c r="I119" s="496">
        <v>46355</v>
      </c>
      <c r="J119" s="496">
        <f>I119-H119+1</f>
        <v>10</v>
      </c>
      <c r="K119" s="496"/>
      <c r="L119" s="496"/>
      <c r="M119" s="496"/>
      <c r="N119" s="496"/>
      <c r="O119" s="496"/>
      <c r="P119" s="496"/>
      <c r="Q119" s="496"/>
      <c r="R119" s="496"/>
      <c r="S119" s="496"/>
      <c r="T119" s="496"/>
      <c r="U119" s="496"/>
      <c r="V119" s="496"/>
      <c r="W119" s="498"/>
    </row>
    <row r="120" spans="1:23" ht="30" customHeight="1" x14ac:dyDescent="0.3">
      <c r="A120" s="496" t="s">
        <v>19813</v>
      </c>
      <c r="B120" s="496" t="s">
        <v>16246</v>
      </c>
      <c r="C120" s="496" t="s">
        <v>15723</v>
      </c>
      <c r="D120" s="496" t="s">
        <v>14990</v>
      </c>
      <c r="E120" s="497" t="s">
        <v>1128</v>
      </c>
      <c r="F120" s="496" t="s">
        <v>1081</v>
      </c>
      <c r="G120" s="496" t="s">
        <v>16248</v>
      </c>
      <c r="H120" s="496">
        <v>46356</v>
      </c>
      <c r="I120" s="496">
        <v>46360</v>
      </c>
      <c r="J120" s="496">
        <f>I120-H120+1</f>
        <v>5</v>
      </c>
      <c r="K120" s="496"/>
      <c r="L120" s="496"/>
      <c r="M120" s="496"/>
      <c r="N120" s="496"/>
      <c r="O120" s="496"/>
      <c r="P120" s="496"/>
      <c r="Q120" s="496"/>
      <c r="R120" s="496"/>
      <c r="S120" s="496"/>
      <c r="T120" s="496"/>
      <c r="U120" s="496"/>
      <c r="V120" s="496"/>
      <c r="W120" s="498"/>
    </row>
    <row r="121" spans="1:23" ht="30" customHeight="1" x14ac:dyDescent="0.3">
      <c r="A121" s="496" t="s">
        <v>19814</v>
      </c>
      <c r="B121" s="496" t="s">
        <v>16246</v>
      </c>
      <c r="C121" s="496" t="s">
        <v>15723</v>
      </c>
      <c r="D121" s="496" t="s">
        <v>14990</v>
      </c>
      <c r="E121" s="497" t="s">
        <v>1128</v>
      </c>
      <c r="F121" s="496" t="s">
        <v>19770</v>
      </c>
      <c r="G121" s="496" t="s">
        <v>19815</v>
      </c>
      <c r="H121" s="496">
        <v>46361</v>
      </c>
      <c r="I121" s="496">
        <v>46364</v>
      </c>
      <c r="J121" s="496">
        <f>I121-H121+1</f>
        <v>4</v>
      </c>
      <c r="K121" s="496"/>
      <c r="L121" s="496"/>
      <c r="M121" s="496"/>
      <c r="N121" s="496"/>
      <c r="O121" s="496"/>
      <c r="P121" s="496"/>
      <c r="Q121" s="496"/>
      <c r="R121" s="496"/>
      <c r="S121" s="496"/>
      <c r="T121" s="496"/>
      <c r="U121" s="496"/>
      <c r="V121" s="496"/>
      <c r="W121" s="498"/>
    </row>
    <row r="122" spans="1:23" ht="30" customHeight="1" x14ac:dyDescent="0.3">
      <c r="A122" s="496" t="s">
        <v>19816</v>
      </c>
      <c r="B122" s="496" t="s">
        <v>16250</v>
      </c>
      <c r="C122" s="496" t="s">
        <v>15735</v>
      </c>
      <c r="D122" s="496" t="s">
        <v>152</v>
      </c>
      <c r="E122" s="497" t="s">
        <v>1122</v>
      </c>
      <c r="F122" s="496" t="s">
        <v>15441</v>
      </c>
      <c r="G122" s="496" t="s">
        <v>16251</v>
      </c>
      <c r="H122" s="496">
        <v>46364</v>
      </c>
      <c r="I122" s="496">
        <v>46366</v>
      </c>
      <c r="J122" s="496">
        <f>I122-H122+1</f>
        <v>3</v>
      </c>
      <c r="K122" s="496"/>
      <c r="L122" s="496"/>
      <c r="M122" s="496"/>
      <c r="N122" s="496"/>
      <c r="O122" s="496"/>
      <c r="P122" s="496"/>
      <c r="Q122" s="496"/>
      <c r="R122" s="496"/>
      <c r="S122" s="496"/>
      <c r="T122" s="496"/>
      <c r="U122" s="496"/>
      <c r="V122" s="496"/>
      <c r="W122" s="498"/>
    </row>
    <row r="123" spans="1:23" ht="30" customHeight="1" x14ac:dyDescent="0.3">
      <c r="A123" s="496" t="s">
        <v>19817</v>
      </c>
      <c r="B123" s="496" t="s">
        <v>16250</v>
      </c>
      <c r="C123" s="496" t="s">
        <v>15735</v>
      </c>
      <c r="D123" s="496" t="s">
        <v>152</v>
      </c>
      <c r="E123" s="497" t="s">
        <v>1122</v>
      </c>
      <c r="F123" s="496" t="s">
        <v>1081</v>
      </c>
      <c r="G123" s="496" t="s">
        <v>16145</v>
      </c>
      <c r="H123" s="496">
        <v>46367</v>
      </c>
      <c r="I123" s="496">
        <v>46368</v>
      </c>
      <c r="J123" s="496">
        <f>I123-H123+1</f>
        <v>2</v>
      </c>
      <c r="K123" s="496"/>
      <c r="L123" s="496"/>
      <c r="M123" s="496"/>
      <c r="N123" s="496"/>
      <c r="O123" s="496"/>
      <c r="P123" s="496"/>
      <c r="Q123" s="496"/>
      <c r="R123" s="496"/>
      <c r="S123" s="496"/>
      <c r="T123" s="496"/>
      <c r="U123" s="496"/>
      <c r="V123" s="496"/>
      <c r="W123" s="498"/>
    </row>
    <row r="124" spans="1:23" ht="30" customHeight="1" x14ac:dyDescent="0.3">
      <c r="A124" s="496" t="s">
        <v>19818</v>
      </c>
      <c r="B124" s="496" t="s">
        <v>16250</v>
      </c>
      <c r="C124" s="496" t="s">
        <v>15735</v>
      </c>
      <c r="D124" s="496" t="s">
        <v>152</v>
      </c>
      <c r="E124" s="497" t="s">
        <v>1122</v>
      </c>
      <c r="F124" s="496" t="s">
        <v>19770</v>
      </c>
      <c r="G124" s="496" t="s">
        <v>19819</v>
      </c>
      <c r="H124" s="496">
        <v>46369</v>
      </c>
      <c r="I124" s="496">
        <v>46369</v>
      </c>
      <c r="J124" s="496">
        <f>I124-H124+1</f>
        <v>1</v>
      </c>
      <c r="K124" s="496"/>
      <c r="L124" s="496"/>
      <c r="M124" s="496"/>
      <c r="N124" s="496"/>
      <c r="O124" s="496"/>
      <c r="P124" s="496"/>
      <c r="Q124" s="496"/>
      <c r="R124" s="496"/>
      <c r="S124" s="496"/>
      <c r="T124" s="496"/>
      <c r="U124" s="496"/>
      <c r="V124" s="496"/>
      <c r="W124" s="498"/>
    </row>
    <row r="125" spans="1:23" ht="30" customHeight="1" x14ac:dyDescent="0.3">
      <c r="A125" s="496" t="s">
        <v>19820</v>
      </c>
      <c r="B125" s="496" t="s">
        <v>16253</v>
      </c>
      <c r="C125" s="496" t="s">
        <v>15449</v>
      </c>
      <c r="D125" s="496" t="s">
        <v>1158</v>
      </c>
      <c r="E125" s="497" t="s">
        <v>1122</v>
      </c>
      <c r="F125" s="496" t="s">
        <v>15441</v>
      </c>
      <c r="G125" s="496" t="s">
        <v>16112</v>
      </c>
      <c r="H125" s="496">
        <v>46368</v>
      </c>
      <c r="I125" s="496">
        <v>46370</v>
      </c>
      <c r="J125" s="496">
        <f>I125-H125+1</f>
        <v>3</v>
      </c>
      <c r="K125" s="496"/>
      <c r="L125" s="496"/>
      <c r="M125" s="496"/>
      <c r="N125" s="496"/>
      <c r="O125" s="496"/>
      <c r="P125" s="496"/>
      <c r="Q125" s="496"/>
      <c r="R125" s="496"/>
      <c r="S125" s="496"/>
      <c r="T125" s="496"/>
      <c r="U125" s="496"/>
      <c r="V125" s="496"/>
      <c r="W125" s="498"/>
    </row>
    <row r="126" spans="1:23" ht="30" customHeight="1" x14ac:dyDescent="0.3">
      <c r="A126" s="496" t="s">
        <v>19821</v>
      </c>
      <c r="B126" s="496" t="s">
        <v>16253</v>
      </c>
      <c r="C126" s="496" t="s">
        <v>15449</v>
      </c>
      <c r="D126" s="496" t="s">
        <v>1158</v>
      </c>
      <c r="E126" s="497" t="s">
        <v>1122</v>
      </c>
      <c r="F126" s="496" t="s">
        <v>1081</v>
      </c>
      <c r="G126" s="496" t="s">
        <v>16113</v>
      </c>
      <c r="H126" s="496">
        <v>46371</v>
      </c>
      <c r="I126" s="496">
        <v>46372</v>
      </c>
      <c r="J126" s="496">
        <f>I126-H126+1</f>
        <v>2</v>
      </c>
      <c r="K126" s="496"/>
      <c r="L126" s="496"/>
      <c r="M126" s="496"/>
      <c r="N126" s="496"/>
      <c r="O126" s="496"/>
      <c r="P126" s="496"/>
      <c r="Q126" s="496"/>
      <c r="R126" s="496"/>
      <c r="S126" s="496"/>
      <c r="T126" s="496"/>
      <c r="U126" s="496"/>
      <c r="V126" s="496"/>
      <c r="W126" s="498"/>
    </row>
    <row r="127" spans="1:23" ht="30" customHeight="1" x14ac:dyDescent="0.3">
      <c r="A127" s="496" t="s">
        <v>19822</v>
      </c>
      <c r="B127" s="496" t="s">
        <v>16253</v>
      </c>
      <c r="C127" s="496" t="s">
        <v>15449</v>
      </c>
      <c r="D127" s="496" t="s">
        <v>1158</v>
      </c>
      <c r="E127" s="497" t="s">
        <v>1122</v>
      </c>
      <c r="F127" s="496" t="s">
        <v>19770</v>
      </c>
      <c r="G127" s="496" t="s">
        <v>16114</v>
      </c>
      <c r="H127" s="496">
        <v>46373</v>
      </c>
      <c r="I127" s="496">
        <v>46373</v>
      </c>
      <c r="J127" s="496">
        <f>I127-H127+1</f>
        <v>1</v>
      </c>
      <c r="K127" s="496"/>
      <c r="L127" s="496"/>
      <c r="M127" s="496"/>
      <c r="N127" s="496"/>
      <c r="O127" s="496"/>
      <c r="P127" s="496"/>
      <c r="Q127" s="496"/>
      <c r="R127" s="496"/>
      <c r="S127" s="496"/>
      <c r="T127" s="496"/>
      <c r="U127" s="496"/>
      <c r="V127" s="496"/>
      <c r="W127" s="498"/>
    </row>
    <row r="128" spans="1:23" ht="30" customHeight="1" x14ac:dyDescent="0.3">
      <c r="A128" s="496" t="s">
        <v>19823</v>
      </c>
      <c r="B128" s="496" t="s">
        <v>16257</v>
      </c>
      <c r="C128" s="496" t="s">
        <v>15557</v>
      </c>
      <c r="D128" s="496" t="s">
        <v>14994</v>
      </c>
      <c r="E128" s="497" t="s">
        <v>1125</v>
      </c>
      <c r="F128" s="496" t="s">
        <v>15441</v>
      </c>
      <c r="G128" s="496" t="s">
        <v>16119</v>
      </c>
      <c r="H128" s="496">
        <v>46368</v>
      </c>
      <c r="I128" s="496">
        <v>46372</v>
      </c>
      <c r="J128" s="496">
        <f>I128-H128+1</f>
        <v>5</v>
      </c>
      <c r="K128" s="496"/>
      <c r="L128" s="496"/>
      <c r="M128" s="496"/>
      <c r="N128" s="496"/>
      <c r="O128" s="496"/>
      <c r="P128" s="496"/>
      <c r="Q128" s="496"/>
      <c r="R128" s="496"/>
      <c r="S128" s="496"/>
      <c r="T128" s="496"/>
      <c r="U128" s="496"/>
      <c r="V128" s="496"/>
      <c r="W128" s="498"/>
    </row>
    <row r="129" spans="1:23" ht="30" customHeight="1" x14ac:dyDescent="0.3">
      <c r="A129" s="496" t="s">
        <v>19824</v>
      </c>
      <c r="B129" s="496" t="s">
        <v>16257</v>
      </c>
      <c r="C129" s="496" t="s">
        <v>15557</v>
      </c>
      <c r="D129" s="496" t="s">
        <v>14994</v>
      </c>
      <c r="E129" s="497" t="s">
        <v>1125</v>
      </c>
      <c r="F129" s="496" t="s">
        <v>1081</v>
      </c>
      <c r="G129" s="496" t="s">
        <v>16120</v>
      </c>
      <c r="H129" s="496">
        <v>46373</v>
      </c>
      <c r="I129" s="496">
        <v>46375</v>
      </c>
      <c r="J129" s="496">
        <f>I129-H129+1</f>
        <v>3</v>
      </c>
      <c r="K129" s="496"/>
      <c r="L129" s="496"/>
      <c r="M129" s="496"/>
      <c r="N129" s="496"/>
      <c r="O129" s="496"/>
      <c r="P129" s="496"/>
      <c r="Q129" s="496"/>
      <c r="R129" s="496"/>
      <c r="S129" s="496"/>
      <c r="T129" s="496"/>
      <c r="U129" s="496"/>
      <c r="V129" s="496"/>
      <c r="W129" s="498"/>
    </row>
    <row r="130" spans="1:23" ht="30" customHeight="1" x14ac:dyDescent="0.3">
      <c r="A130" s="496" t="s">
        <v>19825</v>
      </c>
      <c r="B130" s="496" t="s">
        <v>16257</v>
      </c>
      <c r="C130" s="496" t="s">
        <v>15557</v>
      </c>
      <c r="D130" s="496" t="s">
        <v>14994</v>
      </c>
      <c r="E130" s="497" t="s">
        <v>1125</v>
      </c>
      <c r="F130" s="496" t="s">
        <v>19770</v>
      </c>
      <c r="G130" s="496" t="s">
        <v>16121</v>
      </c>
      <c r="H130" s="496">
        <v>46376</v>
      </c>
      <c r="I130" s="496">
        <v>46377</v>
      </c>
      <c r="J130" s="496">
        <f>I130-H130+1</f>
        <v>2</v>
      </c>
      <c r="K130" s="496"/>
      <c r="L130" s="496"/>
      <c r="M130" s="496"/>
      <c r="N130" s="496"/>
      <c r="O130" s="496"/>
      <c r="P130" s="496"/>
      <c r="Q130" s="496"/>
      <c r="R130" s="496"/>
      <c r="S130" s="496"/>
      <c r="T130" s="496"/>
      <c r="U130" s="496"/>
      <c r="V130" s="496"/>
      <c r="W130" s="498"/>
    </row>
    <row r="131" spans="1:23" ht="30" customHeight="1" x14ac:dyDescent="0.3">
      <c r="A131" s="496" t="s">
        <v>19826</v>
      </c>
      <c r="B131" s="496" t="s">
        <v>16259</v>
      </c>
      <c r="C131" s="496" t="s">
        <v>15590</v>
      </c>
      <c r="D131" s="496" t="s">
        <v>14993</v>
      </c>
      <c r="E131" s="497" t="s">
        <v>1125</v>
      </c>
      <c r="F131" s="496" t="s">
        <v>15441</v>
      </c>
      <c r="G131" s="496" t="s">
        <v>16112</v>
      </c>
      <c r="H131" s="496">
        <v>46367</v>
      </c>
      <c r="I131" s="496">
        <v>46371</v>
      </c>
      <c r="J131" s="496">
        <f>I131-H131+1</f>
        <v>5</v>
      </c>
      <c r="K131" s="496"/>
      <c r="L131" s="496"/>
      <c r="M131" s="496"/>
      <c r="N131" s="496"/>
      <c r="O131" s="496"/>
      <c r="P131" s="496"/>
      <c r="Q131" s="496"/>
      <c r="R131" s="496"/>
      <c r="S131" s="496"/>
      <c r="T131" s="496"/>
      <c r="U131" s="496"/>
      <c r="V131" s="496"/>
      <c r="W131" s="498"/>
    </row>
    <row r="132" spans="1:23" ht="30" customHeight="1" x14ac:dyDescent="0.3">
      <c r="A132" s="496" t="s">
        <v>19827</v>
      </c>
      <c r="B132" s="496" t="s">
        <v>16259</v>
      </c>
      <c r="C132" s="496" t="s">
        <v>15590</v>
      </c>
      <c r="D132" s="496" t="s">
        <v>14993</v>
      </c>
      <c r="E132" s="497" t="s">
        <v>1125</v>
      </c>
      <c r="F132" s="496" t="s">
        <v>1081</v>
      </c>
      <c r="G132" s="496" t="s">
        <v>16113</v>
      </c>
      <c r="H132" s="496">
        <v>46372</v>
      </c>
      <c r="I132" s="496">
        <v>46374</v>
      </c>
      <c r="J132" s="496">
        <f>I132-H132+1</f>
        <v>3</v>
      </c>
      <c r="K132" s="496"/>
      <c r="L132" s="496"/>
      <c r="M132" s="496"/>
      <c r="N132" s="496"/>
      <c r="O132" s="496"/>
      <c r="P132" s="496"/>
      <c r="Q132" s="496"/>
      <c r="R132" s="496"/>
      <c r="S132" s="496"/>
      <c r="T132" s="496"/>
      <c r="U132" s="496"/>
      <c r="V132" s="496"/>
      <c r="W132" s="498"/>
    </row>
    <row r="133" spans="1:23" ht="30" customHeight="1" x14ac:dyDescent="0.3">
      <c r="A133" s="496" t="s">
        <v>19828</v>
      </c>
      <c r="B133" s="496" t="s">
        <v>16259</v>
      </c>
      <c r="C133" s="496" t="s">
        <v>15590</v>
      </c>
      <c r="D133" s="496" t="s">
        <v>14993</v>
      </c>
      <c r="E133" s="497" t="s">
        <v>1125</v>
      </c>
      <c r="F133" s="496" t="s">
        <v>19770</v>
      </c>
      <c r="G133" s="496" t="s">
        <v>16114</v>
      </c>
      <c r="H133" s="496">
        <v>46375</v>
      </c>
      <c r="I133" s="496">
        <v>46376</v>
      </c>
      <c r="J133" s="496">
        <f>I133-H133+1</f>
        <v>2</v>
      </c>
      <c r="K133" s="496"/>
      <c r="L133" s="496"/>
      <c r="M133" s="496"/>
      <c r="N133" s="496"/>
      <c r="O133" s="496"/>
      <c r="P133" s="496"/>
      <c r="Q133" s="496"/>
      <c r="R133" s="496"/>
      <c r="S133" s="496"/>
      <c r="T133" s="496"/>
      <c r="U133" s="496"/>
      <c r="V133" s="496"/>
      <c r="W133" s="498"/>
    </row>
    <row r="134" spans="1:23" ht="30" customHeight="1" x14ac:dyDescent="0.3">
      <c r="A134" s="496" t="s">
        <v>19829</v>
      </c>
      <c r="B134" s="496" t="s">
        <v>16262</v>
      </c>
      <c r="C134" s="496" t="s">
        <v>15617</v>
      </c>
      <c r="D134" s="496" t="s">
        <v>14992</v>
      </c>
      <c r="E134" s="497" t="s">
        <v>1125</v>
      </c>
      <c r="F134" s="496" t="s">
        <v>15441</v>
      </c>
      <c r="G134" s="496" t="s">
        <v>16263</v>
      </c>
      <c r="H134" s="496">
        <v>46379</v>
      </c>
      <c r="I134" s="496">
        <v>46383</v>
      </c>
      <c r="J134" s="496">
        <f>I134-H134+1</f>
        <v>5</v>
      </c>
      <c r="K134" s="496"/>
      <c r="L134" s="496"/>
      <c r="M134" s="496"/>
      <c r="N134" s="496"/>
      <c r="O134" s="496"/>
      <c r="P134" s="496"/>
      <c r="Q134" s="496"/>
      <c r="R134" s="496"/>
      <c r="S134" s="496"/>
      <c r="T134" s="496"/>
      <c r="U134" s="496"/>
      <c r="V134" s="496"/>
      <c r="W134" s="498"/>
    </row>
    <row r="135" spans="1:23" ht="30" customHeight="1" x14ac:dyDescent="0.3">
      <c r="A135" s="496" t="s">
        <v>19830</v>
      </c>
      <c r="B135" s="496" t="s">
        <v>16262</v>
      </c>
      <c r="C135" s="496" t="s">
        <v>15617</v>
      </c>
      <c r="D135" s="496" t="s">
        <v>14992</v>
      </c>
      <c r="E135" s="497" t="s">
        <v>1125</v>
      </c>
      <c r="F135" s="496" t="s">
        <v>1081</v>
      </c>
      <c r="G135" s="496" t="s">
        <v>16128</v>
      </c>
      <c r="H135" s="496">
        <v>46384</v>
      </c>
      <c r="I135" s="496">
        <v>46386</v>
      </c>
      <c r="J135" s="496">
        <f>I135-H135+1</f>
        <v>3</v>
      </c>
      <c r="K135" s="496"/>
      <c r="L135" s="496"/>
      <c r="M135" s="496"/>
      <c r="N135" s="496"/>
      <c r="O135" s="496"/>
      <c r="P135" s="496"/>
      <c r="Q135" s="496"/>
      <c r="R135" s="496"/>
      <c r="S135" s="496"/>
      <c r="T135" s="496"/>
      <c r="U135" s="496"/>
      <c r="V135" s="496"/>
      <c r="W135" s="498"/>
    </row>
    <row r="136" spans="1:23" ht="30" customHeight="1" x14ac:dyDescent="0.3">
      <c r="A136" s="496" t="s">
        <v>19831</v>
      </c>
      <c r="B136" s="496" t="s">
        <v>16262</v>
      </c>
      <c r="C136" s="496" t="s">
        <v>15617</v>
      </c>
      <c r="D136" s="496" t="s">
        <v>14992</v>
      </c>
      <c r="E136" s="497" t="s">
        <v>1125</v>
      </c>
      <c r="F136" s="496" t="s">
        <v>19770</v>
      </c>
      <c r="G136" s="496" t="s">
        <v>19832</v>
      </c>
      <c r="H136" s="496">
        <v>46387</v>
      </c>
      <c r="I136" s="496">
        <v>46388</v>
      </c>
      <c r="J136" s="496">
        <f>I136-H136+1</f>
        <v>2</v>
      </c>
      <c r="K136" s="496"/>
      <c r="L136" s="496"/>
      <c r="M136" s="496"/>
      <c r="N136" s="496"/>
      <c r="O136" s="496"/>
      <c r="P136" s="496"/>
      <c r="Q136" s="496"/>
      <c r="R136" s="496"/>
      <c r="S136" s="496"/>
      <c r="T136" s="496"/>
      <c r="U136" s="496"/>
      <c r="V136" s="496"/>
      <c r="W136" s="498"/>
    </row>
    <row r="137" spans="1:23" ht="30" customHeight="1" x14ac:dyDescent="0.3">
      <c r="A137" s="496" t="s">
        <v>19833</v>
      </c>
      <c r="B137" s="496" t="s">
        <v>16266</v>
      </c>
      <c r="C137" s="496" t="s">
        <v>15652</v>
      </c>
      <c r="D137" s="496" t="s">
        <v>14991</v>
      </c>
      <c r="E137" s="497" t="s">
        <v>1128</v>
      </c>
      <c r="F137" s="496" t="s">
        <v>15441</v>
      </c>
      <c r="G137" s="496" t="s">
        <v>16131</v>
      </c>
      <c r="H137" s="496">
        <v>46373</v>
      </c>
      <c r="I137" s="496">
        <v>46382</v>
      </c>
      <c r="J137" s="496">
        <f>I137-H137+1</f>
        <v>10</v>
      </c>
      <c r="K137" s="496"/>
      <c r="L137" s="496"/>
      <c r="M137" s="496"/>
      <c r="N137" s="496"/>
      <c r="O137" s="496"/>
      <c r="P137" s="496"/>
      <c r="Q137" s="496"/>
      <c r="R137" s="496"/>
      <c r="S137" s="496"/>
      <c r="T137" s="496"/>
      <c r="U137" s="496"/>
      <c r="V137" s="496"/>
      <c r="W137" s="498"/>
    </row>
    <row r="138" spans="1:23" ht="30" customHeight="1" x14ac:dyDescent="0.3">
      <c r="A138" s="496" t="s">
        <v>19834</v>
      </c>
      <c r="B138" s="496" t="s">
        <v>16266</v>
      </c>
      <c r="C138" s="496" t="s">
        <v>15652</v>
      </c>
      <c r="D138" s="496" t="s">
        <v>14991</v>
      </c>
      <c r="E138" s="497" t="s">
        <v>1128</v>
      </c>
      <c r="F138" s="496" t="s">
        <v>1081</v>
      </c>
      <c r="G138" s="496" t="s">
        <v>16132</v>
      </c>
      <c r="H138" s="496">
        <v>46383</v>
      </c>
      <c r="I138" s="496">
        <v>46387</v>
      </c>
      <c r="J138" s="496">
        <f>I138-H138+1</f>
        <v>5</v>
      </c>
      <c r="K138" s="496"/>
      <c r="L138" s="496"/>
      <c r="M138" s="496"/>
      <c r="N138" s="496"/>
      <c r="O138" s="496"/>
      <c r="P138" s="496"/>
      <c r="Q138" s="496"/>
      <c r="R138" s="496"/>
      <c r="S138" s="496"/>
      <c r="T138" s="496"/>
      <c r="U138" s="496"/>
      <c r="V138" s="496"/>
      <c r="W138" s="498"/>
    </row>
    <row r="139" spans="1:23" ht="30" customHeight="1" x14ac:dyDescent="0.3">
      <c r="A139" s="496" t="s">
        <v>19835</v>
      </c>
      <c r="B139" s="496" t="s">
        <v>16266</v>
      </c>
      <c r="C139" s="496" t="s">
        <v>15652</v>
      </c>
      <c r="D139" s="496" t="s">
        <v>14991</v>
      </c>
      <c r="E139" s="497" t="s">
        <v>1128</v>
      </c>
      <c r="F139" s="496" t="s">
        <v>19770</v>
      </c>
      <c r="G139" s="496" t="s">
        <v>16133</v>
      </c>
      <c r="H139" s="496">
        <v>46388</v>
      </c>
      <c r="I139" s="496">
        <v>46391</v>
      </c>
      <c r="J139" s="496">
        <f>I139-H139+1</f>
        <v>4</v>
      </c>
      <c r="K139" s="496"/>
      <c r="L139" s="496"/>
      <c r="M139" s="496"/>
      <c r="N139" s="496"/>
      <c r="O139" s="496"/>
      <c r="P139" s="496"/>
      <c r="Q139" s="496"/>
      <c r="R139" s="496"/>
      <c r="S139" s="496"/>
      <c r="T139" s="496"/>
      <c r="U139" s="496"/>
      <c r="V139" s="496"/>
      <c r="W139" s="498"/>
    </row>
    <row r="140" spans="1:23" ht="30" customHeight="1" x14ac:dyDescent="0.3">
      <c r="A140" s="496" t="s">
        <v>19836</v>
      </c>
      <c r="B140" s="496" t="s">
        <v>16268</v>
      </c>
      <c r="C140" s="496" t="s">
        <v>15676</v>
      </c>
      <c r="D140" s="496" t="s">
        <v>1159</v>
      </c>
      <c r="E140" s="497" t="s">
        <v>1122</v>
      </c>
      <c r="F140" s="496" t="s">
        <v>15441</v>
      </c>
      <c r="G140" s="496" t="s">
        <v>16269</v>
      </c>
      <c r="H140" s="496">
        <v>46391</v>
      </c>
      <c r="I140" s="496">
        <v>46393</v>
      </c>
      <c r="J140" s="496">
        <f>I140-H140+1</f>
        <v>3</v>
      </c>
      <c r="K140" s="496"/>
      <c r="L140" s="496"/>
      <c r="M140" s="496"/>
      <c r="N140" s="496"/>
      <c r="O140" s="496"/>
      <c r="P140" s="496"/>
      <c r="Q140" s="496"/>
      <c r="R140" s="496"/>
      <c r="S140" s="496"/>
      <c r="T140" s="496"/>
      <c r="U140" s="496"/>
      <c r="V140" s="496"/>
      <c r="W140" s="498"/>
    </row>
    <row r="141" spans="1:23" ht="30" customHeight="1" x14ac:dyDescent="0.3">
      <c r="A141" s="496" t="s">
        <v>19837</v>
      </c>
      <c r="B141" s="496" t="s">
        <v>16268</v>
      </c>
      <c r="C141" s="496" t="s">
        <v>15676</v>
      </c>
      <c r="D141" s="496" t="s">
        <v>1159</v>
      </c>
      <c r="E141" s="497" t="s">
        <v>1122</v>
      </c>
      <c r="F141" s="496" t="s">
        <v>1081</v>
      </c>
      <c r="G141" s="496" t="s">
        <v>16244</v>
      </c>
      <c r="H141" s="496">
        <v>46394</v>
      </c>
      <c r="I141" s="496">
        <v>46395</v>
      </c>
      <c r="J141" s="496">
        <f>I141-H141+1</f>
        <v>2</v>
      </c>
      <c r="K141" s="496"/>
      <c r="L141" s="496"/>
      <c r="M141" s="496"/>
      <c r="N141" s="496"/>
      <c r="O141" s="496"/>
      <c r="P141" s="496"/>
      <c r="Q141" s="496"/>
      <c r="R141" s="496"/>
      <c r="S141" s="496"/>
      <c r="T141" s="496"/>
      <c r="U141" s="496"/>
      <c r="V141" s="496"/>
      <c r="W141" s="498"/>
    </row>
    <row r="142" spans="1:23" ht="30" customHeight="1" x14ac:dyDescent="0.3">
      <c r="A142" s="496" t="s">
        <v>19838</v>
      </c>
      <c r="B142" s="496" t="s">
        <v>16268</v>
      </c>
      <c r="C142" s="496" t="s">
        <v>15676</v>
      </c>
      <c r="D142" s="496" t="s">
        <v>1159</v>
      </c>
      <c r="E142" s="497" t="s">
        <v>1122</v>
      </c>
      <c r="F142" s="496" t="s">
        <v>19770</v>
      </c>
      <c r="G142" s="496" t="s">
        <v>19839</v>
      </c>
      <c r="H142" s="496">
        <v>46396</v>
      </c>
      <c r="I142" s="496">
        <v>46396</v>
      </c>
      <c r="J142" s="496">
        <f>I142-H142+1</f>
        <v>1</v>
      </c>
      <c r="K142" s="496"/>
      <c r="L142" s="496"/>
      <c r="M142" s="496"/>
      <c r="N142" s="496"/>
      <c r="O142" s="496"/>
      <c r="P142" s="496"/>
      <c r="Q142" s="496"/>
      <c r="R142" s="496"/>
      <c r="S142" s="496"/>
      <c r="T142" s="496"/>
      <c r="U142" s="496"/>
      <c r="V142" s="496"/>
      <c r="W142" s="498"/>
    </row>
    <row r="143" spans="1:23" ht="30" customHeight="1" x14ac:dyDescent="0.3">
      <c r="A143" s="496" t="s">
        <v>19840</v>
      </c>
      <c r="B143" s="496" t="s">
        <v>16271</v>
      </c>
      <c r="C143" s="496" t="s">
        <v>15717</v>
      </c>
      <c r="D143" s="496" t="s">
        <v>14990</v>
      </c>
      <c r="E143" s="497" t="s">
        <v>1125</v>
      </c>
      <c r="F143" s="496" t="s">
        <v>15441</v>
      </c>
      <c r="G143" s="496" t="s">
        <v>16198</v>
      </c>
      <c r="H143" s="496">
        <v>46391</v>
      </c>
      <c r="I143" s="496">
        <v>46395</v>
      </c>
      <c r="J143" s="496">
        <f>I143-H143+1</f>
        <v>5</v>
      </c>
      <c r="K143" s="496"/>
      <c r="L143" s="496"/>
      <c r="M143" s="496"/>
      <c r="N143" s="496"/>
      <c r="O143" s="496"/>
      <c r="P143" s="496"/>
      <c r="Q143" s="496"/>
      <c r="R143" s="496"/>
      <c r="S143" s="496"/>
      <c r="T143" s="496"/>
      <c r="U143" s="496"/>
      <c r="V143" s="496"/>
      <c r="W143" s="498"/>
    </row>
    <row r="144" spans="1:23" ht="30" customHeight="1" x14ac:dyDescent="0.3">
      <c r="A144" s="496" t="s">
        <v>19841</v>
      </c>
      <c r="B144" s="496" t="s">
        <v>16271</v>
      </c>
      <c r="C144" s="496" t="s">
        <v>15717</v>
      </c>
      <c r="D144" s="496" t="s">
        <v>14990</v>
      </c>
      <c r="E144" s="497" t="s">
        <v>1125</v>
      </c>
      <c r="F144" s="496" t="s">
        <v>1081</v>
      </c>
      <c r="G144" s="496" t="s">
        <v>16199</v>
      </c>
      <c r="H144" s="496">
        <v>46396</v>
      </c>
      <c r="I144" s="496">
        <v>46398</v>
      </c>
      <c r="J144" s="496">
        <f>I144-H144+1</f>
        <v>3</v>
      </c>
      <c r="K144" s="496"/>
      <c r="L144" s="496"/>
      <c r="M144" s="496"/>
      <c r="N144" s="496"/>
      <c r="O144" s="496"/>
      <c r="P144" s="496"/>
      <c r="Q144" s="496"/>
      <c r="R144" s="496"/>
      <c r="S144" s="496"/>
      <c r="T144" s="496"/>
      <c r="U144" s="496"/>
      <c r="V144" s="496"/>
      <c r="W144" s="498"/>
    </row>
    <row r="145" spans="1:23" ht="30" customHeight="1" x14ac:dyDescent="0.3">
      <c r="A145" s="496" t="s">
        <v>19842</v>
      </c>
      <c r="B145" s="496" t="s">
        <v>16271</v>
      </c>
      <c r="C145" s="496" t="s">
        <v>15717</v>
      </c>
      <c r="D145" s="496" t="s">
        <v>14990</v>
      </c>
      <c r="E145" s="497" t="s">
        <v>1125</v>
      </c>
      <c r="F145" s="496" t="s">
        <v>19770</v>
      </c>
      <c r="G145" s="496" t="s">
        <v>19776</v>
      </c>
      <c r="H145" s="496">
        <v>46399</v>
      </c>
      <c r="I145" s="496">
        <v>46400</v>
      </c>
      <c r="J145" s="496">
        <f>I145-H145+1</f>
        <v>2</v>
      </c>
      <c r="K145" s="496"/>
      <c r="L145" s="496"/>
      <c r="M145" s="496"/>
      <c r="N145" s="496"/>
      <c r="O145" s="496"/>
      <c r="P145" s="496"/>
      <c r="Q145" s="496"/>
      <c r="R145" s="496"/>
      <c r="S145" s="496"/>
      <c r="T145" s="496"/>
      <c r="U145" s="496"/>
      <c r="V145" s="496"/>
      <c r="W145" s="498"/>
    </row>
    <row r="146" spans="1:23" ht="30" customHeight="1" x14ac:dyDescent="0.3">
      <c r="A146" s="496" t="s">
        <v>19843</v>
      </c>
      <c r="B146" s="496" t="s">
        <v>16273</v>
      </c>
      <c r="C146" s="496" t="s">
        <v>15744</v>
      </c>
      <c r="D146" s="496" t="s">
        <v>152</v>
      </c>
      <c r="E146" s="497" t="s">
        <v>1122</v>
      </c>
      <c r="F146" s="496" t="s">
        <v>15441</v>
      </c>
      <c r="G146" s="496" t="s">
        <v>16251</v>
      </c>
      <c r="H146" s="496">
        <v>46399</v>
      </c>
      <c r="I146" s="496">
        <v>46401</v>
      </c>
      <c r="J146" s="496">
        <f>I146-H146+1</f>
        <v>3</v>
      </c>
      <c r="K146" s="496"/>
      <c r="L146" s="496"/>
      <c r="M146" s="496"/>
      <c r="N146" s="496"/>
      <c r="O146" s="496"/>
      <c r="P146" s="496"/>
      <c r="Q146" s="496"/>
      <c r="R146" s="496"/>
      <c r="S146" s="496"/>
      <c r="T146" s="496"/>
      <c r="U146" s="496"/>
      <c r="V146" s="496"/>
      <c r="W146" s="498"/>
    </row>
    <row r="147" spans="1:23" ht="30" customHeight="1" x14ac:dyDescent="0.3">
      <c r="A147" s="496" t="s">
        <v>19844</v>
      </c>
      <c r="B147" s="496" t="s">
        <v>16273</v>
      </c>
      <c r="C147" s="496" t="s">
        <v>15744</v>
      </c>
      <c r="D147" s="496" t="s">
        <v>152</v>
      </c>
      <c r="E147" s="497" t="s">
        <v>1122</v>
      </c>
      <c r="F147" s="496" t="s">
        <v>1081</v>
      </c>
      <c r="G147" s="496" t="s">
        <v>16274</v>
      </c>
      <c r="H147" s="496">
        <v>46402</v>
      </c>
      <c r="I147" s="496">
        <v>46403</v>
      </c>
      <c r="J147" s="496">
        <f>I147-H147+1</f>
        <v>2</v>
      </c>
      <c r="K147" s="496"/>
      <c r="L147" s="496"/>
      <c r="M147" s="496"/>
      <c r="N147" s="496"/>
      <c r="O147" s="496"/>
      <c r="P147" s="496"/>
      <c r="Q147" s="496"/>
      <c r="R147" s="496"/>
      <c r="S147" s="496"/>
      <c r="T147" s="496"/>
      <c r="U147" s="496"/>
      <c r="V147" s="496"/>
      <c r="W147" s="498"/>
    </row>
    <row r="148" spans="1:23" ht="30" customHeight="1" x14ac:dyDescent="0.3">
      <c r="A148" s="496" t="s">
        <v>19845</v>
      </c>
      <c r="B148" s="496" t="s">
        <v>16273</v>
      </c>
      <c r="C148" s="496" t="s">
        <v>15744</v>
      </c>
      <c r="D148" s="496" t="s">
        <v>152</v>
      </c>
      <c r="E148" s="497" t="s">
        <v>1122</v>
      </c>
      <c r="F148" s="496" t="s">
        <v>19770</v>
      </c>
      <c r="G148" s="496" t="s">
        <v>19819</v>
      </c>
      <c r="H148" s="496">
        <v>46404</v>
      </c>
      <c r="I148" s="496">
        <v>46404</v>
      </c>
      <c r="J148" s="496">
        <f>I148-H148+1</f>
        <v>1</v>
      </c>
      <c r="K148" s="496"/>
      <c r="L148" s="496"/>
      <c r="M148" s="496"/>
      <c r="N148" s="496"/>
      <c r="O148" s="496"/>
      <c r="P148" s="496"/>
      <c r="Q148" s="496"/>
      <c r="R148" s="496"/>
      <c r="S148" s="496"/>
      <c r="T148" s="496"/>
      <c r="U148" s="496"/>
      <c r="V148" s="496"/>
      <c r="W148" s="498"/>
    </row>
    <row r="149" spans="1:23" ht="30" customHeight="1" x14ac:dyDescent="0.3">
      <c r="A149" s="496" t="s">
        <v>19846</v>
      </c>
      <c r="B149" s="496" t="s">
        <v>16277</v>
      </c>
      <c r="C149" s="496" t="s">
        <v>15449</v>
      </c>
      <c r="D149" s="496" t="s">
        <v>1158</v>
      </c>
      <c r="E149" s="497" t="s">
        <v>1122</v>
      </c>
      <c r="F149" s="496" t="s">
        <v>15441</v>
      </c>
      <c r="G149" s="496" t="s">
        <v>16278</v>
      </c>
      <c r="H149" s="496">
        <v>46403</v>
      </c>
      <c r="I149" s="496">
        <v>46405</v>
      </c>
      <c r="J149" s="496">
        <f>I149-H149+1</f>
        <v>3</v>
      </c>
      <c r="K149" s="496"/>
      <c r="L149" s="496"/>
      <c r="M149" s="496"/>
      <c r="N149" s="496"/>
      <c r="O149" s="496"/>
      <c r="P149" s="496"/>
      <c r="Q149" s="496"/>
      <c r="R149" s="496"/>
      <c r="S149" s="496"/>
      <c r="T149" s="496"/>
      <c r="U149" s="496"/>
      <c r="V149" s="496"/>
      <c r="W149" s="498"/>
    </row>
    <row r="150" spans="1:23" ht="30" customHeight="1" x14ac:dyDescent="0.3">
      <c r="A150" s="496" t="s">
        <v>19847</v>
      </c>
      <c r="B150" s="496" t="s">
        <v>16277</v>
      </c>
      <c r="C150" s="496" t="s">
        <v>15449</v>
      </c>
      <c r="D150" s="496" t="s">
        <v>1158</v>
      </c>
      <c r="E150" s="497" t="s">
        <v>1122</v>
      </c>
      <c r="F150" s="496" t="s">
        <v>1081</v>
      </c>
      <c r="G150" s="496" t="s">
        <v>16207</v>
      </c>
      <c r="H150" s="496">
        <v>46406</v>
      </c>
      <c r="I150" s="496">
        <v>46407</v>
      </c>
      <c r="J150" s="496">
        <f>I150-H150+1</f>
        <v>2</v>
      </c>
      <c r="K150" s="496"/>
      <c r="L150" s="496"/>
      <c r="M150" s="496"/>
      <c r="N150" s="496"/>
      <c r="O150" s="496"/>
      <c r="P150" s="496"/>
      <c r="Q150" s="496"/>
      <c r="R150" s="496"/>
      <c r="S150" s="496"/>
      <c r="T150" s="496"/>
      <c r="U150" s="496"/>
      <c r="V150" s="496"/>
      <c r="W150" s="498"/>
    </row>
    <row r="151" spans="1:23" ht="30" customHeight="1" x14ac:dyDescent="0.3">
      <c r="A151" s="496" t="s">
        <v>19848</v>
      </c>
      <c r="B151" s="496" t="s">
        <v>16277</v>
      </c>
      <c r="C151" s="496" t="s">
        <v>15449</v>
      </c>
      <c r="D151" s="496" t="s">
        <v>1158</v>
      </c>
      <c r="E151" s="497" t="s">
        <v>1122</v>
      </c>
      <c r="F151" s="496" t="s">
        <v>19770</v>
      </c>
      <c r="G151" s="496" t="s">
        <v>19849</v>
      </c>
      <c r="H151" s="496">
        <v>46408</v>
      </c>
      <c r="I151" s="496">
        <v>46408</v>
      </c>
      <c r="J151" s="496">
        <f>I151-H151+1</f>
        <v>1</v>
      </c>
      <c r="K151" s="496"/>
      <c r="L151" s="496"/>
      <c r="M151" s="496"/>
      <c r="N151" s="496"/>
      <c r="O151" s="496"/>
      <c r="P151" s="496"/>
      <c r="Q151" s="496"/>
      <c r="R151" s="496"/>
      <c r="S151" s="496"/>
      <c r="T151" s="496"/>
      <c r="U151" s="496"/>
      <c r="V151" s="496"/>
      <c r="W151" s="498"/>
    </row>
    <row r="152" spans="1:23" ht="30" customHeight="1" x14ac:dyDescent="0.3">
      <c r="A152" s="496" t="s">
        <v>19850</v>
      </c>
      <c r="B152" s="496" t="s">
        <v>16280</v>
      </c>
      <c r="C152" s="496" t="s">
        <v>15560</v>
      </c>
      <c r="D152" s="496" t="s">
        <v>14994</v>
      </c>
      <c r="E152" s="497" t="s">
        <v>1122</v>
      </c>
      <c r="F152" s="496" t="s">
        <v>15441</v>
      </c>
      <c r="G152" s="496" t="s">
        <v>16119</v>
      </c>
      <c r="H152" s="496">
        <v>46410</v>
      </c>
      <c r="I152" s="496">
        <v>46412</v>
      </c>
      <c r="J152" s="496">
        <f>I152-H152+1</f>
        <v>3</v>
      </c>
      <c r="K152" s="496"/>
      <c r="L152" s="496"/>
      <c r="M152" s="496"/>
      <c r="N152" s="496"/>
      <c r="O152" s="496"/>
      <c r="P152" s="496"/>
      <c r="Q152" s="496"/>
      <c r="R152" s="496"/>
      <c r="S152" s="496"/>
      <c r="T152" s="496"/>
      <c r="U152" s="496"/>
      <c r="V152" s="496"/>
      <c r="W152" s="498"/>
    </row>
    <row r="153" spans="1:23" ht="30" customHeight="1" x14ac:dyDescent="0.3">
      <c r="A153" s="496" t="s">
        <v>19851</v>
      </c>
      <c r="B153" s="496" t="s">
        <v>16280</v>
      </c>
      <c r="C153" s="496" t="s">
        <v>15560</v>
      </c>
      <c r="D153" s="496" t="s">
        <v>14994</v>
      </c>
      <c r="E153" s="497" t="s">
        <v>1122</v>
      </c>
      <c r="F153" s="496" t="s">
        <v>1081</v>
      </c>
      <c r="G153" s="496" t="s">
        <v>16179</v>
      </c>
      <c r="H153" s="496">
        <v>46413</v>
      </c>
      <c r="I153" s="496">
        <v>46414</v>
      </c>
      <c r="J153" s="496">
        <f>I153-H153+1</f>
        <v>2</v>
      </c>
      <c r="K153" s="496"/>
      <c r="L153" s="496"/>
      <c r="M153" s="496"/>
      <c r="N153" s="496"/>
      <c r="O153" s="496"/>
      <c r="P153" s="496"/>
      <c r="Q153" s="496"/>
      <c r="R153" s="496"/>
      <c r="S153" s="496"/>
      <c r="T153" s="496"/>
      <c r="U153" s="496"/>
      <c r="V153" s="496"/>
      <c r="W153" s="498"/>
    </row>
    <row r="154" spans="1:23" ht="30" customHeight="1" x14ac:dyDescent="0.3">
      <c r="A154" s="496" t="s">
        <v>19852</v>
      </c>
      <c r="B154" s="496" t="s">
        <v>16280</v>
      </c>
      <c r="C154" s="496" t="s">
        <v>15560</v>
      </c>
      <c r="D154" s="496" t="s">
        <v>14994</v>
      </c>
      <c r="E154" s="497" t="s">
        <v>1122</v>
      </c>
      <c r="F154" s="496" t="s">
        <v>19770</v>
      </c>
      <c r="G154" s="496" t="s">
        <v>16121</v>
      </c>
      <c r="H154" s="496">
        <v>46415</v>
      </c>
      <c r="I154" s="496">
        <v>46415</v>
      </c>
      <c r="J154" s="496">
        <f>I154-H154+1</f>
        <v>1</v>
      </c>
      <c r="K154" s="496"/>
      <c r="L154" s="496"/>
      <c r="M154" s="496"/>
      <c r="N154" s="496"/>
      <c r="O154" s="496"/>
      <c r="P154" s="496"/>
      <c r="Q154" s="496"/>
      <c r="R154" s="496"/>
      <c r="S154" s="496"/>
      <c r="T154" s="496"/>
      <c r="U154" s="496"/>
      <c r="V154" s="496"/>
      <c r="W154" s="498"/>
    </row>
    <row r="155" spans="1:23" ht="30" customHeight="1" x14ac:dyDescent="0.3">
      <c r="A155" s="496" t="s">
        <v>19853</v>
      </c>
      <c r="B155" s="496" t="s">
        <v>16282</v>
      </c>
      <c r="C155" s="496" t="s">
        <v>15596</v>
      </c>
      <c r="D155" s="496" t="s">
        <v>14993</v>
      </c>
      <c r="E155" s="497" t="s">
        <v>1125</v>
      </c>
      <c r="F155" s="496" t="s">
        <v>15441</v>
      </c>
      <c r="G155" s="496" t="s">
        <v>16283</v>
      </c>
      <c r="H155" s="496">
        <v>46410</v>
      </c>
      <c r="I155" s="496">
        <v>46414</v>
      </c>
      <c r="J155" s="496">
        <f>I155-H155+1</f>
        <v>5</v>
      </c>
      <c r="K155" s="496"/>
      <c r="L155" s="496"/>
      <c r="M155" s="496"/>
      <c r="N155" s="496"/>
      <c r="O155" s="496"/>
      <c r="P155" s="496"/>
      <c r="Q155" s="496"/>
      <c r="R155" s="496"/>
      <c r="S155" s="496"/>
      <c r="T155" s="496"/>
      <c r="U155" s="496"/>
      <c r="V155" s="496"/>
      <c r="W155" s="498"/>
    </row>
    <row r="156" spans="1:23" ht="30" customHeight="1" x14ac:dyDescent="0.3">
      <c r="A156" s="496" t="s">
        <v>19854</v>
      </c>
      <c r="B156" s="496" t="s">
        <v>16282</v>
      </c>
      <c r="C156" s="496" t="s">
        <v>15596</v>
      </c>
      <c r="D156" s="496" t="s">
        <v>14993</v>
      </c>
      <c r="E156" s="497" t="s">
        <v>1125</v>
      </c>
      <c r="F156" s="496" t="s">
        <v>1081</v>
      </c>
      <c r="G156" s="496" t="s">
        <v>16184</v>
      </c>
      <c r="H156" s="496">
        <v>46415</v>
      </c>
      <c r="I156" s="496">
        <v>46417</v>
      </c>
      <c r="J156" s="496">
        <f>I156-H156+1</f>
        <v>3</v>
      </c>
      <c r="K156" s="496"/>
      <c r="L156" s="496"/>
      <c r="M156" s="496"/>
      <c r="N156" s="496"/>
      <c r="O156" s="496"/>
      <c r="P156" s="496"/>
      <c r="Q156" s="496"/>
      <c r="R156" s="496"/>
      <c r="S156" s="496"/>
      <c r="T156" s="496"/>
      <c r="U156" s="496"/>
      <c r="V156" s="496"/>
      <c r="W156" s="498"/>
    </row>
    <row r="157" spans="1:23" ht="30" customHeight="1" x14ac:dyDescent="0.3">
      <c r="A157" s="496" t="s">
        <v>19855</v>
      </c>
      <c r="B157" s="496" t="s">
        <v>16282</v>
      </c>
      <c r="C157" s="496" t="s">
        <v>15596</v>
      </c>
      <c r="D157" s="496" t="s">
        <v>14993</v>
      </c>
      <c r="E157" s="497" t="s">
        <v>1125</v>
      </c>
      <c r="F157" s="496" t="s">
        <v>19770</v>
      </c>
      <c r="G157" s="496" t="s">
        <v>19856</v>
      </c>
      <c r="H157" s="496">
        <v>46418</v>
      </c>
      <c r="I157" s="496">
        <v>46419</v>
      </c>
      <c r="J157" s="496">
        <f>I157-H157+1</f>
        <v>2</v>
      </c>
      <c r="K157" s="496"/>
      <c r="L157" s="496"/>
      <c r="M157" s="496"/>
      <c r="N157" s="496"/>
      <c r="O157" s="496"/>
      <c r="P157" s="496"/>
      <c r="Q157" s="496"/>
      <c r="R157" s="496"/>
      <c r="S157" s="496"/>
      <c r="T157" s="496"/>
      <c r="U157" s="496"/>
      <c r="V157" s="496"/>
      <c r="W157" s="498"/>
    </row>
    <row r="158" spans="1:23" ht="30" customHeight="1" x14ac:dyDescent="0.3">
      <c r="A158" s="496" t="s">
        <v>19857</v>
      </c>
      <c r="B158" s="496" t="s">
        <v>16286</v>
      </c>
      <c r="C158" s="496" t="s">
        <v>15614</v>
      </c>
      <c r="D158" s="496" t="s">
        <v>14992</v>
      </c>
      <c r="E158" s="497" t="s">
        <v>1122</v>
      </c>
      <c r="F158" s="496" t="s">
        <v>15441</v>
      </c>
      <c r="G158" s="496" t="s">
        <v>16263</v>
      </c>
      <c r="H158" s="496">
        <v>46418</v>
      </c>
      <c r="I158" s="496">
        <v>46420</v>
      </c>
      <c r="J158" s="496">
        <f>I158-H158+1</f>
        <v>3</v>
      </c>
      <c r="K158" s="496"/>
      <c r="L158" s="496"/>
      <c r="M158" s="496"/>
      <c r="N158" s="496"/>
      <c r="O158" s="496"/>
      <c r="P158" s="496"/>
      <c r="Q158" s="496"/>
      <c r="R158" s="496"/>
      <c r="S158" s="496"/>
      <c r="T158" s="496"/>
      <c r="U158" s="496"/>
      <c r="V158" s="496"/>
      <c r="W158" s="498"/>
    </row>
    <row r="159" spans="1:23" ht="30" customHeight="1" x14ac:dyDescent="0.3">
      <c r="A159" s="496" t="s">
        <v>19858</v>
      </c>
      <c r="B159" s="496" t="s">
        <v>16286</v>
      </c>
      <c r="C159" s="496" t="s">
        <v>15614</v>
      </c>
      <c r="D159" s="496" t="s">
        <v>14992</v>
      </c>
      <c r="E159" s="497" t="s">
        <v>1122</v>
      </c>
      <c r="F159" s="496" t="s">
        <v>1081</v>
      </c>
      <c r="G159" s="496" t="s">
        <v>16128</v>
      </c>
      <c r="H159" s="496">
        <v>46421</v>
      </c>
      <c r="I159" s="496">
        <v>46422</v>
      </c>
      <c r="J159" s="496">
        <f>I159-H159+1</f>
        <v>2</v>
      </c>
      <c r="K159" s="496"/>
      <c r="L159" s="496"/>
      <c r="M159" s="496"/>
      <c r="N159" s="496"/>
      <c r="O159" s="496"/>
      <c r="P159" s="496"/>
      <c r="Q159" s="496"/>
      <c r="R159" s="496"/>
      <c r="S159" s="496"/>
      <c r="T159" s="496"/>
      <c r="U159" s="496"/>
      <c r="V159" s="496"/>
      <c r="W159" s="498"/>
    </row>
    <row r="160" spans="1:23" ht="30" customHeight="1" x14ac:dyDescent="0.3">
      <c r="A160" s="496" t="s">
        <v>19859</v>
      </c>
      <c r="B160" s="496" t="s">
        <v>16286</v>
      </c>
      <c r="C160" s="496" t="s">
        <v>15614</v>
      </c>
      <c r="D160" s="496" t="s">
        <v>14992</v>
      </c>
      <c r="E160" s="497" t="s">
        <v>1122</v>
      </c>
      <c r="F160" s="496" t="s">
        <v>19770</v>
      </c>
      <c r="G160" s="496" t="s">
        <v>19832</v>
      </c>
      <c r="H160" s="496">
        <v>46423</v>
      </c>
      <c r="I160" s="496">
        <v>46423</v>
      </c>
      <c r="J160" s="496">
        <f>I160-H160+1</f>
        <v>1</v>
      </c>
      <c r="K160" s="496"/>
      <c r="L160" s="496"/>
      <c r="M160" s="496"/>
      <c r="N160" s="496"/>
      <c r="O160" s="496"/>
      <c r="P160" s="496"/>
      <c r="Q160" s="496"/>
      <c r="R160" s="496"/>
      <c r="S160" s="496"/>
      <c r="T160" s="496"/>
      <c r="U160" s="496"/>
      <c r="V160" s="496"/>
      <c r="W160" s="498"/>
    </row>
    <row r="161" spans="1:23" ht="30" customHeight="1" x14ac:dyDescent="0.3">
      <c r="A161" s="496" t="s">
        <v>19860</v>
      </c>
      <c r="B161" s="496" t="s">
        <v>16288</v>
      </c>
      <c r="C161" s="496" t="s">
        <v>15652</v>
      </c>
      <c r="D161" s="496" t="s">
        <v>14991</v>
      </c>
      <c r="E161" s="497" t="s">
        <v>1128</v>
      </c>
      <c r="F161" s="496" t="s">
        <v>15441</v>
      </c>
      <c r="G161" s="496" t="s">
        <v>16161</v>
      </c>
      <c r="H161" s="496">
        <v>46408</v>
      </c>
      <c r="I161" s="496">
        <v>46417</v>
      </c>
      <c r="J161" s="496">
        <f>I161-H161+1</f>
        <v>10</v>
      </c>
      <c r="K161" s="496"/>
      <c r="L161" s="496"/>
      <c r="M161" s="496"/>
      <c r="N161" s="496"/>
      <c r="O161" s="496"/>
      <c r="P161" s="496"/>
      <c r="Q161" s="496"/>
      <c r="R161" s="496"/>
      <c r="S161" s="496"/>
      <c r="T161" s="496"/>
      <c r="U161" s="496"/>
      <c r="V161" s="496"/>
      <c r="W161" s="498"/>
    </row>
    <row r="162" spans="1:23" ht="30" customHeight="1" x14ac:dyDescent="0.3">
      <c r="A162" s="496" t="s">
        <v>19861</v>
      </c>
      <c r="B162" s="496" t="s">
        <v>16288</v>
      </c>
      <c r="C162" s="496" t="s">
        <v>15652</v>
      </c>
      <c r="D162" s="496" t="s">
        <v>14991</v>
      </c>
      <c r="E162" s="497" t="s">
        <v>1128</v>
      </c>
      <c r="F162" s="496" t="s">
        <v>1081</v>
      </c>
      <c r="G162" s="496" t="s">
        <v>16240</v>
      </c>
      <c r="H162" s="496">
        <v>46418</v>
      </c>
      <c r="I162" s="496">
        <v>46422</v>
      </c>
      <c r="J162" s="496">
        <f>I162-H162+1</f>
        <v>5</v>
      </c>
      <c r="K162" s="496"/>
      <c r="L162" s="496"/>
      <c r="M162" s="496"/>
      <c r="N162" s="496"/>
      <c r="O162" s="496"/>
      <c r="P162" s="496"/>
      <c r="Q162" s="496"/>
      <c r="R162" s="496"/>
      <c r="S162" s="496"/>
      <c r="T162" s="496"/>
      <c r="U162" s="496"/>
      <c r="V162" s="496"/>
      <c r="W162" s="498"/>
    </row>
    <row r="163" spans="1:23" ht="30" customHeight="1" x14ac:dyDescent="0.3">
      <c r="A163" s="496" t="s">
        <v>19862</v>
      </c>
      <c r="B163" s="496" t="s">
        <v>16288</v>
      </c>
      <c r="C163" s="496" t="s">
        <v>15652</v>
      </c>
      <c r="D163" s="496" t="s">
        <v>14991</v>
      </c>
      <c r="E163" s="497" t="s">
        <v>1128</v>
      </c>
      <c r="F163" s="496" t="s">
        <v>19770</v>
      </c>
      <c r="G163" s="496" t="s">
        <v>19774</v>
      </c>
      <c r="H163" s="496">
        <v>46423</v>
      </c>
      <c r="I163" s="496">
        <v>46426</v>
      </c>
      <c r="J163" s="496">
        <f>I163-H163+1</f>
        <v>4</v>
      </c>
      <c r="K163" s="496"/>
      <c r="L163" s="496"/>
      <c r="M163" s="496"/>
      <c r="N163" s="496"/>
      <c r="O163" s="496"/>
      <c r="P163" s="496"/>
      <c r="Q163" s="496"/>
      <c r="R163" s="496"/>
      <c r="S163" s="496"/>
      <c r="T163" s="496"/>
      <c r="U163" s="496"/>
      <c r="V163" s="496"/>
      <c r="W163" s="498"/>
    </row>
    <row r="164" spans="1:23" ht="30" customHeight="1" x14ac:dyDescent="0.3">
      <c r="A164" s="496" t="s">
        <v>19863</v>
      </c>
      <c r="B164" s="496" t="s">
        <v>16290</v>
      </c>
      <c r="C164" s="496" t="s">
        <v>15673</v>
      </c>
      <c r="D164" s="496" t="s">
        <v>1159</v>
      </c>
      <c r="E164" s="497" t="s">
        <v>1128</v>
      </c>
      <c r="F164" s="496" t="s">
        <v>15441</v>
      </c>
      <c r="G164" s="496" t="s">
        <v>16136</v>
      </c>
      <c r="H164" s="496">
        <v>46412</v>
      </c>
      <c r="I164" s="496">
        <v>46421</v>
      </c>
      <c r="J164" s="496">
        <f>I164-H164+1</f>
        <v>10</v>
      </c>
      <c r="K164" s="496"/>
      <c r="L164" s="496"/>
      <c r="M164" s="496"/>
      <c r="N164" s="496"/>
      <c r="O164" s="496"/>
      <c r="P164" s="496"/>
      <c r="Q164" s="496"/>
      <c r="R164" s="496"/>
      <c r="S164" s="496"/>
      <c r="T164" s="496"/>
      <c r="U164" s="496"/>
      <c r="V164" s="496"/>
      <c r="W164" s="498"/>
    </row>
    <row r="165" spans="1:23" ht="30" customHeight="1" x14ac:dyDescent="0.3">
      <c r="A165" s="496" t="s">
        <v>19864</v>
      </c>
      <c r="B165" s="496" t="s">
        <v>16290</v>
      </c>
      <c r="C165" s="496" t="s">
        <v>15673</v>
      </c>
      <c r="D165" s="496" t="s">
        <v>1159</v>
      </c>
      <c r="E165" s="497" t="s">
        <v>1128</v>
      </c>
      <c r="F165" s="496" t="s">
        <v>1081</v>
      </c>
      <c r="G165" s="496" t="s">
        <v>16137</v>
      </c>
      <c r="H165" s="496">
        <v>46422</v>
      </c>
      <c r="I165" s="496">
        <v>46426</v>
      </c>
      <c r="J165" s="496">
        <f>I165-H165+1</f>
        <v>5</v>
      </c>
      <c r="K165" s="496"/>
      <c r="L165" s="496"/>
      <c r="M165" s="496"/>
      <c r="N165" s="496"/>
      <c r="O165" s="496"/>
      <c r="P165" s="496"/>
      <c r="Q165" s="496"/>
      <c r="R165" s="496"/>
      <c r="S165" s="496"/>
      <c r="T165" s="496"/>
      <c r="U165" s="496"/>
      <c r="V165" s="496"/>
      <c r="W165" s="498"/>
    </row>
    <row r="166" spans="1:23" ht="30" customHeight="1" x14ac:dyDescent="0.3">
      <c r="A166" s="496" t="s">
        <v>19865</v>
      </c>
      <c r="B166" s="496" t="s">
        <v>16290</v>
      </c>
      <c r="C166" s="496" t="s">
        <v>15673</v>
      </c>
      <c r="D166" s="496" t="s">
        <v>1159</v>
      </c>
      <c r="E166" s="497" t="s">
        <v>1128</v>
      </c>
      <c r="F166" s="496" t="s">
        <v>19770</v>
      </c>
      <c r="G166" s="496" t="s">
        <v>16138</v>
      </c>
      <c r="H166" s="496">
        <v>46427</v>
      </c>
      <c r="I166" s="496">
        <v>46430</v>
      </c>
      <c r="J166" s="496">
        <f>I166-H166+1</f>
        <v>4</v>
      </c>
      <c r="K166" s="496"/>
      <c r="L166" s="496"/>
      <c r="M166" s="496"/>
      <c r="N166" s="496"/>
      <c r="O166" s="496"/>
      <c r="P166" s="496"/>
      <c r="Q166" s="496"/>
      <c r="R166" s="496"/>
      <c r="S166" s="496"/>
      <c r="T166" s="496"/>
      <c r="U166" s="496"/>
      <c r="V166" s="496"/>
      <c r="W166" s="498"/>
    </row>
    <row r="167" spans="1:23" ht="30" customHeight="1" x14ac:dyDescent="0.3">
      <c r="A167" s="496" t="s">
        <v>19866</v>
      </c>
      <c r="B167" s="496" t="s">
        <v>16293</v>
      </c>
      <c r="C167" s="496" t="s">
        <v>15717</v>
      </c>
      <c r="D167" s="496" t="s">
        <v>14990</v>
      </c>
      <c r="E167" s="497" t="s">
        <v>1128</v>
      </c>
      <c r="F167" s="496" t="s">
        <v>15441</v>
      </c>
      <c r="G167" s="496" t="s">
        <v>16247</v>
      </c>
      <c r="H167" s="496">
        <v>46416</v>
      </c>
      <c r="I167" s="496">
        <v>46425</v>
      </c>
      <c r="J167" s="496">
        <f>I167-H167+1</f>
        <v>10</v>
      </c>
      <c r="K167" s="496"/>
      <c r="L167" s="496"/>
      <c r="M167" s="496"/>
      <c r="N167" s="496"/>
      <c r="O167" s="496"/>
      <c r="P167" s="496"/>
      <c r="Q167" s="496"/>
      <c r="R167" s="496"/>
      <c r="S167" s="496"/>
      <c r="T167" s="496"/>
      <c r="U167" s="496"/>
      <c r="V167" s="496"/>
      <c r="W167" s="498"/>
    </row>
    <row r="168" spans="1:23" ht="30" customHeight="1" x14ac:dyDescent="0.3">
      <c r="A168" s="496" t="s">
        <v>19867</v>
      </c>
      <c r="B168" s="496" t="s">
        <v>16293</v>
      </c>
      <c r="C168" s="496" t="s">
        <v>15717</v>
      </c>
      <c r="D168" s="496" t="s">
        <v>14990</v>
      </c>
      <c r="E168" s="497" t="s">
        <v>1128</v>
      </c>
      <c r="F168" s="496" t="s">
        <v>1081</v>
      </c>
      <c r="G168" s="496" t="s">
        <v>16248</v>
      </c>
      <c r="H168" s="496">
        <v>46426</v>
      </c>
      <c r="I168" s="496">
        <v>46430</v>
      </c>
      <c r="J168" s="496">
        <f>I168-H168+1</f>
        <v>5</v>
      </c>
      <c r="K168" s="496"/>
      <c r="L168" s="496"/>
      <c r="M168" s="496"/>
      <c r="N168" s="496"/>
      <c r="O168" s="496"/>
      <c r="P168" s="496"/>
      <c r="Q168" s="496"/>
      <c r="R168" s="496"/>
      <c r="S168" s="496"/>
      <c r="T168" s="496"/>
      <c r="U168" s="496"/>
      <c r="V168" s="496"/>
      <c r="W168" s="498"/>
    </row>
    <row r="169" spans="1:23" ht="30" customHeight="1" x14ac:dyDescent="0.3">
      <c r="A169" s="496" t="s">
        <v>19868</v>
      </c>
      <c r="B169" s="496" t="s">
        <v>16293</v>
      </c>
      <c r="C169" s="496" t="s">
        <v>15717</v>
      </c>
      <c r="D169" s="496" t="s">
        <v>14990</v>
      </c>
      <c r="E169" s="497" t="s">
        <v>1128</v>
      </c>
      <c r="F169" s="496" t="s">
        <v>19770</v>
      </c>
      <c r="G169" s="496" t="s">
        <v>19815</v>
      </c>
      <c r="H169" s="496">
        <v>46431</v>
      </c>
      <c r="I169" s="496">
        <v>46434</v>
      </c>
      <c r="J169" s="496">
        <f>I169-H169+1</f>
        <v>4</v>
      </c>
      <c r="K169" s="496"/>
      <c r="L169" s="496"/>
      <c r="M169" s="496"/>
      <c r="N169" s="496"/>
      <c r="O169" s="496"/>
      <c r="P169" s="496"/>
      <c r="Q169" s="496"/>
      <c r="R169" s="496"/>
      <c r="S169" s="496"/>
      <c r="T169" s="496"/>
      <c r="U169" s="496"/>
      <c r="V169" s="496"/>
      <c r="W169" s="498"/>
    </row>
    <row r="170" spans="1:23" ht="30" customHeight="1" x14ac:dyDescent="0.3">
      <c r="A170" s="496" t="s">
        <v>19869</v>
      </c>
      <c r="B170" s="496" t="s">
        <v>16296</v>
      </c>
      <c r="C170" s="496" t="s">
        <v>15744</v>
      </c>
      <c r="D170" s="496" t="s">
        <v>152</v>
      </c>
      <c r="E170" s="497" t="s">
        <v>1125</v>
      </c>
      <c r="F170" s="496" t="s">
        <v>15441</v>
      </c>
      <c r="G170" s="496" t="s">
        <v>16144</v>
      </c>
      <c r="H170" s="496">
        <v>46430</v>
      </c>
      <c r="I170" s="496">
        <v>46434</v>
      </c>
      <c r="J170" s="496">
        <f>I170-H170+1</f>
        <v>5</v>
      </c>
      <c r="K170" s="496"/>
      <c r="L170" s="496"/>
      <c r="M170" s="496"/>
      <c r="N170" s="496"/>
      <c r="O170" s="496"/>
      <c r="P170" s="496"/>
      <c r="Q170" s="496"/>
      <c r="R170" s="496"/>
      <c r="S170" s="496"/>
      <c r="T170" s="496"/>
      <c r="U170" s="496"/>
      <c r="V170" s="496"/>
      <c r="W170" s="498"/>
    </row>
    <row r="171" spans="1:23" ht="30" customHeight="1" x14ac:dyDescent="0.3">
      <c r="A171" s="496" t="s">
        <v>19870</v>
      </c>
      <c r="B171" s="496" t="s">
        <v>16296</v>
      </c>
      <c r="C171" s="496" t="s">
        <v>15744</v>
      </c>
      <c r="D171" s="496" t="s">
        <v>152</v>
      </c>
      <c r="E171" s="497" t="s">
        <v>1125</v>
      </c>
      <c r="F171" s="496" t="s">
        <v>1081</v>
      </c>
      <c r="G171" s="496" t="s">
        <v>16145</v>
      </c>
      <c r="H171" s="496">
        <v>46435</v>
      </c>
      <c r="I171" s="496">
        <v>46437</v>
      </c>
      <c r="J171" s="496">
        <f>I171-H171+1</f>
        <v>3</v>
      </c>
      <c r="K171" s="496"/>
      <c r="L171" s="496"/>
      <c r="M171" s="496"/>
      <c r="N171" s="496"/>
      <c r="O171" s="496"/>
      <c r="P171" s="496"/>
      <c r="Q171" s="496"/>
      <c r="R171" s="496"/>
      <c r="S171" s="496"/>
      <c r="T171" s="496"/>
      <c r="U171" s="496"/>
      <c r="V171" s="496"/>
      <c r="W171" s="498"/>
    </row>
    <row r="172" spans="1:23" ht="30" customHeight="1" x14ac:dyDescent="0.3">
      <c r="A172" s="496" t="s">
        <v>19871</v>
      </c>
      <c r="B172" s="496" t="s">
        <v>16296</v>
      </c>
      <c r="C172" s="496" t="s">
        <v>15744</v>
      </c>
      <c r="D172" s="496" t="s">
        <v>152</v>
      </c>
      <c r="E172" s="497" t="s">
        <v>1125</v>
      </c>
      <c r="F172" s="496" t="s">
        <v>19770</v>
      </c>
      <c r="G172" s="496" t="s">
        <v>16146</v>
      </c>
      <c r="H172" s="496">
        <v>46438</v>
      </c>
      <c r="I172" s="496">
        <v>46439</v>
      </c>
      <c r="J172" s="496">
        <f>I172-H172+1</f>
        <v>2</v>
      </c>
      <c r="K172" s="496"/>
      <c r="L172" s="496"/>
      <c r="M172" s="496"/>
      <c r="N172" s="496"/>
      <c r="O172" s="496"/>
      <c r="P172" s="496"/>
      <c r="Q172" s="496"/>
      <c r="R172" s="496"/>
      <c r="S172" s="496"/>
      <c r="T172" s="496"/>
      <c r="U172" s="496"/>
      <c r="V172" s="496"/>
      <c r="W172" s="498"/>
    </row>
    <row r="173" spans="1:23" ht="30" customHeight="1" x14ac:dyDescent="0.3">
      <c r="A173" s="496" t="s">
        <v>19872</v>
      </c>
      <c r="B173" s="496" t="s">
        <v>16300</v>
      </c>
      <c r="C173" s="496" t="s">
        <v>15476</v>
      </c>
      <c r="D173" s="496" t="s">
        <v>1158</v>
      </c>
      <c r="E173" s="497" t="s">
        <v>1125</v>
      </c>
      <c r="F173" s="496" t="s">
        <v>15441</v>
      </c>
      <c r="G173" s="496" t="s">
        <v>16278</v>
      </c>
      <c r="H173" s="496">
        <v>46434</v>
      </c>
      <c r="I173" s="496">
        <v>46438</v>
      </c>
      <c r="J173" s="496">
        <f>I173-H173+1</f>
        <v>5</v>
      </c>
      <c r="K173" s="496"/>
      <c r="L173" s="496"/>
      <c r="M173" s="496"/>
      <c r="N173" s="496"/>
      <c r="O173" s="496"/>
      <c r="P173" s="496"/>
      <c r="Q173" s="496"/>
      <c r="R173" s="496"/>
      <c r="S173" s="496"/>
      <c r="T173" s="496"/>
      <c r="U173" s="496"/>
      <c r="V173" s="496"/>
      <c r="W173" s="498"/>
    </row>
    <row r="174" spans="1:23" ht="30" customHeight="1" x14ac:dyDescent="0.3">
      <c r="A174" s="496" t="s">
        <v>19873</v>
      </c>
      <c r="B174" s="496" t="s">
        <v>16300</v>
      </c>
      <c r="C174" s="496" t="s">
        <v>15476</v>
      </c>
      <c r="D174" s="496" t="s">
        <v>1158</v>
      </c>
      <c r="E174" s="497" t="s">
        <v>1125</v>
      </c>
      <c r="F174" s="496" t="s">
        <v>1081</v>
      </c>
      <c r="G174" s="496" t="s">
        <v>16113</v>
      </c>
      <c r="H174" s="496">
        <v>46439</v>
      </c>
      <c r="I174" s="496">
        <v>46441</v>
      </c>
      <c r="J174" s="496">
        <f>I174-H174+1</f>
        <v>3</v>
      </c>
      <c r="K174" s="496"/>
      <c r="L174" s="496"/>
      <c r="M174" s="496"/>
      <c r="N174" s="496"/>
      <c r="O174" s="496"/>
      <c r="P174" s="496"/>
      <c r="Q174" s="496"/>
      <c r="R174" s="496"/>
      <c r="S174" s="496"/>
      <c r="T174" s="496"/>
      <c r="U174" s="496"/>
      <c r="V174" s="496"/>
      <c r="W174" s="498"/>
    </row>
    <row r="175" spans="1:23" ht="30" customHeight="1" x14ac:dyDescent="0.3">
      <c r="A175" s="496" t="s">
        <v>19874</v>
      </c>
      <c r="B175" s="496" t="s">
        <v>16300</v>
      </c>
      <c r="C175" s="496" t="s">
        <v>15476</v>
      </c>
      <c r="D175" s="496" t="s">
        <v>1158</v>
      </c>
      <c r="E175" s="497" t="s">
        <v>1125</v>
      </c>
      <c r="F175" s="496" t="s">
        <v>19770</v>
      </c>
      <c r="G175" s="496" t="s">
        <v>19849</v>
      </c>
      <c r="H175" s="496">
        <v>46442</v>
      </c>
      <c r="I175" s="496">
        <v>46443</v>
      </c>
      <c r="J175" s="496">
        <f>I175-H175+1</f>
        <v>2</v>
      </c>
      <c r="K175" s="496"/>
      <c r="L175" s="496"/>
      <c r="M175" s="496"/>
      <c r="N175" s="496"/>
      <c r="O175" s="496"/>
      <c r="P175" s="496"/>
      <c r="Q175" s="496"/>
      <c r="R175" s="496"/>
      <c r="S175" s="496"/>
      <c r="T175" s="496"/>
      <c r="U175" s="496"/>
      <c r="V175" s="496"/>
      <c r="W175" s="498"/>
    </row>
    <row r="176" spans="1:23" ht="30" customHeight="1" x14ac:dyDescent="0.3">
      <c r="A176" s="496" t="s">
        <v>19875</v>
      </c>
      <c r="B176" s="496" t="s">
        <v>16302</v>
      </c>
      <c r="C176" s="496" t="s">
        <v>15563</v>
      </c>
      <c r="D176" s="496" t="s">
        <v>14994</v>
      </c>
      <c r="E176" s="497" t="s">
        <v>1125</v>
      </c>
      <c r="F176" s="496" t="s">
        <v>15441</v>
      </c>
      <c r="G176" s="496" t="s">
        <v>16144</v>
      </c>
      <c r="H176" s="496">
        <v>46433</v>
      </c>
      <c r="I176" s="496">
        <v>46437</v>
      </c>
      <c r="J176" s="496">
        <f>I176-H176+1</f>
        <v>5</v>
      </c>
      <c r="K176" s="496"/>
      <c r="L176" s="496"/>
      <c r="M176" s="496"/>
      <c r="N176" s="496"/>
      <c r="O176" s="496"/>
      <c r="P176" s="496"/>
      <c r="Q176" s="496"/>
      <c r="R176" s="496"/>
      <c r="S176" s="496"/>
      <c r="T176" s="496"/>
      <c r="U176" s="496"/>
      <c r="V176" s="496"/>
      <c r="W176" s="498"/>
    </row>
    <row r="177" spans="1:23" ht="30" customHeight="1" x14ac:dyDescent="0.3">
      <c r="A177" s="496" t="s">
        <v>19876</v>
      </c>
      <c r="B177" s="496" t="s">
        <v>16302</v>
      </c>
      <c r="C177" s="496" t="s">
        <v>15563</v>
      </c>
      <c r="D177" s="496" t="s">
        <v>14994</v>
      </c>
      <c r="E177" s="497" t="s">
        <v>1125</v>
      </c>
      <c r="F177" s="496" t="s">
        <v>1081</v>
      </c>
      <c r="G177" s="496" t="s">
        <v>16145</v>
      </c>
      <c r="H177" s="496">
        <v>46438</v>
      </c>
      <c r="I177" s="496">
        <v>46440</v>
      </c>
      <c r="J177" s="496">
        <f>I177-H177+1</f>
        <v>3</v>
      </c>
      <c r="K177" s="496"/>
      <c r="L177" s="496"/>
      <c r="M177" s="496"/>
      <c r="N177" s="496"/>
      <c r="O177" s="496"/>
      <c r="P177" s="496"/>
      <c r="Q177" s="496"/>
      <c r="R177" s="496"/>
      <c r="S177" s="496"/>
      <c r="T177" s="496"/>
      <c r="U177" s="496"/>
      <c r="V177" s="496"/>
      <c r="W177" s="498"/>
    </row>
    <row r="178" spans="1:23" ht="30" customHeight="1" x14ac:dyDescent="0.3">
      <c r="A178" s="496" t="s">
        <v>19877</v>
      </c>
      <c r="B178" s="496" t="s">
        <v>16302</v>
      </c>
      <c r="C178" s="496" t="s">
        <v>15563</v>
      </c>
      <c r="D178" s="496" t="s">
        <v>14994</v>
      </c>
      <c r="E178" s="497" t="s">
        <v>1125</v>
      </c>
      <c r="F178" s="496" t="s">
        <v>19770</v>
      </c>
      <c r="G178" s="496" t="s">
        <v>16146</v>
      </c>
      <c r="H178" s="496">
        <v>46441</v>
      </c>
      <c r="I178" s="496">
        <v>46442</v>
      </c>
      <c r="J178" s="496">
        <f>I178-H178+1</f>
        <v>2</v>
      </c>
      <c r="K178" s="496"/>
      <c r="L178" s="496"/>
      <c r="M178" s="496"/>
      <c r="N178" s="496"/>
      <c r="O178" s="496"/>
      <c r="P178" s="496"/>
      <c r="Q178" s="496"/>
      <c r="R178" s="496"/>
      <c r="S178" s="496"/>
      <c r="T178" s="496"/>
      <c r="U178" s="496"/>
      <c r="V178" s="496"/>
      <c r="W178" s="498"/>
    </row>
    <row r="179" spans="1:23" ht="30" customHeight="1" x14ac:dyDescent="0.3">
      <c r="A179" s="496" t="s">
        <v>19878</v>
      </c>
      <c r="B179" s="496" t="s">
        <v>16305</v>
      </c>
      <c r="C179" s="496" t="s">
        <v>15587</v>
      </c>
      <c r="D179" s="496" t="s">
        <v>14993</v>
      </c>
      <c r="E179" s="497" t="s">
        <v>1125</v>
      </c>
      <c r="F179" s="496" t="s">
        <v>15441</v>
      </c>
      <c r="G179" s="496" t="s">
        <v>16283</v>
      </c>
      <c r="H179" s="496">
        <v>46442</v>
      </c>
      <c r="I179" s="496">
        <v>46446</v>
      </c>
      <c r="J179" s="496">
        <f>I179-H179+1</f>
        <v>5</v>
      </c>
      <c r="K179" s="496"/>
      <c r="L179" s="496"/>
      <c r="M179" s="496"/>
      <c r="N179" s="496"/>
      <c r="O179" s="496"/>
      <c r="P179" s="496"/>
      <c r="Q179" s="496"/>
      <c r="R179" s="496"/>
      <c r="S179" s="496"/>
      <c r="T179" s="496"/>
      <c r="U179" s="496"/>
      <c r="V179" s="496"/>
      <c r="W179" s="498"/>
    </row>
    <row r="180" spans="1:23" ht="30" customHeight="1" x14ac:dyDescent="0.3">
      <c r="A180" s="496" t="s">
        <v>19879</v>
      </c>
      <c r="B180" s="496" t="s">
        <v>16305</v>
      </c>
      <c r="C180" s="496" t="s">
        <v>15587</v>
      </c>
      <c r="D180" s="496" t="s">
        <v>14993</v>
      </c>
      <c r="E180" s="497" t="s">
        <v>1125</v>
      </c>
      <c r="F180" s="496" t="s">
        <v>1081</v>
      </c>
      <c r="G180" s="496" t="s">
        <v>16184</v>
      </c>
      <c r="H180" s="496">
        <v>46447</v>
      </c>
      <c r="I180" s="496">
        <v>46449</v>
      </c>
      <c r="J180" s="496">
        <f>I180-H180+1</f>
        <v>3</v>
      </c>
      <c r="K180" s="496"/>
      <c r="L180" s="496"/>
      <c r="M180" s="496"/>
      <c r="N180" s="496"/>
      <c r="O180" s="496"/>
      <c r="P180" s="496"/>
      <c r="Q180" s="496"/>
      <c r="R180" s="496"/>
      <c r="S180" s="496"/>
      <c r="T180" s="496"/>
      <c r="U180" s="496"/>
      <c r="V180" s="496"/>
      <c r="W180" s="498"/>
    </row>
    <row r="181" spans="1:23" ht="30" customHeight="1" x14ac:dyDescent="0.3">
      <c r="A181" s="496" t="s">
        <v>19880</v>
      </c>
      <c r="B181" s="496" t="s">
        <v>16305</v>
      </c>
      <c r="C181" s="496" t="s">
        <v>15587</v>
      </c>
      <c r="D181" s="496" t="s">
        <v>14993</v>
      </c>
      <c r="E181" s="497" t="s">
        <v>1125</v>
      </c>
      <c r="F181" s="496" t="s">
        <v>19770</v>
      </c>
      <c r="G181" s="496" t="s">
        <v>19856</v>
      </c>
      <c r="H181" s="496">
        <v>46450</v>
      </c>
      <c r="I181" s="496">
        <v>46451</v>
      </c>
      <c r="J181" s="496">
        <f>I181-H181+1</f>
        <v>2</v>
      </c>
      <c r="K181" s="496"/>
      <c r="L181" s="496"/>
      <c r="M181" s="496"/>
      <c r="N181" s="496"/>
      <c r="O181" s="496"/>
      <c r="P181" s="496"/>
      <c r="Q181" s="496"/>
      <c r="R181" s="496"/>
      <c r="S181" s="496"/>
      <c r="T181" s="496"/>
      <c r="U181" s="496"/>
      <c r="V181" s="496"/>
      <c r="W181" s="498"/>
    </row>
    <row r="182" spans="1:23" ht="30" customHeight="1" x14ac:dyDescent="0.3">
      <c r="A182" s="496" t="s">
        <v>19881</v>
      </c>
      <c r="B182" s="496" t="s">
        <v>16307</v>
      </c>
      <c r="C182" s="496" t="s">
        <v>15631</v>
      </c>
      <c r="D182" s="496" t="s">
        <v>14992</v>
      </c>
      <c r="E182" s="497" t="s">
        <v>1122</v>
      </c>
      <c r="F182" s="496" t="s">
        <v>15441</v>
      </c>
      <c r="G182" s="496" t="s">
        <v>16308</v>
      </c>
      <c r="H182" s="496">
        <v>46450</v>
      </c>
      <c r="I182" s="496">
        <v>46452</v>
      </c>
      <c r="J182" s="496">
        <f>I182-H182+1</f>
        <v>3</v>
      </c>
      <c r="K182" s="496"/>
      <c r="L182" s="496"/>
      <c r="M182" s="496"/>
      <c r="N182" s="496"/>
      <c r="O182" s="496"/>
      <c r="P182" s="496"/>
      <c r="Q182" s="496"/>
      <c r="R182" s="496"/>
      <c r="S182" s="496"/>
      <c r="T182" s="496"/>
      <c r="U182" s="496"/>
      <c r="V182" s="496"/>
      <c r="W182" s="498"/>
    </row>
    <row r="183" spans="1:23" ht="30" customHeight="1" x14ac:dyDescent="0.3">
      <c r="A183" s="496" t="s">
        <v>19882</v>
      </c>
      <c r="B183" s="496" t="s">
        <v>16307</v>
      </c>
      <c r="C183" s="496" t="s">
        <v>15631</v>
      </c>
      <c r="D183" s="496" t="s">
        <v>14992</v>
      </c>
      <c r="E183" s="497" t="s">
        <v>1122</v>
      </c>
      <c r="F183" s="496" t="s">
        <v>1081</v>
      </c>
      <c r="G183" s="496" t="s">
        <v>16309</v>
      </c>
      <c r="H183" s="496">
        <v>46453</v>
      </c>
      <c r="I183" s="496">
        <v>46454</v>
      </c>
      <c r="J183" s="496">
        <f>I183-H183+1</f>
        <v>2</v>
      </c>
      <c r="K183" s="496"/>
      <c r="L183" s="496"/>
      <c r="M183" s="496"/>
      <c r="N183" s="496"/>
      <c r="O183" s="496"/>
      <c r="P183" s="496"/>
      <c r="Q183" s="496"/>
      <c r="R183" s="496"/>
      <c r="S183" s="496"/>
      <c r="T183" s="496"/>
      <c r="U183" s="496"/>
      <c r="V183" s="496"/>
      <c r="W183" s="498"/>
    </row>
    <row r="184" spans="1:23" ht="30" customHeight="1" x14ac:dyDescent="0.3">
      <c r="A184" s="496" t="s">
        <v>19883</v>
      </c>
      <c r="B184" s="496" t="s">
        <v>16307</v>
      </c>
      <c r="C184" s="496" t="s">
        <v>15631</v>
      </c>
      <c r="D184" s="496" t="s">
        <v>14992</v>
      </c>
      <c r="E184" s="497" t="s">
        <v>1122</v>
      </c>
      <c r="F184" s="496" t="s">
        <v>19770</v>
      </c>
      <c r="G184" s="496" t="s">
        <v>19884</v>
      </c>
      <c r="H184" s="496">
        <v>46455</v>
      </c>
      <c r="I184" s="496">
        <v>46455</v>
      </c>
      <c r="J184" s="496">
        <f>I184-H184+1</f>
        <v>1</v>
      </c>
      <c r="K184" s="496"/>
      <c r="L184" s="496"/>
      <c r="M184" s="496"/>
      <c r="N184" s="496"/>
      <c r="O184" s="496"/>
      <c r="P184" s="496"/>
      <c r="Q184" s="496"/>
      <c r="R184" s="496"/>
      <c r="S184" s="496"/>
      <c r="T184" s="496"/>
      <c r="U184" s="496"/>
      <c r="V184" s="496"/>
      <c r="W184" s="498"/>
    </row>
    <row r="185" spans="1:23" ht="30" customHeight="1" x14ac:dyDescent="0.3">
      <c r="A185" s="496" t="s">
        <v>19885</v>
      </c>
      <c r="B185" s="496" t="s">
        <v>16312</v>
      </c>
      <c r="C185" s="496" t="s">
        <v>15664</v>
      </c>
      <c r="D185" s="496" t="s">
        <v>14991</v>
      </c>
      <c r="E185" s="497" t="s">
        <v>1125</v>
      </c>
      <c r="F185" s="496" t="s">
        <v>15441</v>
      </c>
      <c r="G185" s="496" t="s">
        <v>16313</v>
      </c>
      <c r="H185" s="496">
        <v>46450</v>
      </c>
      <c r="I185" s="496">
        <v>46454</v>
      </c>
      <c r="J185" s="496">
        <f>I185-H185+1</f>
        <v>5</v>
      </c>
      <c r="K185" s="496"/>
      <c r="L185" s="496"/>
      <c r="M185" s="496"/>
      <c r="N185" s="496"/>
      <c r="O185" s="496"/>
      <c r="P185" s="496"/>
      <c r="Q185" s="496"/>
      <c r="R185" s="496"/>
      <c r="S185" s="496"/>
      <c r="T185" s="496"/>
      <c r="U185" s="496"/>
      <c r="V185" s="496"/>
      <c r="W185" s="498"/>
    </row>
    <row r="186" spans="1:23" ht="30" customHeight="1" x14ac:dyDescent="0.3">
      <c r="A186" s="496" t="s">
        <v>19886</v>
      </c>
      <c r="B186" s="496" t="s">
        <v>16312</v>
      </c>
      <c r="C186" s="496" t="s">
        <v>15664</v>
      </c>
      <c r="D186" s="496" t="s">
        <v>14991</v>
      </c>
      <c r="E186" s="497" t="s">
        <v>1125</v>
      </c>
      <c r="F186" s="496" t="s">
        <v>1081</v>
      </c>
      <c r="G186" s="496" t="s">
        <v>16132</v>
      </c>
      <c r="H186" s="496">
        <v>46455</v>
      </c>
      <c r="I186" s="496">
        <v>46457</v>
      </c>
      <c r="J186" s="496">
        <f>I186-H186+1</f>
        <v>3</v>
      </c>
      <c r="K186" s="496"/>
      <c r="L186" s="496"/>
      <c r="M186" s="496"/>
      <c r="N186" s="496"/>
      <c r="O186" s="496"/>
      <c r="P186" s="496"/>
      <c r="Q186" s="496"/>
      <c r="R186" s="496"/>
      <c r="S186" s="496"/>
      <c r="T186" s="496"/>
      <c r="U186" s="496"/>
      <c r="V186" s="496"/>
      <c r="W186" s="498"/>
    </row>
    <row r="187" spans="1:23" ht="30" customHeight="1" x14ac:dyDescent="0.3">
      <c r="A187" s="496" t="s">
        <v>19887</v>
      </c>
      <c r="B187" s="496" t="s">
        <v>16312</v>
      </c>
      <c r="C187" s="496" t="s">
        <v>15664</v>
      </c>
      <c r="D187" s="496" t="s">
        <v>14991</v>
      </c>
      <c r="E187" s="497" t="s">
        <v>1125</v>
      </c>
      <c r="F187" s="496" t="s">
        <v>19770</v>
      </c>
      <c r="G187" s="496" t="s">
        <v>19888</v>
      </c>
      <c r="H187" s="496">
        <v>46458</v>
      </c>
      <c r="I187" s="496">
        <v>46459</v>
      </c>
      <c r="J187" s="496">
        <f>I187-H187+1</f>
        <v>2</v>
      </c>
      <c r="K187" s="496"/>
      <c r="L187" s="496"/>
      <c r="M187" s="496"/>
      <c r="N187" s="496"/>
      <c r="O187" s="496"/>
      <c r="P187" s="496"/>
      <c r="Q187" s="496"/>
      <c r="R187" s="496"/>
      <c r="S187" s="496"/>
      <c r="T187" s="496"/>
      <c r="U187" s="496"/>
      <c r="V187" s="496"/>
      <c r="W187" s="498"/>
    </row>
    <row r="188" spans="1:23" ht="30" customHeight="1" x14ac:dyDescent="0.3">
      <c r="A188" s="496" t="s">
        <v>19889</v>
      </c>
      <c r="B188" s="496" t="s">
        <v>16315</v>
      </c>
      <c r="C188" s="496" t="s">
        <v>15676</v>
      </c>
      <c r="D188" s="496" t="s">
        <v>1159</v>
      </c>
      <c r="E188" s="497" t="s">
        <v>1122</v>
      </c>
      <c r="F188" s="496" t="s">
        <v>15441</v>
      </c>
      <c r="G188" s="496" t="s">
        <v>16269</v>
      </c>
      <c r="H188" s="496">
        <v>46458</v>
      </c>
      <c r="I188" s="496">
        <v>46460</v>
      </c>
      <c r="J188" s="496">
        <f>I188-H188+1</f>
        <v>3</v>
      </c>
      <c r="K188" s="496"/>
      <c r="L188" s="496"/>
      <c r="M188" s="496"/>
      <c r="N188" s="496"/>
      <c r="O188" s="496"/>
      <c r="P188" s="496"/>
      <c r="Q188" s="496"/>
      <c r="R188" s="496"/>
      <c r="S188" s="496"/>
      <c r="T188" s="496"/>
      <c r="U188" s="496"/>
      <c r="V188" s="496"/>
      <c r="W188" s="498"/>
    </row>
    <row r="189" spans="1:23" ht="30" customHeight="1" x14ac:dyDescent="0.3">
      <c r="A189" s="496" t="s">
        <v>19890</v>
      </c>
      <c r="B189" s="496" t="s">
        <v>16315</v>
      </c>
      <c r="C189" s="496" t="s">
        <v>15676</v>
      </c>
      <c r="D189" s="496" t="s">
        <v>1159</v>
      </c>
      <c r="E189" s="497" t="s">
        <v>1122</v>
      </c>
      <c r="F189" s="496" t="s">
        <v>1081</v>
      </c>
      <c r="G189" s="496" t="s">
        <v>16244</v>
      </c>
      <c r="H189" s="496">
        <v>46461</v>
      </c>
      <c r="I189" s="496">
        <v>46462</v>
      </c>
      <c r="J189" s="496">
        <f>I189-H189+1</f>
        <v>2</v>
      </c>
      <c r="K189" s="496"/>
      <c r="L189" s="496"/>
      <c r="M189" s="496"/>
      <c r="N189" s="496"/>
      <c r="O189" s="496"/>
      <c r="P189" s="496"/>
      <c r="Q189" s="496"/>
      <c r="R189" s="496"/>
      <c r="S189" s="496"/>
      <c r="T189" s="496"/>
      <c r="U189" s="496"/>
      <c r="V189" s="496"/>
      <c r="W189" s="498"/>
    </row>
    <row r="190" spans="1:23" ht="30" customHeight="1" x14ac:dyDescent="0.3">
      <c r="A190" s="496" t="s">
        <v>19891</v>
      </c>
      <c r="B190" s="496" t="s">
        <v>16315</v>
      </c>
      <c r="C190" s="496" t="s">
        <v>15676</v>
      </c>
      <c r="D190" s="496" t="s">
        <v>1159</v>
      </c>
      <c r="E190" s="497" t="s">
        <v>1122</v>
      </c>
      <c r="F190" s="496" t="s">
        <v>19770</v>
      </c>
      <c r="G190" s="496" t="s">
        <v>19839</v>
      </c>
      <c r="H190" s="496">
        <v>46463</v>
      </c>
      <c r="I190" s="496">
        <v>46463</v>
      </c>
      <c r="J190" s="496">
        <f>I190-H190+1</f>
        <v>1</v>
      </c>
      <c r="K190" s="496"/>
      <c r="L190" s="496"/>
      <c r="M190" s="496"/>
      <c r="N190" s="496"/>
      <c r="O190" s="496"/>
      <c r="P190" s="496"/>
      <c r="Q190" s="496"/>
      <c r="R190" s="496"/>
      <c r="S190" s="496"/>
      <c r="T190" s="496"/>
      <c r="U190" s="496"/>
      <c r="V190" s="496"/>
      <c r="W190" s="498"/>
    </row>
    <row r="191" spans="1:23" ht="30" customHeight="1" x14ac:dyDescent="0.3">
      <c r="A191" s="496" t="s">
        <v>19892</v>
      </c>
      <c r="B191" s="496" t="s">
        <v>16317</v>
      </c>
      <c r="C191" s="496" t="s">
        <v>15705</v>
      </c>
      <c r="D191" s="496" t="s">
        <v>14990</v>
      </c>
      <c r="E191" s="497" t="s">
        <v>1125</v>
      </c>
      <c r="F191" s="496" t="s">
        <v>15441</v>
      </c>
      <c r="G191" s="496" t="s">
        <v>16318</v>
      </c>
      <c r="H191" s="496">
        <v>46458</v>
      </c>
      <c r="I191" s="496">
        <v>46462</v>
      </c>
      <c r="J191" s="496">
        <f>I191-H191+1</f>
        <v>5</v>
      </c>
      <c r="K191" s="496"/>
      <c r="L191" s="496"/>
      <c r="M191" s="496"/>
      <c r="N191" s="496"/>
      <c r="O191" s="496"/>
      <c r="P191" s="496"/>
      <c r="Q191" s="496"/>
      <c r="R191" s="496"/>
      <c r="S191" s="496"/>
      <c r="T191" s="496"/>
      <c r="U191" s="496"/>
      <c r="V191" s="496"/>
      <c r="W191" s="498"/>
    </row>
    <row r="192" spans="1:23" ht="30" customHeight="1" x14ac:dyDescent="0.3">
      <c r="A192" s="496" t="s">
        <v>19893</v>
      </c>
      <c r="B192" s="496" t="s">
        <v>16317</v>
      </c>
      <c r="C192" s="496" t="s">
        <v>15705</v>
      </c>
      <c r="D192" s="496" t="s">
        <v>14990</v>
      </c>
      <c r="E192" s="497" t="s">
        <v>1125</v>
      </c>
      <c r="F192" s="496" t="s">
        <v>1081</v>
      </c>
      <c r="G192" s="496" t="s">
        <v>16199</v>
      </c>
      <c r="H192" s="496">
        <v>46463</v>
      </c>
      <c r="I192" s="496">
        <v>46465</v>
      </c>
      <c r="J192" s="496">
        <f>I192-H192+1</f>
        <v>3</v>
      </c>
      <c r="K192" s="496"/>
      <c r="L192" s="496"/>
      <c r="M192" s="496"/>
      <c r="N192" s="496"/>
      <c r="O192" s="496"/>
      <c r="P192" s="496"/>
      <c r="Q192" s="496"/>
      <c r="R192" s="496"/>
      <c r="S192" s="496"/>
      <c r="T192" s="496"/>
      <c r="U192" s="496"/>
      <c r="V192" s="496"/>
      <c r="W192" s="498"/>
    </row>
    <row r="193" spans="1:23" ht="30" customHeight="1" x14ac:dyDescent="0.3">
      <c r="A193" s="496" t="s">
        <v>19894</v>
      </c>
      <c r="B193" s="496" t="s">
        <v>16317</v>
      </c>
      <c r="C193" s="496" t="s">
        <v>15705</v>
      </c>
      <c r="D193" s="496" t="s">
        <v>14990</v>
      </c>
      <c r="E193" s="497" t="s">
        <v>1125</v>
      </c>
      <c r="F193" s="496" t="s">
        <v>19770</v>
      </c>
      <c r="G193" s="496" t="s">
        <v>16141</v>
      </c>
      <c r="H193" s="496">
        <v>46466</v>
      </c>
      <c r="I193" s="496">
        <v>46467</v>
      </c>
      <c r="J193" s="496">
        <f>I193-H193+1</f>
        <v>2</v>
      </c>
      <c r="K193" s="496"/>
      <c r="L193" s="496"/>
      <c r="M193" s="496"/>
      <c r="N193" s="496"/>
      <c r="O193" s="496"/>
      <c r="P193" s="496"/>
      <c r="Q193" s="496"/>
      <c r="R193" s="496"/>
      <c r="S193" s="496"/>
      <c r="T193" s="496"/>
      <c r="U193" s="496"/>
      <c r="V193" s="496"/>
      <c r="W193" s="498"/>
    </row>
    <row r="194" spans="1:23" ht="30" customHeight="1" x14ac:dyDescent="0.3">
      <c r="A194" s="496" t="s">
        <v>19895</v>
      </c>
      <c r="B194" s="496" t="s">
        <v>16321</v>
      </c>
      <c r="C194" s="496" t="s">
        <v>15741</v>
      </c>
      <c r="D194" s="496" t="s">
        <v>152</v>
      </c>
      <c r="E194" s="497" t="s">
        <v>1125</v>
      </c>
      <c r="F194" s="496" t="s">
        <v>15441</v>
      </c>
      <c r="G194" s="496" t="s">
        <v>16251</v>
      </c>
      <c r="H194" s="496">
        <v>46465</v>
      </c>
      <c r="I194" s="496">
        <v>46469</v>
      </c>
      <c r="J194" s="496">
        <f>I194-H194+1</f>
        <v>5</v>
      </c>
      <c r="K194" s="496"/>
      <c r="L194" s="496"/>
      <c r="M194" s="496"/>
      <c r="N194" s="496"/>
      <c r="O194" s="496"/>
      <c r="P194" s="496"/>
      <c r="Q194" s="496"/>
      <c r="R194" s="496"/>
      <c r="S194" s="496"/>
      <c r="T194" s="496"/>
      <c r="U194" s="496"/>
      <c r="V194" s="496"/>
      <c r="W194" s="498"/>
    </row>
    <row r="195" spans="1:23" ht="30" customHeight="1" x14ac:dyDescent="0.3">
      <c r="A195" s="496" t="s">
        <v>19896</v>
      </c>
      <c r="B195" s="496" t="s">
        <v>16321</v>
      </c>
      <c r="C195" s="496" t="s">
        <v>15741</v>
      </c>
      <c r="D195" s="496" t="s">
        <v>152</v>
      </c>
      <c r="E195" s="497" t="s">
        <v>1125</v>
      </c>
      <c r="F195" s="496" t="s">
        <v>1081</v>
      </c>
      <c r="G195" s="496" t="s">
        <v>16145</v>
      </c>
      <c r="H195" s="496">
        <v>46470</v>
      </c>
      <c r="I195" s="496">
        <v>46472</v>
      </c>
      <c r="J195" s="496">
        <f>I195-H195+1</f>
        <v>3</v>
      </c>
      <c r="K195" s="496"/>
      <c r="L195" s="496"/>
      <c r="M195" s="496"/>
      <c r="N195" s="496"/>
      <c r="O195" s="496"/>
      <c r="P195" s="496"/>
      <c r="Q195" s="496"/>
      <c r="R195" s="496"/>
      <c r="S195" s="496"/>
      <c r="T195" s="496"/>
      <c r="U195" s="496"/>
      <c r="V195" s="496"/>
      <c r="W195" s="498"/>
    </row>
    <row r="196" spans="1:23" ht="30" customHeight="1" x14ac:dyDescent="0.3">
      <c r="A196" s="496" t="s">
        <v>19897</v>
      </c>
      <c r="B196" s="496" t="s">
        <v>16321</v>
      </c>
      <c r="C196" s="496" t="s">
        <v>15741</v>
      </c>
      <c r="D196" s="496" t="s">
        <v>152</v>
      </c>
      <c r="E196" s="497" t="s">
        <v>1125</v>
      </c>
      <c r="F196" s="496" t="s">
        <v>19770</v>
      </c>
      <c r="G196" s="496" t="s">
        <v>19819</v>
      </c>
      <c r="H196" s="496">
        <v>46473</v>
      </c>
      <c r="I196" s="496">
        <v>46474</v>
      </c>
      <c r="J196" s="496">
        <f>I196-H196+1</f>
        <v>2</v>
      </c>
      <c r="K196" s="496"/>
      <c r="L196" s="496"/>
      <c r="M196" s="496"/>
      <c r="N196" s="496"/>
      <c r="O196" s="496"/>
      <c r="P196" s="496"/>
      <c r="Q196" s="496"/>
      <c r="R196" s="496"/>
      <c r="S196" s="496"/>
      <c r="T196" s="496"/>
      <c r="U196" s="496"/>
      <c r="V196" s="496"/>
      <c r="W196" s="498"/>
    </row>
    <row r="197" spans="1:23" ht="30" customHeight="1" x14ac:dyDescent="0.3">
      <c r="A197" s="496" t="s">
        <v>19898</v>
      </c>
      <c r="B197" s="496" t="s">
        <v>16323</v>
      </c>
      <c r="C197" s="496" t="s">
        <v>15458</v>
      </c>
      <c r="D197" s="496" t="s">
        <v>1158</v>
      </c>
      <c r="E197" s="497" t="s">
        <v>1128</v>
      </c>
      <c r="F197" s="496" t="s">
        <v>15441</v>
      </c>
      <c r="G197" s="496" t="s">
        <v>16149</v>
      </c>
      <c r="H197" s="496">
        <v>46459</v>
      </c>
      <c r="I197" s="496">
        <v>46468</v>
      </c>
      <c r="J197" s="496">
        <f>I197-H197+1</f>
        <v>10</v>
      </c>
      <c r="K197" s="496"/>
      <c r="L197" s="496"/>
      <c r="M197" s="496"/>
      <c r="N197" s="496"/>
      <c r="O197" s="496"/>
      <c r="P197" s="496"/>
      <c r="Q197" s="496"/>
      <c r="R197" s="496"/>
      <c r="S197" s="496"/>
      <c r="T197" s="496"/>
      <c r="U197" s="496"/>
      <c r="V197" s="496"/>
      <c r="W197" s="498"/>
    </row>
    <row r="198" spans="1:23" ht="30" customHeight="1" x14ac:dyDescent="0.3">
      <c r="A198" s="496" t="s">
        <v>19899</v>
      </c>
      <c r="B198" s="496" t="s">
        <v>16323</v>
      </c>
      <c r="C198" s="496" t="s">
        <v>15458</v>
      </c>
      <c r="D198" s="496" t="s">
        <v>1158</v>
      </c>
      <c r="E198" s="497" t="s">
        <v>1128</v>
      </c>
      <c r="F198" s="496" t="s">
        <v>1081</v>
      </c>
      <c r="G198" s="496" t="s">
        <v>16207</v>
      </c>
      <c r="H198" s="496">
        <v>46469</v>
      </c>
      <c r="I198" s="496">
        <v>46473</v>
      </c>
      <c r="J198" s="496">
        <f>I198-H198+1</f>
        <v>5</v>
      </c>
      <c r="K198" s="496"/>
      <c r="L198" s="496"/>
      <c r="M198" s="496"/>
      <c r="N198" s="496"/>
      <c r="O198" s="496"/>
      <c r="P198" s="496"/>
      <c r="Q198" s="496"/>
      <c r="R198" s="496"/>
      <c r="S198" s="496"/>
      <c r="T198" s="496"/>
      <c r="U198" s="496"/>
      <c r="V198" s="496"/>
      <c r="W198" s="498"/>
    </row>
    <row r="199" spans="1:23" ht="30" customHeight="1" x14ac:dyDescent="0.3">
      <c r="A199" s="496" t="s">
        <v>19900</v>
      </c>
      <c r="B199" s="496" t="s">
        <v>16323</v>
      </c>
      <c r="C199" s="496" t="s">
        <v>15458</v>
      </c>
      <c r="D199" s="496" t="s">
        <v>1158</v>
      </c>
      <c r="E199" s="497" t="s">
        <v>1128</v>
      </c>
      <c r="F199" s="496" t="s">
        <v>19770</v>
      </c>
      <c r="G199" s="496" t="s">
        <v>19772</v>
      </c>
      <c r="H199" s="496">
        <v>46474</v>
      </c>
      <c r="I199" s="496">
        <v>46477</v>
      </c>
      <c r="J199" s="496">
        <f>I199-H199+1</f>
        <v>4</v>
      </c>
      <c r="K199" s="496"/>
      <c r="L199" s="496"/>
      <c r="M199" s="496"/>
      <c r="N199" s="496"/>
      <c r="O199" s="496"/>
      <c r="P199" s="496"/>
      <c r="Q199" s="496"/>
      <c r="R199" s="496"/>
      <c r="S199" s="496"/>
      <c r="T199" s="496"/>
      <c r="U199" s="496"/>
      <c r="V199" s="496"/>
      <c r="W199" s="498"/>
    </row>
    <row r="200" spans="1:23" ht="30" customHeight="1" x14ac:dyDescent="0.3">
      <c r="A200" s="496" t="s">
        <v>19901</v>
      </c>
      <c r="B200" s="496" t="s">
        <v>16325</v>
      </c>
      <c r="C200" s="496" t="s">
        <v>15557</v>
      </c>
      <c r="D200" s="496" t="s">
        <v>14994</v>
      </c>
      <c r="E200" s="497" t="s">
        <v>1125</v>
      </c>
      <c r="F200" s="496" t="s">
        <v>15441</v>
      </c>
      <c r="G200" s="496" t="s">
        <v>16326</v>
      </c>
      <c r="H200" s="496">
        <v>46473</v>
      </c>
      <c r="I200" s="496">
        <v>46477</v>
      </c>
      <c r="J200" s="496">
        <f>I200-H200+1</f>
        <v>5</v>
      </c>
      <c r="K200" s="496"/>
      <c r="L200" s="496"/>
      <c r="M200" s="496"/>
      <c r="N200" s="496"/>
      <c r="O200" s="496"/>
      <c r="P200" s="496"/>
      <c r="Q200" s="496"/>
      <c r="R200" s="496"/>
      <c r="S200" s="496"/>
      <c r="T200" s="496"/>
      <c r="U200" s="496"/>
      <c r="V200" s="496"/>
      <c r="W200" s="498"/>
    </row>
    <row r="201" spans="1:23" ht="30" customHeight="1" x14ac:dyDescent="0.3">
      <c r="A201" s="496" t="s">
        <v>19902</v>
      </c>
      <c r="B201" s="496" t="s">
        <v>16325</v>
      </c>
      <c r="C201" s="496" t="s">
        <v>15557</v>
      </c>
      <c r="D201" s="496" t="s">
        <v>14994</v>
      </c>
      <c r="E201" s="497" t="s">
        <v>1125</v>
      </c>
      <c r="F201" s="496" t="s">
        <v>1081</v>
      </c>
      <c r="G201" s="496" t="s">
        <v>16120</v>
      </c>
      <c r="H201" s="496">
        <v>46478</v>
      </c>
      <c r="I201" s="496">
        <v>46480</v>
      </c>
      <c r="J201" s="496">
        <f>I201-H201+1</f>
        <v>3</v>
      </c>
      <c r="K201" s="496"/>
      <c r="L201" s="496"/>
      <c r="M201" s="496"/>
      <c r="N201" s="496"/>
      <c r="O201" s="496"/>
      <c r="P201" s="496"/>
      <c r="Q201" s="496"/>
      <c r="R201" s="496"/>
      <c r="S201" s="496"/>
      <c r="T201" s="496"/>
      <c r="U201" s="496"/>
      <c r="V201" s="496"/>
      <c r="W201" s="498"/>
    </row>
    <row r="202" spans="1:23" ht="30" customHeight="1" x14ac:dyDescent="0.3">
      <c r="A202" s="496" t="s">
        <v>19903</v>
      </c>
      <c r="B202" s="496" t="s">
        <v>16325</v>
      </c>
      <c r="C202" s="496" t="s">
        <v>15557</v>
      </c>
      <c r="D202" s="496" t="s">
        <v>14994</v>
      </c>
      <c r="E202" s="497" t="s">
        <v>1125</v>
      </c>
      <c r="F202" s="496" t="s">
        <v>19770</v>
      </c>
      <c r="G202" s="496" t="s">
        <v>19904</v>
      </c>
      <c r="H202" s="496">
        <v>46481</v>
      </c>
      <c r="I202" s="496">
        <v>46482</v>
      </c>
      <c r="J202" s="496">
        <f>I202-H202+1</f>
        <v>2</v>
      </c>
      <c r="K202" s="496"/>
      <c r="L202" s="496"/>
      <c r="M202" s="496"/>
      <c r="N202" s="496"/>
      <c r="O202" s="496"/>
      <c r="P202" s="496"/>
      <c r="Q202" s="496"/>
      <c r="R202" s="496"/>
      <c r="S202" s="496"/>
      <c r="T202" s="496"/>
      <c r="U202" s="496"/>
      <c r="V202" s="496"/>
      <c r="W202" s="498"/>
    </row>
    <row r="203" spans="1:23" ht="30" customHeight="1" x14ac:dyDescent="0.3">
      <c r="A203" s="496" t="s">
        <v>19905</v>
      </c>
      <c r="B203" s="496" t="s">
        <v>16330</v>
      </c>
      <c r="C203" s="496" t="s">
        <v>15584</v>
      </c>
      <c r="D203" s="496" t="s">
        <v>14993</v>
      </c>
      <c r="E203" s="497" t="s">
        <v>1128</v>
      </c>
      <c r="F203" s="496" t="s">
        <v>15441</v>
      </c>
      <c r="G203" s="496" t="s">
        <v>16283</v>
      </c>
      <c r="H203" s="496">
        <v>46467</v>
      </c>
      <c r="I203" s="496">
        <v>46476</v>
      </c>
      <c r="J203" s="496">
        <f>I203-H203+1</f>
        <v>10</v>
      </c>
      <c r="K203" s="496"/>
      <c r="L203" s="496"/>
      <c r="M203" s="496"/>
      <c r="N203" s="496"/>
      <c r="O203" s="496"/>
      <c r="P203" s="496"/>
      <c r="Q203" s="496"/>
      <c r="R203" s="496"/>
      <c r="S203" s="496"/>
      <c r="T203" s="496"/>
      <c r="U203" s="496"/>
      <c r="V203" s="496"/>
      <c r="W203" s="498"/>
    </row>
    <row r="204" spans="1:23" ht="30" customHeight="1" x14ac:dyDescent="0.3">
      <c r="A204" s="496" t="s">
        <v>19906</v>
      </c>
      <c r="B204" s="496" t="s">
        <v>16330</v>
      </c>
      <c r="C204" s="496" t="s">
        <v>15584</v>
      </c>
      <c r="D204" s="496" t="s">
        <v>14993</v>
      </c>
      <c r="E204" s="497" t="s">
        <v>1128</v>
      </c>
      <c r="F204" s="496" t="s">
        <v>1081</v>
      </c>
      <c r="G204" s="496" t="s">
        <v>16184</v>
      </c>
      <c r="H204" s="496">
        <v>46477</v>
      </c>
      <c r="I204" s="496">
        <v>46481</v>
      </c>
      <c r="J204" s="496">
        <f>I204-H204+1</f>
        <v>5</v>
      </c>
      <c r="K204" s="496"/>
      <c r="L204" s="496"/>
      <c r="M204" s="496"/>
      <c r="N204" s="496"/>
      <c r="O204" s="496"/>
      <c r="P204" s="496"/>
      <c r="Q204" s="496"/>
      <c r="R204" s="496"/>
      <c r="S204" s="496"/>
      <c r="T204" s="496"/>
      <c r="U204" s="496"/>
      <c r="V204" s="496"/>
      <c r="W204" s="498"/>
    </row>
    <row r="205" spans="1:23" ht="30" customHeight="1" x14ac:dyDescent="0.3">
      <c r="A205" s="496" t="s">
        <v>19907</v>
      </c>
      <c r="B205" s="496" t="s">
        <v>16330</v>
      </c>
      <c r="C205" s="496" t="s">
        <v>15584</v>
      </c>
      <c r="D205" s="496" t="s">
        <v>14993</v>
      </c>
      <c r="E205" s="497" t="s">
        <v>1128</v>
      </c>
      <c r="F205" s="496" t="s">
        <v>19770</v>
      </c>
      <c r="G205" s="496" t="s">
        <v>19856</v>
      </c>
      <c r="H205" s="496">
        <v>46482</v>
      </c>
      <c r="I205" s="496">
        <v>46485</v>
      </c>
      <c r="J205" s="496">
        <f>I205-H205+1</f>
        <v>4</v>
      </c>
      <c r="K205" s="496"/>
      <c r="L205" s="496"/>
      <c r="M205" s="496"/>
      <c r="N205" s="496"/>
      <c r="O205" s="496"/>
      <c r="P205" s="496"/>
      <c r="Q205" s="496"/>
      <c r="R205" s="496"/>
      <c r="S205" s="496"/>
      <c r="T205" s="496"/>
      <c r="U205" s="496"/>
      <c r="V205" s="496"/>
      <c r="W205" s="498"/>
    </row>
    <row r="206" spans="1:23" ht="30" customHeight="1" x14ac:dyDescent="0.3">
      <c r="A206" s="496" t="s">
        <v>19908</v>
      </c>
      <c r="B206" s="496" t="s">
        <v>16332</v>
      </c>
      <c r="C206" s="496" t="s">
        <v>15619</v>
      </c>
      <c r="D206" s="496" t="s">
        <v>14992</v>
      </c>
      <c r="E206" s="497" t="s">
        <v>1122</v>
      </c>
      <c r="F206" s="496" t="s">
        <v>15441</v>
      </c>
      <c r="G206" s="496" t="s">
        <v>16326</v>
      </c>
      <c r="H206" s="496">
        <v>46480</v>
      </c>
      <c r="I206" s="496">
        <v>46482</v>
      </c>
      <c r="J206" s="496">
        <f>I206-H206+1</f>
        <v>3</v>
      </c>
      <c r="K206" s="496"/>
      <c r="L206" s="496"/>
      <c r="M206" s="496"/>
      <c r="N206" s="496"/>
      <c r="O206" s="496"/>
      <c r="P206" s="496"/>
      <c r="Q206" s="496"/>
      <c r="R206" s="496"/>
      <c r="S206" s="496"/>
      <c r="T206" s="496"/>
      <c r="U206" s="496"/>
      <c r="V206" s="496"/>
      <c r="W206" s="498"/>
    </row>
    <row r="207" spans="1:23" ht="30" customHeight="1" x14ac:dyDescent="0.3">
      <c r="A207" s="496" t="s">
        <v>19909</v>
      </c>
      <c r="B207" s="496" t="s">
        <v>16332</v>
      </c>
      <c r="C207" s="496" t="s">
        <v>15619</v>
      </c>
      <c r="D207" s="496" t="s">
        <v>14992</v>
      </c>
      <c r="E207" s="497" t="s">
        <v>1122</v>
      </c>
      <c r="F207" s="496" t="s">
        <v>1081</v>
      </c>
      <c r="G207" s="496" t="s">
        <v>16120</v>
      </c>
      <c r="H207" s="496">
        <v>46483</v>
      </c>
      <c r="I207" s="496">
        <v>46484</v>
      </c>
      <c r="J207" s="496">
        <f>I207-H207+1</f>
        <v>2</v>
      </c>
      <c r="K207" s="496"/>
      <c r="L207" s="496"/>
      <c r="M207" s="496"/>
      <c r="N207" s="496"/>
      <c r="O207" s="496"/>
      <c r="P207" s="496"/>
      <c r="Q207" s="496"/>
      <c r="R207" s="496"/>
      <c r="S207" s="496"/>
      <c r="T207" s="496"/>
      <c r="U207" s="496"/>
      <c r="V207" s="496"/>
      <c r="W207" s="498"/>
    </row>
    <row r="208" spans="1:23" ht="30" customHeight="1" x14ac:dyDescent="0.3">
      <c r="A208" s="496" t="s">
        <v>19910</v>
      </c>
      <c r="B208" s="496" t="s">
        <v>16332</v>
      </c>
      <c r="C208" s="496" t="s">
        <v>15619</v>
      </c>
      <c r="D208" s="496" t="s">
        <v>14992</v>
      </c>
      <c r="E208" s="497" t="s">
        <v>1122</v>
      </c>
      <c r="F208" s="496" t="s">
        <v>19770</v>
      </c>
      <c r="G208" s="496" t="s">
        <v>19904</v>
      </c>
      <c r="H208" s="496">
        <v>46485</v>
      </c>
      <c r="I208" s="496">
        <v>46485</v>
      </c>
      <c r="J208" s="496">
        <f>I208-H208+1</f>
        <v>1</v>
      </c>
      <c r="K208" s="496"/>
      <c r="L208" s="496"/>
      <c r="M208" s="496"/>
      <c r="N208" s="496"/>
      <c r="O208" s="496"/>
      <c r="P208" s="496"/>
      <c r="Q208" s="496"/>
      <c r="R208" s="496"/>
      <c r="S208" s="496"/>
      <c r="T208" s="496"/>
      <c r="U208" s="496"/>
      <c r="V208" s="496"/>
      <c r="W208" s="498"/>
    </row>
    <row r="209" spans="1:23" ht="30" customHeight="1" x14ac:dyDescent="0.3">
      <c r="A209" s="496" t="s">
        <v>19911</v>
      </c>
      <c r="B209" s="496" t="s">
        <v>16335</v>
      </c>
      <c r="C209" s="496" t="s">
        <v>15646</v>
      </c>
      <c r="D209" s="496" t="s">
        <v>14991</v>
      </c>
      <c r="E209" s="497" t="s">
        <v>1122</v>
      </c>
      <c r="F209" s="496" t="s">
        <v>15441</v>
      </c>
      <c r="G209" s="496" t="s">
        <v>16131</v>
      </c>
      <c r="H209" s="496">
        <v>46489</v>
      </c>
      <c r="I209" s="496">
        <v>46491</v>
      </c>
      <c r="J209" s="496">
        <f>I209-H209+1</f>
        <v>3</v>
      </c>
      <c r="K209" s="496"/>
      <c r="L209" s="496"/>
      <c r="M209" s="496"/>
      <c r="N209" s="496"/>
      <c r="O209" s="496"/>
      <c r="P209" s="496"/>
      <c r="Q209" s="496"/>
      <c r="R209" s="496"/>
      <c r="S209" s="496"/>
      <c r="T209" s="496"/>
      <c r="U209" s="496"/>
      <c r="V209" s="496"/>
      <c r="W209" s="498"/>
    </row>
    <row r="210" spans="1:23" ht="30" customHeight="1" x14ac:dyDescent="0.3">
      <c r="A210" s="496" t="s">
        <v>19912</v>
      </c>
      <c r="B210" s="496" t="s">
        <v>16335</v>
      </c>
      <c r="C210" s="496" t="s">
        <v>15646</v>
      </c>
      <c r="D210" s="496" t="s">
        <v>14991</v>
      </c>
      <c r="E210" s="497" t="s">
        <v>1122</v>
      </c>
      <c r="F210" s="496" t="s">
        <v>1081</v>
      </c>
      <c r="G210" s="496" t="s">
        <v>16132</v>
      </c>
      <c r="H210" s="496">
        <v>46492</v>
      </c>
      <c r="I210" s="496">
        <v>46493</v>
      </c>
      <c r="J210" s="496">
        <f>I210-H210+1</f>
        <v>2</v>
      </c>
      <c r="K210" s="496"/>
      <c r="L210" s="496"/>
      <c r="M210" s="496"/>
      <c r="N210" s="496"/>
      <c r="O210" s="496"/>
      <c r="P210" s="496"/>
      <c r="Q210" s="496"/>
      <c r="R210" s="496"/>
      <c r="S210" s="496"/>
      <c r="T210" s="496"/>
      <c r="U210" s="496"/>
      <c r="V210" s="496"/>
      <c r="W210" s="498"/>
    </row>
    <row r="211" spans="1:23" ht="30" customHeight="1" x14ac:dyDescent="0.3">
      <c r="A211" s="496" t="s">
        <v>19913</v>
      </c>
      <c r="B211" s="496" t="s">
        <v>16335</v>
      </c>
      <c r="C211" s="496" t="s">
        <v>15646</v>
      </c>
      <c r="D211" s="496" t="s">
        <v>14991</v>
      </c>
      <c r="E211" s="497" t="s">
        <v>1122</v>
      </c>
      <c r="F211" s="496" t="s">
        <v>19770</v>
      </c>
      <c r="G211" s="496" t="s">
        <v>16133</v>
      </c>
      <c r="H211" s="496">
        <v>46494</v>
      </c>
      <c r="I211" s="496">
        <v>46494</v>
      </c>
      <c r="J211" s="496">
        <f>I211-H211+1</f>
        <v>1</v>
      </c>
      <c r="K211" s="496"/>
      <c r="L211" s="496"/>
      <c r="M211" s="496"/>
      <c r="N211" s="496"/>
      <c r="O211" s="496"/>
      <c r="P211" s="496"/>
      <c r="Q211" s="496"/>
      <c r="R211" s="496"/>
      <c r="S211" s="496"/>
      <c r="T211" s="496"/>
      <c r="U211" s="496"/>
      <c r="V211" s="496"/>
      <c r="W211" s="498"/>
    </row>
    <row r="212" spans="1:23" ht="30" customHeight="1" x14ac:dyDescent="0.3">
      <c r="A212" s="496" t="s">
        <v>19914</v>
      </c>
      <c r="B212" s="496" t="s">
        <v>16337</v>
      </c>
      <c r="C212" s="496" t="s">
        <v>15678</v>
      </c>
      <c r="D212" s="496" t="s">
        <v>1159</v>
      </c>
      <c r="E212" s="497" t="s">
        <v>1125</v>
      </c>
      <c r="F212" s="496" t="s">
        <v>15441</v>
      </c>
      <c r="G212" s="496" t="s">
        <v>16223</v>
      </c>
      <c r="H212" s="496">
        <v>46489</v>
      </c>
      <c r="I212" s="496">
        <v>46493</v>
      </c>
      <c r="J212" s="496">
        <f>I212-H212+1</f>
        <v>5</v>
      </c>
      <c r="K212" s="496"/>
      <c r="L212" s="496"/>
      <c r="M212" s="496"/>
      <c r="N212" s="496"/>
      <c r="O212" s="496"/>
      <c r="P212" s="496"/>
      <c r="Q212" s="496"/>
      <c r="R212" s="496"/>
      <c r="S212" s="496"/>
      <c r="T212" s="496"/>
      <c r="U212" s="496"/>
      <c r="V212" s="496"/>
      <c r="W212" s="498"/>
    </row>
    <row r="213" spans="1:23" ht="30" customHeight="1" x14ac:dyDescent="0.3">
      <c r="A213" s="496" t="s">
        <v>19915</v>
      </c>
      <c r="B213" s="496" t="s">
        <v>16337</v>
      </c>
      <c r="C213" s="496" t="s">
        <v>15678</v>
      </c>
      <c r="D213" s="496" t="s">
        <v>1159</v>
      </c>
      <c r="E213" s="497" t="s">
        <v>1125</v>
      </c>
      <c r="F213" s="496" t="s">
        <v>1081</v>
      </c>
      <c r="G213" s="496" t="s">
        <v>16244</v>
      </c>
      <c r="H213" s="496">
        <v>46494</v>
      </c>
      <c r="I213" s="496">
        <v>46496</v>
      </c>
      <c r="J213" s="496">
        <f>I213-H213+1</f>
        <v>3</v>
      </c>
      <c r="K213" s="496"/>
      <c r="L213" s="496"/>
      <c r="M213" s="496"/>
      <c r="N213" s="496"/>
      <c r="O213" s="496"/>
      <c r="P213" s="496"/>
      <c r="Q213" s="496"/>
      <c r="R213" s="496"/>
      <c r="S213" s="496"/>
      <c r="T213" s="496"/>
      <c r="U213" s="496"/>
      <c r="V213" s="496"/>
      <c r="W213" s="498"/>
    </row>
    <row r="214" spans="1:23" ht="30" customHeight="1" x14ac:dyDescent="0.3">
      <c r="A214" s="496" t="s">
        <v>19916</v>
      </c>
      <c r="B214" s="496" t="s">
        <v>16337</v>
      </c>
      <c r="C214" s="496" t="s">
        <v>15678</v>
      </c>
      <c r="D214" s="496" t="s">
        <v>1159</v>
      </c>
      <c r="E214" s="497" t="s">
        <v>1125</v>
      </c>
      <c r="F214" s="496" t="s">
        <v>19770</v>
      </c>
      <c r="G214" s="496" t="s">
        <v>19787</v>
      </c>
      <c r="H214" s="496">
        <v>46497</v>
      </c>
      <c r="I214" s="496">
        <v>46498</v>
      </c>
      <c r="J214" s="496">
        <f>I214-H214+1</f>
        <v>2</v>
      </c>
      <c r="K214" s="496"/>
      <c r="L214" s="496"/>
      <c r="M214" s="496"/>
      <c r="N214" s="496"/>
      <c r="O214" s="496"/>
      <c r="P214" s="496"/>
      <c r="Q214" s="496"/>
      <c r="R214" s="496"/>
      <c r="S214" s="496"/>
      <c r="T214" s="496"/>
      <c r="U214" s="496"/>
      <c r="V214" s="496"/>
      <c r="W214" s="498"/>
    </row>
    <row r="215" spans="1:23" ht="30" customHeight="1" x14ac:dyDescent="0.3">
      <c r="A215" s="496" t="s">
        <v>19917</v>
      </c>
      <c r="B215" s="496" t="s">
        <v>16339</v>
      </c>
      <c r="C215" s="496" t="s">
        <v>15723</v>
      </c>
      <c r="D215" s="496" t="s">
        <v>14990</v>
      </c>
      <c r="E215" s="497" t="s">
        <v>1122</v>
      </c>
      <c r="F215" s="496" t="s">
        <v>15441</v>
      </c>
      <c r="G215" s="496" t="s">
        <v>16247</v>
      </c>
      <c r="H215" s="496">
        <v>46499</v>
      </c>
      <c r="I215" s="496">
        <v>46501</v>
      </c>
      <c r="J215" s="496">
        <f>I215-H215+1</f>
        <v>3</v>
      </c>
      <c r="K215" s="496"/>
      <c r="L215" s="496"/>
      <c r="M215" s="496"/>
      <c r="N215" s="496"/>
      <c r="O215" s="496"/>
      <c r="P215" s="496"/>
      <c r="Q215" s="496"/>
      <c r="R215" s="496"/>
      <c r="S215" s="496"/>
      <c r="T215" s="496"/>
      <c r="U215" s="496"/>
      <c r="V215" s="496"/>
      <c r="W215" s="498"/>
    </row>
    <row r="216" spans="1:23" ht="30" customHeight="1" x14ac:dyDescent="0.3">
      <c r="A216" s="496" t="s">
        <v>19918</v>
      </c>
      <c r="B216" s="496" t="s">
        <v>16339</v>
      </c>
      <c r="C216" s="496" t="s">
        <v>15723</v>
      </c>
      <c r="D216" s="496" t="s">
        <v>14990</v>
      </c>
      <c r="E216" s="497" t="s">
        <v>1122</v>
      </c>
      <c r="F216" s="496" t="s">
        <v>1081</v>
      </c>
      <c r="G216" s="496" t="s">
        <v>16248</v>
      </c>
      <c r="H216" s="496">
        <v>46502</v>
      </c>
      <c r="I216" s="496">
        <v>46503</v>
      </c>
      <c r="J216" s="496">
        <f>I216-H216+1</f>
        <v>2</v>
      </c>
      <c r="K216" s="496"/>
      <c r="L216" s="496"/>
      <c r="M216" s="496"/>
      <c r="N216" s="496"/>
      <c r="O216" s="496"/>
      <c r="P216" s="496"/>
      <c r="Q216" s="496"/>
      <c r="R216" s="496"/>
      <c r="S216" s="496"/>
      <c r="T216" s="496"/>
      <c r="U216" s="496"/>
      <c r="V216" s="496"/>
      <c r="W216" s="498"/>
    </row>
    <row r="217" spans="1:23" ht="30" customHeight="1" x14ac:dyDescent="0.3">
      <c r="A217" s="496" t="s">
        <v>19919</v>
      </c>
      <c r="B217" s="496" t="s">
        <v>16339</v>
      </c>
      <c r="C217" s="496" t="s">
        <v>15723</v>
      </c>
      <c r="D217" s="496" t="s">
        <v>14990</v>
      </c>
      <c r="E217" s="497" t="s">
        <v>1122</v>
      </c>
      <c r="F217" s="496" t="s">
        <v>19770</v>
      </c>
      <c r="G217" s="496" t="s">
        <v>19815</v>
      </c>
      <c r="H217" s="496">
        <v>46504</v>
      </c>
      <c r="I217" s="496">
        <v>46504</v>
      </c>
      <c r="J217" s="496">
        <f>I217-H217+1</f>
        <v>1</v>
      </c>
      <c r="K217" s="496"/>
      <c r="L217" s="496"/>
      <c r="M217" s="496"/>
      <c r="N217" s="496"/>
      <c r="O217" s="496"/>
      <c r="P217" s="496"/>
      <c r="Q217" s="496"/>
      <c r="R217" s="496"/>
      <c r="S217" s="496"/>
      <c r="T217" s="496"/>
      <c r="U217" s="496"/>
      <c r="V217" s="496"/>
      <c r="W217" s="498"/>
    </row>
    <row r="218" spans="1:23" ht="30" customHeight="1" x14ac:dyDescent="0.3">
      <c r="A218" s="496" t="s">
        <v>19920</v>
      </c>
      <c r="B218" s="496" t="s">
        <v>16343</v>
      </c>
      <c r="C218" s="496" t="s">
        <v>15735</v>
      </c>
      <c r="D218" s="496" t="s">
        <v>152</v>
      </c>
      <c r="E218" s="497" t="s">
        <v>1122</v>
      </c>
      <c r="F218" s="496" t="s">
        <v>15441</v>
      </c>
      <c r="G218" s="496" t="s">
        <v>16144</v>
      </c>
      <c r="H218" s="496">
        <v>46503</v>
      </c>
      <c r="I218" s="496">
        <v>46505</v>
      </c>
      <c r="J218" s="496">
        <f>I218-H218+1</f>
        <v>3</v>
      </c>
      <c r="K218" s="496"/>
      <c r="L218" s="496"/>
      <c r="M218" s="496"/>
      <c r="N218" s="496"/>
      <c r="O218" s="496"/>
      <c r="P218" s="496"/>
      <c r="Q218" s="496"/>
      <c r="R218" s="496"/>
      <c r="S218" s="496"/>
      <c r="T218" s="496"/>
      <c r="U218" s="496"/>
      <c r="V218" s="496"/>
      <c r="W218" s="498"/>
    </row>
    <row r="219" spans="1:23" ht="30" customHeight="1" x14ac:dyDescent="0.3">
      <c r="A219" s="496" t="s">
        <v>19921</v>
      </c>
      <c r="B219" s="496" t="s">
        <v>16343</v>
      </c>
      <c r="C219" s="496" t="s">
        <v>15735</v>
      </c>
      <c r="D219" s="496" t="s">
        <v>152</v>
      </c>
      <c r="E219" s="497" t="s">
        <v>1122</v>
      </c>
      <c r="F219" s="496" t="s">
        <v>1081</v>
      </c>
      <c r="G219" s="496" t="s">
        <v>16274</v>
      </c>
      <c r="H219" s="496">
        <v>46506</v>
      </c>
      <c r="I219" s="496">
        <v>46507</v>
      </c>
      <c r="J219" s="496">
        <f>I219-H219+1</f>
        <v>2</v>
      </c>
      <c r="K219" s="496"/>
      <c r="L219" s="496"/>
      <c r="M219" s="496"/>
      <c r="N219" s="496"/>
      <c r="O219" s="496"/>
      <c r="P219" s="496"/>
      <c r="Q219" s="496"/>
      <c r="R219" s="496"/>
      <c r="S219" s="496"/>
      <c r="T219" s="496"/>
      <c r="U219" s="496"/>
      <c r="V219" s="496"/>
      <c r="W219" s="498"/>
    </row>
    <row r="220" spans="1:23" ht="30" customHeight="1" x14ac:dyDescent="0.3">
      <c r="A220" s="496" t="s">
        <v>19922</v>
      </c>
      <c r="B220" s="496" t="s">
        <v>16343</v>
      </c>
      <c r="C220" s="496" t="s">
        <v>15735</v>
      </c>
      <c r="D220" s="496" t="s">
        <v>152</v>
      </c>
      <c r="E220" s="497" t="s">
        <v>1122</v>
      </c>
      <c r="F220" s="496" t="s">
        <v>19770</v>
      </c>
      <c r="G220" s="496" t="s">
        <v>16146</v>
      </c>
      <c r="H220" s="496">
        <v>46508</v>
      </c>
      <c r="I220" s="496">
        <v>46508</v>
      </c>
      <c r="J220" s="496">
        <f>I220-H220+1</f>
        <v>1</v>
      </c>
      <c r="K220" s="496"/>
      <c r="L220" s="496"/>
      <c r="M220" s="496"/>
      <c r="N220" s="496"/>
      <c r="O220" s="496"/>
      <c r="P220" s="496"/>
      <c r="Q220" s="496"/>
      <c r="R220" s="496"/>
      <c r="S220" s="496"/>
      <c r="T220" s="496"/>
      <c r="U220" s="496"/>
      <c r="V220" s="496"/>
      <c r="W220" s="498"/>
    </row>
    <row r="221" spans="1:23" ht="30" customHeight="1" x14ac:dyDescent="0.3">
      <c r="A221" s="496" t="s">
        <v>19923</v>
      </c>
      <c r="B221" s="496" t="s">
        <v>16345</v>
      </c>
      <c r="C221" s="496" t="s">
        <v>15467</v>
      </c>
      <c r="D221" s="496" t="s">
        <v>1158</v>
      </c>
      <c r="E221" s="497" t="s">
        <v>1125</v>
      </c>
      <c r="F221" s="496" t="s">
        <v>15441</v>
      </c>
      <c r="G221" s="496" t="s">
        <v>16247</v>
      </c>
      <c r="H221" s="496">
        <v>46498</v>
      </c>
      <c r="I221" s="496">
        <v>46502</v>
      </c>
      <c r="J221" s="496">
        <f>I221-H221+1</f>
        <v>5</v>
      </c>
      <c r="K221" s="496"/>
      <c r="L221" s="496"/>
      <c r="M221" s="496"/>
      <c r="N221" s="496"/>
      <c r="O221" s="496"/>
      <c r="P221" s="496"/>
      <c r="Q221" s="496"/>
      <c r="R221" s="496"/>
      <c r="S221" s="496"/>
      <c r="T221" s="496"/>
      <c r="U221" s="496"/>
      <c r="V221" s="496"/>
      <c r="W221" s="498"/>
    </row>
    <row r="222" spans="1:23" ht="30" customHeight="1" x14ac:dyDescent="0.3">
      <c r="A222" s="496" t="s">
        <v>19924</v>
      </c>
      <c r="B222" s="496" t="s">
        <v>16345</v>
      </c>
      <c r="C222" s="496" t="s">
        <v>15467</v>
      </c>
      <c r="D222" s="496" t="s">
        <v>1158</v>
      </c>
      <c r="E222" s="497" t="s">
        <v>1125</v>
      </c>
      <c r="F222" s="496" t="s">
        <v>1081</v>
      </c>
      <c r="G222" s="496" t="s">
        <v>16248</v>
      </c>
      <c r="H222" s="496">
        <v>46503</v>
      </c>
      <c r="I222" s="496">
        <v>46505</v>
      </c>
      <c r="J222" s="496">
        <f>I222-H222+1</f>
        <v>3</v>
      </c>
      <c r="K222" s="496"/>
      <c r="L222" s="496"/>
      <c r="M222" s="496"/>
      <c r="N222" s="496"/>
      <c r="O222" s="496"/>
      <c r="P222" s="496"/>
      <c r="Q222" s="496"/>
      <c r="R222" s="496"/>
      <c r="S222" s="496"/>
      <c r="T222" s="496"/>
      <c r="U222" s="496"/>
      <c r="V222" s="496"/>
      <c r="W222" s="498"/>
    </row>
    <row r="223" spans="1:23" ht="30" customHeight="1" x14ac:dyDescent="0.3">
      <c r="A223" s="496" t="s">
        <v>19925</v>
      </c>
      <c r="B223" s="496" t="s">
        <v>16345</v>
      </c>
      <c r="C223" s="496" t="s">
        <v>15467</v>
      </c>
      <c r="D223" s="496" t="s">
        <v>1158</v>
      </c>
      <c r="E223" s="497" t="s">
        <v>1125</v>
      </c>
      <c r="F223" s="496" t="s">
        <v>19770</v>
      </c>
      <c r="G223" s="496" t="s">
        <v>19815</v>
      </c>
      <c r="H223" s="496">
        <v>46506</v>
      </c>
      <c r="I223" s="496">
        <v>46507</v>
      </c>
      <c r="J223" s="496">
        <f>I223-H223+1</f>
        <v>2</v>
      </c>
      <c r="K223" s="496"/>
      <c r="L223" s="496"/>
      <c r="M223" s="496"/>
      <c r="N223" s="496"/>
      <c r="O223" s="496"/>
      <c r="P223" s="496"/>
      <c r="Q223" s="496"/>
      <c r="R223" s="496"/>
      <c r="S223" s="496"/>
      <c r="T223" s="496"/>
      <c r="U223" s="496"/>
      <c r="V223" s="496"/>
      <c r="W223" s="498"/>
    </row>
    <row r="224" spans="1:23" ht="30" customHeight="1" x14ac:dyDescent="0.3">
      <c r="A224" s="496" t="s">
        <v>19926</v>
      </c>
      <c r="B224" s="496" t="s">
        <v>16348</v>
      </c>
      <c r="C224" s="496" t="s">
        <v>15557</v>
      </c>
      <c r="D224" s="496" t="s">
        <v>14994</v>
      </c>
      <c r="E224" s="497" t="s">
        <v>1122</v>
      </c>
      <c r="F224" s="496" t="s">
        <v>15441</v>
      </c>
      <c r="G224" s="496" t="s">
        <v>16178</v>
      </c>
      <c r="H224" s="496">
        <v>46511</v>
      </c>
      <c r="I224" s="496">
        <v>46513</v>
      </c>
      <c r="J224" s="496">
        <f>I224-H224+1</f>
        <v>3</v>
      </c>
      <c r="K224" s="496"/>
      <c r="L224" s="496"/>
      <c r="M224" s="496"/>
      <c r="N224" s="496"/>
      <c r="O224" s="496"/>
      <c r="P224" s="496"/>
      <c r="Q224" s="496"/>
      <c r="R224" s="496"/>
      <c r="S224" s="496"/>
      <c r="T224" s="496"/>
      <c r="U224" s="496"/>
      <c r="V224" s="496"/>
      <c r="W224" s="498"/>
    </row>
    <row r="225" spans="1:23" ht="30" customHeight="1" x14ac:dyDescent="0.3">
      <c r="A225" s="496" t="s">
        <v>19927</v>
      </c>
      <c r="B225" s="496" t="s">
        <v>16348</v>
      </c>
      <c r="C225" s="496" t="s">
        <v>15557</v>
      </c>
      <c r="D225" s="496" t="s">
        <v>14994</v>
      </c>
      <c r="E225" s="497" t="s">
        <v>1122</v>
      </c>
      <c r="F225" s="496" t="s">
        <v>1081</v>
      </c>
      <c r="G225" s="496" t="s">
        <v>16179</v>
      </c>
      <c r="H225" s="496">
        <v>46514</v>
      </c>
      <c r="I225" s="496">
        <v>46515</v>
      </c>
      <c r="J225" s="496">
        <f>I225-H225+1</f>
        <v>2</v>
      </c>
      <c r="K225" s="496"/>
      <c r="L225" s="496"/>
      <c r="M225" s="496"/>
      <c r="N225" s="496"/>
      <c r="O225" s="496"/>
      <c r="P225" s="496"/>
      <c r="Q225" s="496"/>
      <c r="R225" s="496"/>
      <c r="S225" s="496"/>
      <c r="T225" s="496"/>
      <c r="U225" s="496"/>
      <c r="V225" s="496"/>
      <c r="W225" s="498"/>
    </row>
    <row r="226" spans="1:23" ht="30" customHeight="1" x14ac:dyDescent="0.3">
      <c r="A226" s="496" t="s">
        <v>19928</v>
      </c>
      <c r="B226" s="496" t="s">
        <v>16348</v>
      </c>
      <c r="C226" s="496" t="s">
        <v>15557</v>
      </c>
      <c r="D226" s="496" t="s">
        <v>14994</v>
      </c>
      <c r="E226" s="497" t="s">
        <v>1122</v>
      </c>
      <c r="F226" s="496" t="s">
        <v>19770</v>
      </c>
      <c r="G226" s="496" t="s">
        <v>19775</v>
      </c>
      <c r="H226" s="496">
        <v>46516</v>
      </c>
      <c r="I226" s="496">
        <v>46516</v>
      </c>
      <c r="J226" s="496">
        <f>I226-H226+1</f>
        <v>1</v>
      </c>
      <c r="K226" s="496"/>
      <c r="L226" s="496"/>
      <c r="M226" s="496"/>
      <c r="N226" s="496"/>
      <c r="O226" s="496"/>
      <c r="P226" s="496"/>
      <c r="Q226" s="496"/>
      <c r="R226" s="496"/>
      <c r="S226" s="496"/>
      <c r="T226" s="496"/>
      <c r="U226" s="496"/>
      <c r="V226" s="496"/>
      <c r="W226" s="498"/>
    </row>
    <row r="227" spans="1:23" ht="30" customHeight="1" x14ac:dyDescent="0.3">
      <c r="A227" s="496" t="s">
        <v>19929</v>
      </c>
      <c r="B227" s="496" t="s">
        <v>16350</v>
      </c>
      <c r="C227" s="496" t="s">
        <v>15596</v>
      </c>
      <c r="D227" s="496" t="s">
        <v>14993</v>
      </c>
      <c r="E227" s="497" t="s">
        <v>1125</v>
      </c>
      <c r="F227" s="496" t="s">
        <v>15441</v>
      </c>
      <c r="G227" s="496" t="s">
        <v>16154</v>
      </c>
      <c r="H227" s="496">
        <v>46511</v>
      </c>
      <c r="I227" s="496">
        <v>46515</v>
      </c>
      <c r="J227" s="496">
        <f>I227-H227+1</f>
        <v>5</v>
      </c>
      <c r="K227" s="496"/>
      <c r="L227" s="496"/>
      <c r="M227" s="496"/>
      <c r="N227" s="496"/>
      <c r="O227" s="496"/>
      <c r="P227" s="496"/>
      <c r="Q227" s="496"/>
      <c r="R227" s="496"/>
      <c r="S227" s="496"/>
      <c r="T227" s="496"/>
      <c r="U227" s="496"/>
      <c r="V227" s="496"/>
      <c r="W227" s="498"/>
    </row>
    <row r="228" spans="1:23" ht="30" customHeight="1" x14ac:dyDescent="0.3">
      <c r="A228" s="496" t="s">
        <v>19930</v>
      </c>
      <c r="B228" s="496" t="s">
        <v>16350</v>
      </c>
      <c r="C228" s="496" t="s">
        <v>15596</v>
      </c>
      <c r="D228" s="496" t="s">
        <v>14993</v>
      </c>
      <c r="E228" s="497" t="s">
        <v>1125</v>
      </c>
      <c r="F228" s="496" t="s">
        <v>1081</v>
      </c>
      <c r="G228" s="496" t="s">
        <v>16184</v>
      </c>
      <c r="H228" s="496">
        <v>46516</v>
      </c>
      <c r="I228" s="496">
        <v>46518</v>
      </c>
      <c r="J228" s="496">
        <f>I228-H228+1</f>
        <v>3</v>
      </c>
      <c r="K228" s="496"/>
      <c r="L228" s="496"/>
      <c r="M228" s="496"/>
      <c r="N228" s="496"/>
      <c r="O228" s="496"/>
      <c r="P228" s="496"/>
      <c r="Q228" s="496"/>
      <c r="R228" s="496"/>
      <c r="S228" s="496"/>
      <c r="T228" s="496"/>
      <c r="U228" s="496"/>
      <c r="V228" s="496"/>
      <c r="W228" s="498"/>
    </row>
    <row r="229" spans="1:23" ht="30" customHeight="1" x14ac:dyDescent="0.3">
      <c r="A229" s="496" t="s">
        <v>19931</v>
      </c>
      <c r="B229" s="496" t="s">
        <v>16350</v>
      </c>
      <c r="C229" s="496" t="s">
        <v>15596</v>
      </c>
      <c r="D229" s="496" t="s">
        <v>14993</v>
      </c>
      <c r="E229" s="497" t="s">
        <v>1125</v>
      </c>
      <c r="F229" s="496" t="s">
        <v>19770</v>
      </c>
      <c r="G229" s="496" t="s">
        <v>19773</v>
      </c>
      <c r="H229" s="496">
        <v>46519</v>
      </c>
      <c r="I229" s="496">
        <v>46520</v>
      </c>
      <c r="J229" s="496">
        <f>I229-H229+1</f>
        <v>2</v>
      </c>
      <c r="K229" s="496"/>
      <c r="L229" s="496"/>
      <c r="M229" s="496"/>
      <c r="N229" s="496"/>
      <c r="O229" s="496"/>
      <c r="P229" s="496"/>
      <c r="Q229" s="496"/>
      <c r="R229" s="496"/>
      <c r="S229" s="496"/>
      <c r="T229" s="496"/>
      <c r="U229" s="496"/>
      <c r="V229" s="496"/>
      <c r="W229" s="498"/>
    </row>
    <row r="230" spans="1:23" ht="30" customHeight="1" x14ac:dyDescent="0.3">
      <c r="A230" s="496" t="s">
        <v>19932</v>
      </c>
      <c r="B230" s="496" t="s">
        <v>16352</v>
      </c>
      <c r="C230" s="496" t="s">
        <v>15614</v>
      </c>
      <c r="D230" s="496" t="s">
        <v>14992</v>
      </c>
      <c r="E230" s="497" t="s">
        <v>1122</v>
      </c>
      <c r="F230" s="496" t="s">
        <v>15441</v>
      </c>
      <c r="G230" s="496" t="s">
        <v>16263</v>
      </c>
      <c r="H230" s="496">
        <v>46519</v>
      </c>
      <c r="I230" s="496">
        <v>46521</v>
      </c>
      <c r="J230" s="496">
        <f>I230-H230+1</f>
        <v>3</v>
      </c>
      <c r="K230" s="496"/>
      <c r="L230" s="496"/>
      <c r="M230" s="496"/>
      <c r="N230" s="496"/>
      <c r="O230" s="496"/>
      <c r="P230" s="496"/>
      <c r="Q230" s="496"/>
      <c r="R230" s="496"/>
      <c r="S230" s="496"/>
      <c r="T230" s="496"/>
      <c r="U230" s="496"/>
      <c r="V230" s="496"/>
      <c r="W230" s="498"/>
    </row>
    <row r="231" spans="1:23" ht="30" customHeight="1" x14ac:dyDescent="0.3">
      <c r="A231" s="496" t="s">
        <v>19933</v>
      </c>
      <c r="B231" s="496" t="s">
        <v>16352</v>
      </c>
      <c r="C231" s="496" t="s">
        <v>15614</v>
      </c>
      <c r="D231" s="496" t="s">
        <v>14992</v>
      </c>
      <c r="E231" s="497" t="s">
        <v>1122</v>
      </c>
      <c r="F231" s="496" t="s">
        <v>1081</v>
      </c>
      <c r="G231" s="496" t="s">
        <v>16128</v>
      </c>
      <c r="H231" s="496">
        <v>46522</v>
      </c>
      <c r="I231" s="496">
        <v>46523</v>
      </c>
      <c r="J231" s="496">
        <f>I231-H231+1</f>
        <v>2</v>
      </c>
      <c r="K231" s="496"/>
      <c r="L231" s="496"/>
      <c r="M231" s="496"/>
      <c r="N231" s="496"/>
      <c r="O231" s="496"/>
      <c r="P231" s="496"/>
      <c r="Q231" s="496"/>
      <c r="R231" s="496"/>
      <c r="S231" s="496"/>
      <c r="T231" s="496"/>
      <c r="U231" s="496"/>
      <c r="V231" s="496"/>
      <c r="W231" s="498"/>
    </row>
    <row r="232" spans="1:23" ht="30" customHeight="1" x14ac:dyDescent="0.3">
      <c r="A232" s="496" t="s">
        <v>19934</v>
      </c>
      <c r="B232" s="496" t="s">
        <v>16352</v>
      </c>
      <c r="C232" s="496" t="s">
        <v>15614</v>
      </c>
      <c r="D232" s="496" t="s">
        <v>14992</v>
      </c>
      <c r="E232" s="497" t="s">
        <v>1122</v>
      </c>
      <c r="F232" s="496" t="s">
        <v>19770</v>
      </c>
      <c r="G232" s="496" t="s">
        <v>19832</v>
      </c>
      <c r="H232" s="496">
        <v>46524</v>
      </c>
      <c r="I232" s="496">
        <v>46524</v>
      </c>
      <c r="J232" s="496">
        <f>I232-H232+1</f>
        <v>1</v>
      </c>
      <c r="K232" s="496"/>
      <c r="L232" s="496"/>
      <c r="M232" s="496"/>
      <c r="N232" s="496"/>
      <c r="O232" s="496"/>
      <c r="P232" s="496"/>
      <c r="Q232" s="496"/>
      <c r="R232" s="496"/>
      <c r="S232" s="496"/>
      <c r="T232" s="496"/>
      <c r="U232" s="496"/>
      <c r="V232" s="496"/>
      <c r="W232" s="498"/>
    </row>
    <row r="233" spans="1:23" ht="30" customHeight="1" x14ac:dyDescent="0.3">
      <c r="A233" s="496" t="s">
        <v>19935</v>
      </c>
      <c r="B233" s="496" t="s">
        <v>16354</v>
      </c>
      <c r="C233" s="496" t="s">
        <v>15649</v>
      </c>
      <c r="D233" s="496" t="s">
        <v>14991</v>
      </c>
      <c r="E233" s="497" t="s">
        <v>1128</v>
      </c>
      <c r="F233" s="496" t="s">
        <v>15441</v>
      </c>
      <c r="G233" s="496" t="s">
        <v>16313</v>
      </c>
      <c r="H233" s="496">
        <v>46509</v>
      </c>
      <c r="I233" s="496">
        <v>46518</v>
      </c>
      <c r="J233" s="496">
        <f>I233-H233+1</f>
        <v>10</v>
      </c>
      <c r="K233" s="496"/>
      <c r="L233" s="496"/>
      <c r="M233" s="496"/>
      <c r="N233" s="496"/>
      <c r="O233" s="496"/>
      <c r="P233" s="496"/>
      <c r="Q233" s="496"/>
      <c r="R233" s="496"/>
      <c r="S233" s="496"/>
      <c r="T233" s="496"/>
      <c r="U233" s="496"/>
      <c r="V233" s="496"/>
      <c r="W233" s="498"/>
    </row>
    <row r="234" spans="1:23" ht="30" customHeight="1" x14ac:dyDescent="0.3">
      <c r="A234" s="496" t="s">
        <v>19936</v>
      </c>
      <c r="B234" s="496" t="s">
        <v>16354</v>
      </c>
      <c r="C234" s="496" t="s">
        <v>15649</v>
      </c>
      <c r="D234" s="496" t="s">
        <v>14991</v>
      </c>
      <c r="E234" s="497" t="s">
        <v>1128</v>
      </c>
      <c r="F234" s="496" t="s">
        <v>1081</v>
      </c>
      <c r="G234" s="496" t="s">
        <v>16132</v>
      </c>
      <c r="H234" s="496">
        <v>46519</v>
      </c>
      <c r="I234" s="496">
        <v>46523</v>
      </c>
      <c r="J234" s="496">
        <f>I234-H234+1</f>
        <v>5</v>
      </c>
      <c r="K234" s="496"/>
      <c r="L234" s="496"/>
      <c r="M234" s="496"/>
      <c r="N234" s="496"/>
      <c r="O234" s="496"/>
      <c r="P234" s="496"/>
      <c r="Q234" s="496"/>
      <c r="R234" s="496"/>
      <c r="S234" s="496"/>
      <c r="T234" s="496"/>
      <c r="U234" s="496"/>
      <c r="V234" s="496"/>
      <c r="W234" s="498"/>
    </row>
    <row r="235" spans="1:23" ht="30" customHeight="1" x14ac:dyDescent="0.3">
      <c r="A235" s="496" t="s">
        <v>19937</v>
      </c>
      <c r="B235" s="496" t="s">
        <v>16354</v>
      </c>
      <c r="C235" s="496" t="s">
        <v>15649</v>
      </c>
      <c r="D235" s="496" t="s">
        <v>14991</v>
      </c>
      <c r="E235" s="497" t="s">
        <v>1128</v>
      </c>
      <c r="F235" s="496" t="s">
        <v>19770</v>
      </c>
      <c r="G235" s="496" t="s">
        <v>19888</v>
      </c>
      <c r="H235" s="496">
        <v>46524</v>
      </c>
      <c r="I235" s="496">
        <v>46527</v>
      </c>
      <c r="J235" s="496">
        <f>I235-H235+1</f>
        <v>4</v>
      </c>
      <c r="K235" s="496"/>
      <c r="L235" s="496"/>
      <c r="M235" s="496"/>
      <c r="N235" s="496"/>
      <c r="O235" s="496"/>
      <c r="P235" s="496"/>
      <c r="Q235" s="496"/>
      <c r="R235" s="496"/>
      <c r="S235" s="496"/>
      <c r="T235" s="496"/>
      <c r="U235" s="496"/>
      <c r="V235" s="496"/>
      <c r="W235" s="498"/>
    </row>
    <row r="236" spans="1:23" ht="30" customHeight="1" x14ac:dyDescent="0.3">
      <c r="A236" s="496" t="s">
        <v>19938</v>
      </c>
      <c r="B236" s="496" t="s">
        <v>16356</v>
      </c>
      <c r="C236" s="496" t="s">
        <v>15681</v>
      </c>
      <c r="D236" s="496" t="s">
        <v>1159</v>
      </c>
      <c r="E236" s="497" t="s">
        <v>1125</v>
      </c>
      <c r="F236" s="496" t="s">
        <v>15441</v>
      </c>
      <c r="G236" s="496" t="s">
        <v>16269</v>
      </c>
      <c r="H236" s="496">
        <v>46526</v>
      </c>
      <c r="I236" s="496">
        <v>46530</v>
      </c>
      <c r="J236" s="496">
        <f>I236-H236+1</f>
        <v>5</v>
      </c>
      <c r="K236" s="496"/>
      <c r="L236" s="496"/>
      <c r="M236" s="496"/>
      <c r="N236" s="496"/>
      <c r="O236" s="496"/>
      <c r="P236" s="496"/>
      <c r="Q236" s="496"/>
      <c r="R236" s="496"/>
      <c r="S236" s="496"/>
      <c r="T236" s="496"/>
      <c r="U236" s="496"/>
      <c r="V236" s="496"/>
      <c r="W236" s="498"/>
    </row>
    <row r="237" spans="1:23" ht="30" customHeight="1" x14ac:dyDescent="0.3">
      <c r="A237" s="496" t="s">
        <v>19939</v>
      </c>
      <c r="B237" s="496" t="s">
        <v>16356</v>
      </c>
      <c r="C237" s="496" t="s">
        <v>15681</v>
      </c>
      <c r="D237" s="496" t="s">
        <v>1159</v>
      </c>
      <c r="E237" s="497" t="s">
        <v>1125</v>
      </c>
      <c r="F237" s="496" t="s">
        <v>1081</v>
      </c>
      <c r="G237" s="496" t="s">
        <v>16244</v>
      </c>
      <c r="H237" s="496">
        <v>46531</v>
      </c>
      <c r="I237" s="496">
        <v>46533</v>
      </c>
      <c r="J237" s="496">
        <f>I237-H237+1</f>
        <v>3</v>
      </c>
      <c r="K237" s="496"/>
      <c r="L237" s="496"/>
      <c r="M237" s="496"/>
      <c r="N237" s="496"/>
      <c r="O237" s="496"/>
      <c r="P237" s="496"/>
      <c r="Q237" s="496"/>
      <c r="R237" s="496"/>
      <c r="S237" s="496"/>
      <c r="T237" s="496"/>
      <c r="U237" s="496"/>
      <c r="V237" s="496"/>
      <c r="W237" s="498"/>
    </row>
    <row r="238" spans="1:23" ht="30" customHeight="1" x14ac:dyDescent="0.3">
      <c r="A238" s="496" t="s">
        <v>19940</v>
      </c>
      <c r="B238" s="496" t="s">
        <v>16356</v>
      </c>
      <c r="C238" s="496" t="s">
        <v>15681</v>
      </c>
      <c r="D238" s="496" t="s">
        <v>1159</v>
      </c>
      <c r="E238" s="497" t="s">
        <v>1125</v>
      </c>
      <c r="F238" s="496" t="s">
        <v>19770</v>
      </c>
      <c r="G238" s="496" t="s">
        <v>19839</v>
      </c>
      <c r="H238" s="496">
        <v>46534</v>
      </c>
      <c r="I238" s="496">
        <v>46535</v>
      </c>
      <c r="J238" s="496">
        <f>I238-H238+1</f>
        <v>2</v>
      </c>
      <c r="K238" s="496"/>
      <c r="L238" s="496"/>
      <c r="M238" s="496"/>
      <c r="N238" s="496"/>
      <c r="O238" s="496"/>
      <c r="P238" s="496"/>
      <c r="Q238" s="496"/>
      <c r="R238" s="496"/>
      <c r="S238" s="496"/>
      <c r="T238" s="496"/>
      <c r="U238" s="496"/>
      <c r="V238" s="496"/>
      <c r="W238" s="498"/>
    </row>
    <row r="239" spans="1:23" ht="30" customHeight="1" x14ac:dyDescent="0.3">
      <c r="A239" s="496" t="s">
        <v>19941</v>
      </c>
      <c r="B239" s="496" t="s">
        <v>16359</v>
      </c>
      <c r="C239" s="496" t="s">
        <v>15714</v>
      </c>
      <c r="D239" s="496" t="s">
        <v>14990</v>
      </c>
      <c r="E239" s="497" t="s">
        <v>1125</v>
      </c>
      <c r="F239" s="496" t="s">
        <v>15441</v>
      </c>
      <c r="G239" s="496" t="s">
        <v>16318</v>
      </c>
      <c r="H239" s="496">
        <v>46530</v>
      </c>
      <c r="I239" s="496">
        <v>46534</v>
      </c>
      <c r="J239" s="496">
        <f>I239-H239+1</f>
        <v>5</v>
      </c>
      <c r="K239" s="496"/>
      <c r="L239" s="496"/>
      <c r="M239" s="496"/>
      <c r="N239" s="496"/>
      <c r="O239" s="496"/>
      <c r="P239" s="496"/>
      <c r="Q239" s="496"/>
      <c r="R239" s="496"/>
      <c r="S239" s="496"/>
      <c r="T239" s="496"/>
      <c r="U239" s="496"/>
      <c r="V239" s="496"/>
      <c r="W239" s="498"/>
    </row>
    <row r="240" spans="1:23" ht="30" customHeight="1" x14ac:dyDescent="0.3">
      <c r="A240" s="496" t="s">
        <v>19942</v>
      </c>
      <c r="B240" s="496" t="s">
        <v>16359</v>
      </c>
      <c r="C240" s="496" t="s">
        <v>15714</v>
      </c>
      <c r="D240" s="496" t="s">
        <v>14990</v>
      </c>
      <c r="E240" s="497" t="s">
        <v>1125</v>
      </c>
      <c r="F240" s="496" t="s">
        <v>1081</v>
      </c>
      <c r="G240" s="496" t="s">
        <v>16248</v>
      </c>
      <c r="H240" s="496">
        <v>46535</v>
      </c>
      <c r="I240" s="496">
        <v>46537</v>
      </c>
      <c r="J240" s="496">
        <f>I240-H240+1</f>
        <v>3</v>
      </c>
      <c r="K240" s="496"/>
      <c r="L240" s="496"/>
      <c r="M240" s="496"/>
      <c r="N240" s="496"/>
      <c r="O240" s="496"/>
      <c r="P240" s="496"/>
      <c r="Q240" s="496"/>
      <c r="R240" s="496"/>
      <c r="S240" s="496"/>
      <c r="T240" s="496"/>
      <c r="U240" s="496"/>
      <c r="V240" s="496"/>
      <c r="W240" s="498"/>
    </row>
    <row r="241" spans="1:23" ht="30" customHeight="1" x14ac:dyDescent="0.3">
      <c r="A241" s="496" t="s">
        <v>19943</v>
      </c>
      <c r="B241" s="496" t="s">
        <v>16359</v>
      </c>
      <c r="C241" s="496" t="s">
        <v>15714</v>
      </c>
      <c r="D241" s="496" t="s">
        <v>14990</v>
      </c>
      <c r="E241" s="497" t="s">
        <v>1125</v>
      </c>
      <c r="F241" s="496" t="s">
        <v>19770</v>
      </c>
      <c r="G241" s="496" t="s">
        <v>16141</v>
      </c>
      <c r="H241" s="496">
        <v>46538</v>
      </c>
      <c r="I241" s="496">
        <v>46539</v>
      </c>
      <c r="J241" s="496">
        <f>I241-H241+1</f>
        <v>2</v>
      </c>
      <c r="K241" s="496"/>
      <c r="L241" s="496"/>
      <c r="M241" s="496"/>
      <c r="N241" s="496"/>
      <c r="O241" s="496"/>
      <c r="P241" s="496"/>
      <c r="Q241" s="496"/>
      <c r="R241" s="496"/>
      <c r="S241" s="496"/>
      <c r="T241" s="496"/>
      <c r="U241" s="496"/>
      <c r="V241" s="496"/>
      <c r="W241" s="498"/>
    </row>
    <row r="242" spans="1:23" ht="30" customHeight="1" x14ac:dyDescent="0.3">
      <c r="A242" s="496" t="s">
        <v>19944</v>
      </c>
      <c r="B242" s="496" t="s">
        <v>16361</v>
      </c>
      <c r="C242" s="496" t="s">
        <v>15732</v>
      </c>
      <c r="D242" s="496" t="s">
        <v>152</v>
      </c>
      <c r="E242" s="497" t="s">
        <v>1125</v>
      </c>
      <c r="F242" s="496" t="s">
        <v>15441</v>
      </c>
      <c r="G242" s="496" t="s">
        <v>16251</v>
      </c>
      <c r="H242" s="496">
        <v>46534</v>
      </c>
      <c r="I242" s="496">
        <v>46538</v>
      </c>
      <c r="J242" s="496">
        <f>I242-H242+1</f>
        <v>5</v>
      </c>
      <c r="K242" s="496"/>
      <c r="L242" s="496"/>
      <c r="M242" s="496"/>
      <c r="N242" s="496"/>
      <c r="O242" s="496"/>
      <c r="P242" s="496"/>
      <c r="Q242" s="496"/>
      <c r="R242" s="496"/>
      <c r="S242" s="496"/>
      <c r="T242" s="496"/>
      <c r="U242" s="496"/>
      <c r="V242" s="496"/>
      <c r="W242" s="498"/>
    </row>
    <row r="243" spans="1:23" ht="30" customHeight="1" x14ac:dyDescent="0.3">
      <c r="A243" s="496" t="s">
        <v>19945</v>
      </c>
      <c r="B243" s="496" t="s">
        <v>16361</v>
      </c>
      <c r="C243" s="496" t="s">
        <v>15732</v>
      </c>
      <c r="D243" s="496" t="s">
        <v>152</v>
      </c>
      <c r="E243" s="497" t="s">
        <v>1125</v>
      </c>
      <c r="F243" s="496" t="s">
        <v>1081</v>
      </c>
      <c r="G243" s="496" t="s">
        <v>16274</v>
      </c>
      <c r="H243" s="496">
        <v>46539</v>
      </c>
      <c r="I243" s="496">
        <v>46541</v>
      </c>
      <c r="J243" s="496">
        <f>I243-H243+1</f>
        <v>3</v>
      </c>
      <c r="K243" s="496"/>
      <c r="L243" s="496"/>
      <c r="M243" s="496"/>
      <c r="N243" s="496"/>
      <c r="O243" s="496"/>
      <c r="P243" s="496"/>
      <c r="Q243" s="496"/>
      <c r="R243" s="496"/>
      <c r="S243" s="496"/>
      <c r="T243" s="496"/>
      <c r="U243" s="496"/>
      <c r="V243" s="496"/>
      <c r="W243" s="498"/>
    </row>
    <row r="244" spans="1:23" ht="30" customHeight="1" x14ac:dyDescent="0.3">
      <c r="A244" s="496" t="s">
        <v>19946</v>
      </c>
      <c r="B244" s="496" t="s">
        <v>16361</v>
      </c>
      <c r="C244" s="496" t="s">
        <v>15732</v>
      </c>
      <c r="D244" s="496" t="s">
        <v>152</v>
      </c>
      <c r="E244" s="497" t="s">
        <v>1125</v>
      </c>
      <c r="F244" s="496" t="s">
        <v>19770</v>
      </c>
      <c r="G244" s="496" t="s">
        <v>19819</v>
      </c>
      <c r="H244" s="496">
        <v>46542</v>
      </c>
      <c r="I244" s="496">
        <v>46543</v>
      </c>
      <c r="J244" s="496">
        <f>I244-H244+1</f>
        <v>2</v>
      </c>
      <c r="K244" s="496"/>
      <c r="L244" s="496"/>
      <c r="M244" s="496"/>
      <c r="N244" s="496"/>
      <c r="O244" s="496"/>
      <c r="P244" s="496"/>
      <c r="Q244" s="496"/>
      <c r="R244" s="496"/>
      <c r="S244" s="496"/>
      <c r="T244" s="496"/>
      <c r="U244" s="496"/>
      <c r="V244" s="496"/>
      <c r="W244" s="498"/>
    </row>
    <row r="245" spans="1:23" x14ac:dyDescent="0.3">
      <c r="A245" s="496" t="s">
        <v>19947</v>
      </c>
      <c r="B245" s="496" t="s">
        <v>16171</v>
      </c>
      <c r="C245" s="496" t="s">
        <v>15747</v>
      </c>
      <c r="D245" s="496" t="s">
        <v>152</v>
      </c>
      <c r="E245" s="153" t="s">
        <v>1128</v>
      </c>
      <c r="F245" s="496" t="s">
        <v>15441</v>
      </c>
      <c r="G245" s="496" t="s">
        <v>19948</v>
      </c>
      <c r="H245" s="496">
        <v>46264</v>
      </c>
      <c r="I245" s="496">
        <f>H245+30/1440</f>
        <v>46264.020833333336</v>
      </c>
      <c r="J245" s="496" t="str">
        <f>ROUND((I245-H245)*24*60,0)&amp;" min"</f>
        <v>30 min</v>
      </c>
    </row>
    <row r="246" spans="1:23" x14ac:dyDescent="0.3">
      <c r="A246" s="496" t="s">
        <v>19949</v>
      </c>
      <c r="B246" s="496" t="s">
        <v>16216</v>
      </c>
      <c r="C246" s="496" t="s">
        <v>15614</v>
      </c>
      <c r="D246" s="496" t="s">
        <v>14992</v>
      </c>
      <c r="E246" s="153" t="s">
        <v>1128</v>
      </c>
      <c r="F246" s="496" t="s">
        <v>19770</v>
      </c>
      <c r="G246" s="496" t="s">
        <v>19950</v>
      </c>
      <c r="H246" s="496">
        <v>46290</v>
      </c>
      <c r="I246" s="496">
        <v>46317</v>
      </c>
      <c r="J246" s="496">
        <f>I246-H246+1</f>
        <v>28</v>
      </c>
    </row>
    <row r="247" spans="1:23" ht="18" x14ac:dyDescent="0.35">
      <c r="A247" s="396" t="s">
        <v>16362</v>
      </c>
    </row>
    <row r="249" spans="1:23" x14ac:dyDescent="0.3">
      <c r="A249" t="s">
        <v>16363</v>
      </c>
    </row>
    <row r="250" spans="1:23" x14ac:dyDescent="0.3">
      <c r="A250" t="s">
        <v>16364</v>
      </c>
    </row>
    <row r="251" spans="1:23" x14ac:dyDescent="0.3">
      <c r="A251" t="s">
        <v>16365</v>
      </c>
    </row>
    <row r="252" spans="1:23" x14ac:dyDescent="0.3">
      <c r="A252" t="s">
        <v>16366</v>
      </c>
    </row>
    <row r="254" spans="1:23" x14ac:dyDescent="0.3">
      <c r="A254" t="s">
        <v>16367</v>
      </c>
    </row>
    <row r="255" spans="1:23" x14ac:dyDescent="0.3">
      <c r="A255" t="s">
        <v>16368</v>
      </c>
      <c r="F255" s="397" t="s">
        <v>16369</v>
      </c>
      <c r="G255" s="398" t="s">
        <v>16370</v>
      </c>
      <c r="H255" s="398"/>
      <c r="I255" s="399" t="s">
        <v>16371</v>
      </c>
      <c r="J255" s="400" t="s">
        <v>1597</v>
      </c>
    </row>
    <row r="258" spans="1:6" x14ac:dyDescent="0.3">
      <c r="A258" s="16" t="s">
        <v>16372</v>
      </c>
    </row>
    <row r="260" spans="1:6" x14ac:dyDescent="0.3">
      <c r="A260" s="252" t="s">
        <v>13582</v>
      </c>
      <c r="B260" s="252" t="s">
        <v>1507</v>
      </c>
      <c r="C260" s="252" t="s">
        <v>1157</v>
      </c>
    </row>
    <row r="261" spans="1:6" x14ac:dyDescent="0.3">
      <c r="A261" t="s">
        <v>15002</v>
      </c>
      <c r="B261">
        <f>COUNTA(Releases!A7:A86)</f>
        <v>80</v>
      </c>
    </row>
    <row r="262" spans="1:6" x14ac:dyDescent="0.3">
      <c r="A262" t="s">
        <v>16373</v>
      </c>
      <c r="B262">
        <f>COUNTIF(Releases!P7:P86,"*CONFLICT*")</f>
        <v>23</v>
      </c>
    </row>
    <row r="263" spans="1:6" x14ac:dyDescent="0.3">
      <c r="A263" t="s">
        <v>16374</v>
      </c>
      <c r="B263">
        <f>COUNTIF(Releases!F7:F86,"Large")</f>
        <v>15</v>
      </c>
    </row>
    <row r="264" spans="1:6" x14ac:dyDescent="0.3">
      <c r="A264" t="s">
        <v>16375</v>
      </c>
      <c r="B264">
        <f>COUNTIF(Releases!F7:F86,"Medium")</f>
        <v>30</v>
      </c>
    </row>
    <row r="265" spans="1:6" x14ac:dyDescent="0.3">
      <c r="A265" t="s">
        <v>16376</v>
      </c>
      <c r="B265">
        <f>COUNTIF(Releases!F7:F86,"Small")</f>
        <v>35</v>
      </c>
    </row>
    <row r="266" spans="1:6" x14ac:dyDescent="0.3">
      <c r="A266" t="s">
        <v>16377</v>
      </c>
      <c r="B266">
        <f>SUMIF(F5:F246,"Test",J5:J246)</f>
        <v>405</v>
      </c>
    </row>
    <row r="267" spans="1:6" x14ac:dyDescent="0.3">
      <c r="A267" t="s">
        <v>16378</v>
      </c>
      <c r="B267">
        <f>COUNTA(Releases!A7:A86)</f>
        <v>80</v>
      </c>
    </row>
    <row r="271" spans="1:6" ht="15.6" x14ac:dyDescent="0.3">
      <c r="A271" s="401" t="s">
        <v>16379</v>
      </c>
      <c r="B271" s="402"/>
      <c r="C271" s="402"/>
      <c r="D271" s="402"/>
      <c r="E271" s="402"/>
      <c r="F271" s="402"/>
    </row>
    <row r="272" spans="1:6" x14ac:dyDescent="0.3">
      <c r="A272" s="1" t="s">
        <v>16380</v>
      </c>
      <c r="B272" s="1" t="s">
        <v>1554</v>
      </c>
      <c r="C272" s="1" t="s">
        <v>1556</v>
      </c>
      <c r="D272" s="1" t="s">
        <v>1574</v>
      </c>
      <c r="F272" s="1" t="s">
        <v>16381</v>
      </c>
    </row>
    <row r="273" spans="1:14" x14ac:dyDescent="0.3">
      <c r="A273" t="s">
        <v>16382</v>
      </c>
      <c r="B273" s="403">
        <v>46369</v>
      </c>
      <c r="C273" s="403">
        <v>46387</v>
      </c>
      <c r="D273">
        <v>19</v>
      </c>
      <c r="F273" t="s">
        <v>16383</v>
      </c>
    </row>
    <row r="274" spans="1:14" x14ac:dyDescent="0.3">
      <c r="A274" t="s">
        <v>16384</v>
      </c>
      <c r="B274" s="403">
        <v>46472</v>
      </c>
      <c r="C274" s="403">
        <v>46474</v>
      </c>
      <c r="D274">
        <v>3</v>
      </c>
      <c r="F274" t="s">
        <v>16385</v>
      </c>
    </row>
    <row r="275" spans="1:14" x14ac:dyDescent="0.3">
      <c r="A275" t="s">
        <v>16386</v>
      </c>
      <c r="B275" s="403">
        <v>46563</v>
      </c>
      <c r="C275" s="403">
        <v>46565</v>
      </c>
      <c r="D275">
        <v>3</v>
      </c>
      <c r="F275" t="s">
        <v>16385</v>
      </c>
    </row>
    <row r="278" spans="1:14" x14ac:dyDescent="0.3">
      <c r="A278" s="404" t="s">
        <v>16387</v>
      </c>
      <c r="B278" s="404"/>
      <c r="C278" s="404"/>
      <c r="D278" s="404"/>
      <c r="E278" s="404"/>
      <c r="F278" s="404"/>
      <c r="G278" s="404"/>
      <c r="H278" s="404"/>
      <c r="I278" s="404"/>
      <c r="J278" s="404"/>
      <c r="K278" s="404"/>
      <c r="L278" s="404"/>
      <c r="M278" s="404"/>
      <c r="N278" s="404"/>
    </row>
    <row r="280" spans="1:14" x14ac:dyDescent="0.3">
      <c r="A280" t="s">
        <v>16388</v>
      </c>
    </row>
    <row r="281" spans="1:14" x14ac:dyDescent="0.3">
      <c r="A281" t="s">
        <v>16389</v>
      </c>
    </row>
    <row r="282" spans="1:14" x14ac:dyDescent="0.3">
      <c r="A282" t="s">
        <v>16390</v>
      </c>
    </row>
    <row r="283" spans="1:14" x14ac:dyDescent="0.3">
      <c r="A283" t="s">
        <v>16391</v>
      </c>
    </row>
    <row r="284" spans="1:14" x14ac:dyDescent="0.3">
      <c r="A284" t="s">
        <v>16392</v>
      </c>
    </row>
    <row r="285" spans="1:14" x14ac:dyDescent="0.3">
      <c r="A285" t="s">
        <v>16393</v>
      </c>
    </row>
    <row r="287" spans="1:14" x14ac:dyDescent="0.3">
      <c r="A287" t="s">
        <v>16394</v>
      </c>
    </row>
    <row r="288" spans="1:14" x14ac:dyDescent="0.3">
      <c r="A288" t="s">
        <v>16395</v>
      </c>
    </row>
    <row r="289" spans="1:14" x14ac:dyDescent="0.3">
      <c r="A289" t="s">
        <v>16396</v>
      </c>
    </row>
    <row r="291" spans="1:14" x14ac:dyDescent="0.3">
      <c r="A291" t="s">
        <v>16397</v>
      </c>
    </row>
    <row r="293" spans="1:14" x14ac:dyDescent="0.3">
      <c r="A293" t="s">
        <v>16398</v>
      </c>
    </row>
    <row r="295" spans="1:14" x14ac:dyDescent="0.3">
      <c r="A295" t="s">
        <v>16399</v>
      </c>
    </row>
    <row r="298" spans="1:14" x14ac:dyDescent="0.3">
      <c r="A298" s="404" t="s">
        <v>16400</v>
      </c>
      <c r="B298" s="404"/>
      <c r="C298" s="404"/>
      <c r="D298" s="404"/>
      <c r="E298" s="404"/>
      <c r="F298" s="404"/>
      <c r="G298" s="404"/>
      <c r="H298" s="404"/>
      <c r="I298" s="404"/>
      <c r="J298" s="404"/>
      <c r="K298" s="404"/>
      <c r="L298" s="404"/>
      <c r="M298" s="404"/>
      <c r="N298" s="404"/>
    </row>
    <row r="300" spans="1:14" x14ac:dyDescent="0.3">
      <c r="A300" t="s">
        <v>16401</v>
      </c>
    </row>
    <row r="301" spans="1:14" x14ac:dyDescent="0.3">
      <c r="A301" t="s">
        <v>16402</v>
      </c>
    </row>
    <row r="302" spans="1:14" x14ac:dyDescent="0.3">
      <c r="A302" t="s">
        <v>16403</v>
      </c>
    </row>
    <row r="303" spans="1:14" x14ac:dyDescent="0.3">
      <c r="A303" t="s">
        <v>16404</v>
      </c>
    </row>
    <row r="305" spans="1:1" x14ac:dyDescent="0.3">
      <c r="A305" t="s">
        <v>16405</v>
      </c>
    </row>
    <row r="307" spans="1:1" x14ac:dyDescent="0.3">
      <c r="A307" t="s">
        <v>16406</v>
      </c>
    </row>
    <row r="308" spans="1:1" x14ac:dyDescent="0.3">
      <c r="A308" t="s">
        <v>16407</v>
      </c>
    </row>
    <row r="309" spans="1:1" x14ac:dyDescent="0.3">
      <c r="A309" t="s">
        <v>16408</v>
      </c>
    </row>
    <row r="310" spans="1:1" x14ac:dyDescent="0.3">
      <c r="A310" t="s">
        <v>16409</v>
      </c>
    </row>
    <row r="311" spans="1:1" x14ac:dyDescent="0.3">
      <c r="A311" t="s">
        <v>16410</v>
      </c>
    </row>
    <row r="312" spans="1:1" x14ac:dyDescent="0.3">
      <c r="A312" t="s">
        <v>16411</v>
      </c>
    </row>
    <row r="313" spans="1:1" x14ac:dyDescent="0.3">
      <c r="A313" t="s">
        <v>16412</v>
      </c>
    </row>
    <row r="314" spans="1:1" x14ac:dyDescent="0.3">
      <c r="A314" t="s">
        <v>16413</v>
      </c>
    </row>
    <row r="316" spans="1:1" x14ac:dyDescent="0.3">
      <c r="A316" t="s">
        <v>16414</v>
      </c>
    </row>
    <row r="318" spans="1:1" x14ac:dyDescent="0.3">
      <c r="A318" t="s">
        <v>16415</v>
      </c>
    </row>
    <row r="319" spans="1:1" x14ac:dyDescent="0.3">
      <c r="A319" t="s">
        <v>16407</v>
      </c>
    </row>
    <row r="320" spans="1:1" x14ac:dyDescent="0.3">
      <c r="A320" t="s">
        <v>16416</v>
      </c>
    </row>
    <row r="321" spans="1:1" x14ac:dyDescent="0.3">
      <c r="A321" t="s">
        <v>16417</v>
      </c>
    </row>
    <row r="322" spans="1:1" x14ac:dyDescent="0.3">
      <c r="A322" t="s">
        <v>16418</v>
      </c>
    </row>
    <row r="324" spans="1:1" x14ac:dyDescent="0.3">
      <c r="A324" t="s">
        <v>16419</v>
      </c>
    </row>
    <row r="326" spans="1:1" x14ac:dyDescent="0.3">
      <c r="A326" t="s">
        <v>16420</v>
      </c>
    </row>
    <row r="328" spans="1:1" x14ac:dyDescent="0.3">
      <c r="A328" t="s">
        <v>16421</v>
      </c>
    </row>
    <row r="329" spans="1:1" x14ac:dyDescent="0.3">
      <c r="A329" t="s">
        <v>16407</v>
      </c>
    </row>
    <row r="330" spans="1:1" x14ac:dyDescent="0.3">
      <c r="A330" t="s">
        <v>16422</v>
      </c>
    </row>
    <row r="331" spans="1:1" x14ac:dyDescent="0.3">
      <c r="A331" t="s">
        <v>16423</v>
      </c>
    </row>
    <row r="332" spans="1:1" x14ac:dyDescent="0.3">
      <c r="A332" t="s">
        <v>16424</v>
      </c>
    </row>
    <row r="334" spans="1:1" x14ac:dyDescent="0.3">
      <c r="A334" t="s">
        <v>16425</v>
      </c>
    </row>
    <row r="335" spans="1:1" x14ac:dyDescent="0.3">
      <c r="A335" t="s">
        <v>16426</v>
      </c>
    </row>
    <row r="336" spans="1:1" x14ac:dyDescent="0.3">
      <c r="A336" t="s">
        <v>16427</v>
      </c>
    </row>
    <row r="337" spans="1:1" x14ac:dyDescent="0.3">
      <c r="A337" t="s">
        <v>16428</v>
      </c>
    </row>
    <row r="338" spans="1:1" x14ac:dyDescent="0.3">
      <c r="A338" t="s">
        <v>16429</v>
      </c>
    </row>
    <row r="339" spans="1:1" x14ac:dyDescent="0.3">
      <c r="A339" t="s">
        <v>16430</v>
      </c>
    </row>
    <row r="341" spans="1:1" x14ac:dyDescent="0.3">
      <c r="A341" t="s">
        <v>16431</v>
      </c>
    </row>
    <row r="343" spans="1:1" x14ac:dyDescent="0.3">
      <c r="A343" t="s">
        <v>16432</v>
      </c>
    </row>
    <row r="344" spans="1:1" x14ac:dyDescent="0.3">
      <c r="A344" t="s">
        <v>16433</v>
      </c>
    </row>
    <row r="345" spans="1:1" x14ac:dyDescent="0.3">
      <c r="A345" t="s">
        <v>16434</v>
      </c>
    </row>
    <row r="346" spans="1:1" x14ac:dyDescent="0.3">
      <c r="A346" t="s">
        <v>16435</v>
      </c>
    </row>
    <row r="347" spans="1:1" x14ac:dyDescent="0.3">
      <c r="A347" t="s">
        <v>16436</v>
      </c>
    </row>
    <row r="348" spans="1:1" x14ac:dyDescent="0.3">
      <c r="A348" t="s">
        <v>16437</v>
      </c>
    </row>
    <row r="349" spans="1:1" x14ac:dyDescent="0.3">
      <c r="A349" t="s">
        <v>16438</v>
      </c>
    </row>
    <row r="350" spans="1:1" x14ac:dyDescent="0.3">
      <c r="A350" t="s">
        <v>16439</v>
      </c>
    </row>
    <row r="351" spans="1:1" x14ac:dyDescent="0.3">
      <c r="A351" t="s">
        <v>16440</v>
      </c>
    </row>
    <row r="352" spans="1:1" x14ac:dyDescent="0.3">
      <c r="A352" t="s">
        <v>16441</v>
      </c>
    </row>
    <row r="354" spans="1:1" x14ac:dyDescent="0.3">
      <c r="A354" t="s">
        <v>16442</v>
      </c>
    </row>
    <row r="356" spans="1:1" x14ac:dyDescent="0.3">
      <c r="A356" t="s">
        <v>16443</v>
      </c>
    </row>
    <row r="357" spans="1:1" x14ac:dyDescent="0.3">
      <c r="A357" t="s">
        <v>16444</v>
      </c>
    </row>
    <row r="358" spans="1:1" x14ac:dyDescent="0.3">
      <c r="A358" t="s">
        <v>16445</v>
      </c>
    </row>
    <row r="359" spans="1:1" x14ac:dyDescent="0.3">
      <c r="A359" t="s">
        <v>16446</v>
      </c>
    </row>
    <row r="360" spans="1:1" x14ac:dyDescent="0.3">
      <c r="A360" t="s">
        <v>16447</v>
      </c>
    </row>
    <row r="362" spans="1:1" x14ac:dyDescent="0.3">
      <c r="A362" t="s">
        <v>15424</v>
      </c>
    </row>
    <row r="364" spans="1:1" x14ac:dyDescent="0.3">
      <c r="A364" t="s">
        <v>16448</v>
      </c>
    </row>
    <row r="365" spans="1:1" x14ac:dyDescent="0.3">
      <c r="A365" t="s">
        <v>16449</v>
      </c>
    </row>
    <row r="366" spans="1:1" x14ac:dyDescent="0.3">
      <c r="A366" t="s">
        <v>16450</v>
      </c>
    </row>
    <row r="367" spans="1:1" x14ac:dyDescent="0.3">
      <c r="A367" t="s">
        <v>16451</v>
      </c>
    </row>
    <row r="368" spans="1:1" x14ac:dyDescent="0.3">
      <c r="A368" t="s">
        <v>16452</v>
      </c>
    </row>
    <row r="369" spans="1:1" x14ac:dyDescent="0.3">
      <c r="A369" t="s">
        <v>16453</v>
      </c>
    </row>
    <row r="371" spans="1:1" x14ac:dyDescent="0.3">
      <c r="A371" t="s">
        <v>16454</v>
      </c>
    </row>
    <row r="372" spans="1:1" x14ac:dyDescent="0.3">
      <c r="A372" t="s">
        <v>16455</v>
      </c>
    </row>
  </sheetData>
  <autoFilter ref="A4:V4" xr:uid="{E99922A5-4C7B-454D-9534-DDA078A4AD44}"/>
  <mergeCells count="4">
    <mergeCell ref="A1:B1"/>
    <mergeCell ref="A271:F271"/>
    <mergeCell ref="A278:N278"/>
    <mergeCell ref="A298:N298"/>
  </mergeCells>
  <conditionalFormatting sqref="A245:V275">
    <cfRule type="expression" dxfId="1" priority="1">
      <formula>OR(AND($D$1&lt;&gt;"All Time",IF($D$1="Today",$G245&lt;&gt;TODAY(),IF($D$1="This Week",OR($G245&lt;TODAY(),$G245&gt;TODAY()+7),IF($D$1="This Month",OR($G245&lt;TODAY(),$G245&gt;TODAY()+30),OR($G245&lt;DATE(YEAR(TODAY()),1,1),$G245&gt;DATE(YEAR(TODAY()),12,31)))))),AND($F$1&lt;&gt;"All",$D245&lt;&gt;$F$1),AND($H$1&lt;&gt;"All",$C245&lt;&gt;$H$1),AND($J$1&lt;&gt;"All",IF($J$1="Conflict Only",$U245="",IF($J$1="No Conflict",$U245&lt;&gt;"",FALSE))))</formula>
    </cfRule>
  </conditionalFormatting>
  <dataValidations count="4">
    <dataValidation type="list" allowBlank="1" showInputMessage="1" showErrorMessage="1" sqref="J1" xr:uid="{88E8B41D-0468-43B1-9289-3D6E5A56DE3B}">
      <formula1>"All,Conflict Only,No Conflict"</formula1>
    </dataValidation>
    <dataValidation type="list" allowBlank="1" showInputMessage="1" showErrorMessage="1" sqref="H1" xr:uid="{C381D07E-390A-44FF-B06C-402861BD8F44}">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F1" xr:uid="{AC1306DA-B59A-4A31-854E-F5A3F55C72C1}">
      <formula1>"All,Finance,Logistics,CRM,Manufacturing,IT,HR,Legal,Security"</formula1>
    </dataValidation>
    <dataValidation type="list" allowBlank="1" showInputMessage="1" showErrorMessage="1" sqref="D1" xr:uid="{B877E25D-7789-4633-A197-755AB6D90C9B}">
      <formula1>"All Time,Today,This Week,This Month,This Year"</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B86C-40E2-4EFD-8A57-EE6B17B956F7}">
  <sheetPr>
    <tabColor theme="5"/>
  </sheetPr>
  <dimension ref="A1:L92"/>
  <sheetViews>
    <sheetView workbookViewId="0">
      <pane ySplit="3" topLeftCell="A22" activePane="bottomLeft" state="frozen"/>
      <selection activeCell="H16" sqref="H16"/>
      <selection pane="bottomLeft" activeCell="H16" sqref="H16"/>
    </sheetView>
  </sheetViews>
  <sheetFormatPr defaultRowHeight="14.4" x14ac:dyDescent="0.3"/>
  <cols>
    <col min="1" max="2" width="13" customWidth="1"/>
    <col min="3" max="4" width="24.109375" customWidth="1"/>
    <col min="5" max="8" width="18.5546875" customWidth="1"/>
    <col min="9" max="9" width="9.21875" customWidth="1"/>
    <col min="10" max="10" width="29.6640625" customWidth="1"/>
    <col min="11" max="11" width="37" customWidth="1"/>
    <col min="12" max="12" width="14.77734375" customWidth="1"/>
  </cols>
  <sheetData>
    <row r="1" spans="1:12" ht="45" customHeight="1" x14ac:dyDescent="0.3">
      <c r="A1" s="1" t="s">
        <v>16091</v>
      </c>
      <c r="B1" s="16" t="s">
        <v>16092</v>
      </c>
      <c r="C1" s="386" t="s">
        <v>16093</v>
      </c>
      <c r="D1" s="16" t="s">
        <v>17719</v>
      </c>
      <c r="E1" s="386" t="s">
        <v>16095</v>
      </c>
      <c r="F1" s="16" t="s">
        <v>17720</v>
      </c>
      <c r="G1" s="386" t="s">
        <v>16095</v>
      </c>
      <c r="H1" s="16" t="s">
        <v>17721</v>
      </c>
      <c r="I1" s="386" t="s">
        <v>16095</v>
      </c>
    </row>
    <row r="2" spans="1:12" x14ac:dyDescent="0.3">
      <c r="A2" s="16" t="s">
        <v>16099</v>
      </c>
      <c r="B2" t="str" cm="1">
        <f t="array" aca="1" ref="B2" ca="1">SUMPRODUCT((A4:A35&lt;&gt;"")*IF(C1="All Time",1,IF(C1="Today",(F4:F35&lt;=TODAY())*(G4:G35&gt;=TODAY()),IF(C1="This Week",(F4:F35&lt;=TODAY()+7)*(G4:G35&gt;=TODAY()),IF(C1="This Month",(F4:F35&lt;=TODAY()+30)*(G4:G35&gt;=TODAY()),(F4:F35&gt;=DATE(YEAR(TODAY()),1,1))*(G4:G35&lt;=DATE(YEAR(TODAY()),12,31))))))*IF(E1="All",1,E4:E35=E1)*IF(G1="All",1,H4:H35=G1)*IF(I1="All",1,ISNUMBER(SEARCH(I1,K4:K35))))&amp;" of "&amp;COUNTA(A4:A35)&amp;" leave records"</f>
        <v>30 of 30 leave records</v>
      </c>
      <c r="D2" s="225" t="s">
        <v>17722</v>
      </c>
      <c r="E2" s="219"/>
      <c r="F2" s="219"/>
      <c r="G2" s="219"/>
      <c r="H2" s="219"/>
    </row>
    <row r="3" spans="1:12" ht="25.05" customHeight="1" x14ac:dyDescent="0.3">
      <c r="A3" s="1" t="s">
        <v>17723</v>
      </c>
      <c r="B3" s="1" t="s">
        <v>15762</v>
      </c>
      <c r="C3" s="1" t="s">
        <v>17724</v>
      </c>
      <c r="D3" s="1" t="s">
        <v>15432</v>
      </c>
      <c r="E3" s="1" t="s">
        <v>14874</v>
      </c>
      <c r="F3" s="1" t="s">
        <v>17725</v>
      </c>
      <c r="G3" s="1" t="s">
        <v>17726</v>
      </c>
      <c r="H3" s="1" t="s">
        <v>14893</v>
      </c>
      <c r="I3" s="1" t="s">
        <v>17727</v>
      </c>
      <c r="J3" s="1" t="s">
        <v>17728</v>
      </c>
      <c r="K3" s="1" t="s">
        <v>14892</v>
      </c>
      <c r="L3" s="1" t="s">
        <v>601</v>
      </c>
    </row>
    <row r="4" spans="1:12" x14ac:dyDescent="0.3">
      <c r="A4" t="s">
        <v>17729</v>
      </c>
      <c r="B4" t="s">
        <v>15805</v>
      </c>
      <c r="C4" t="s">
        <v>15806</v>
      </c>
      <c r="D4" t="s">
        <v>14644</v>
      </c>
      <c r="E4" t="s">
        <v>14914</v>
      </c>
      <c r="F4" s="403">
        <v>46203</v>
      </c>
      <c r="G4" s="403">
        <v>46207</v>
      </c>
      <c r="H4" t="s">
        <v>14890</v>
      </c>
      <c r="I4">
        <v>5</v>
      </c>
      <c r="J4" t="s">
        <v>17730</v>
      </c>
      <c r="K4" t="s">
        <v>17731</v>
      </c>
      <c r="L4">
        <v>4</v>
      </c>
    </row>
    <row r="5" spans="1:12" x14ac:dyDescent="0.3">
      <c r="A5" t="s">
        <v>17732</v>
      </c>
      <c r="B5" t="s">
        <v>15842</v>
      </c>
      <c r="C5" t="s">
        <v>17733</v>
      </c>
      <c r="D5" t="s">
        <v>1158</v>
      </c>
      <c r="E5" t="s">
        <v>1158</v>
      </c>
      <c r="F5" s="403">
        <v>46205</v>
      </c>
      <c r="G5" s="403">
        <v>46209</v>
      </c>
      <c r="H5" t="s">
        <v>14886</v>
      </c>
      <c r="I5">
        <v>5</v>
      </c>
      <c r="J5" t="s">
        <v>15294</v>
      </c>
      <c r="K5" t="s">
        <v>17734</v>
      </c>
      <c r="L5">
        <v>3</v>
      </c>
    </row>
    <row r="6" spans="1:12" x14ac:dyDescent="0.3">
      <c r="A6" t="s">
        <v>17735</v>
      </c>
      <c r="B6" t="s">
        <v>15883</v>
      </c>
      <c r="C6" t="s">
        <v>17736</v>
      </c>
      <c r="D6" t="s">
        <v>1159</v>
      </c>
      <c r="E6" t="s">
        <v>1159</v>
      </c>
      <c r="F6" s="403">
        <v>46221</v>
      </c>
      <c r="G6" s="403">
        <v>46225</v>
      </c>
      <c r="H6" t="s">
        <v>14883</v>
      </c>
      <c r="I6">
        <v>5</v>
      </c>
      <c r="J6" t="s">
        <v>15300</v>
      </c>
      <c r="K6" t="s">
        <v>17737</v>
      </c>
      <c r="L6">
        <v>4</v>
      </c>
    </row>
    <row r="7" spans="1:12" x14ac:dyDescent="0.3">
      <c r="A7" t="s">
        <v>17738</v>
      </c>
      <c r="B7" t="s">
        <v>15768</v>
      </c>
      <c r="C7" t="s">
        <v>15769</v>
      </c>
      <c r="D7" t="s">
        <v>14867</v>
      </c>
      <c r="E7" t="s">
        <v>14991</v>
      </c>
      <c r="F7" s="403">
        <v>46215</v>
      </c>
      <c r="G7" s="403">
        <v>46218</v>
      </c>
      <c r="H7" t="s">
        <v>14890</v>
      </c>
      <c r="I7">
        <v>4</v>
      </c>
      <c r="J7" t="s">
        <v>17739</v>
      </c>
      <c r="K7" t="s">
        <v>17740</v>
      </c>
      <c r="L7">
        <v>5</v>
      </c>
    </row>
    <row r="8" spans="1:12" x14ac:dyDescent="0.3">
      <c r="A8" t="s">
        <v>17741</v>
      </c>
      <c r="B8" t="s">
        <v>15922</v>
      </c>
      <c r="C8" t="s">
        <v>17742</v>
      </c>
      <c r="D8" t="s">
        <v>14992</v>
      </c>
      <c r="E8" t="s">
        <v>14992</v>
      </c>
      <c r="F8" s="403">
        <v>46238</v>
      </c>
      <c r="G8" s="403">
        <v>46245</v>
      </c>
      <c r="H8" t="s">
        <v>14890</v>
      </c>
      <c r="I8">
        <v>8</v>
      </c>
      <c r="J8" t="s">
        <v>17743</v>
      </c>
      <c r="K8" t="s">
        <v>17744</v>
      </c>
      <c r="L8">
        <v>3</v>
      </c>
    </row>
    <row r="9" spans="1:12" x14ac:dyDescent="0.3">
      <c r="A9" t="s">
        <v>17745</v>
      </c>
      <c r="B9" t="s">
        <v>15809</v>
      </c>
      <c r="C9" t="s">
        <v>15810</v>
      </c>
      <c r="D9" t="s">
        <v>14644</v>
      </c>
      <c r="E9" t="s">
        <v>14914</v>
      </c>
      <c r="F9" s="403">
        <v>46245</v>
      </c>
      <c r="G9" s="403">
        <v>46249</v>
      </c>
      <c r="H9" t="s">
        <v>14886</v>
      </c>
      <c r="I9">
        <v>5</v>
      </c>
      <c r="J9" t="s">
        <v>15310</v>
      </c>
      <c r="K9" t="s">
        <v>17746</v>
      </c>
      <c r="L9">
        <v>4</v>
      </c>
    </row>
    <row r="10" spans="1:12" x14ac:dyDescent="0.3">
      <c r="A10" t="s">
        <v>17747</v>
      </c>
      <c r="B10" t="s">
        <v>15963</v>
      </c>
      <c r="C10" t="s">
        <v>17748</v>
      </c>
      <c r="D10" t="s">
        <v>152</v>
      </c>
      <c r="E10" t="s">
        <v>152</v>
      </c>
      <c r="F10" s="403">
        <v>46234</v>
      </c>
      <c r="G10" s="403">
        <v>46236</v>
      </c>
      <c r="H10" t="s">
        <v>14883</v>
      </c>
      <c r="I10">
        <v>3</v>
      </c>
      <c r="J10" t="s">
        <v>15304</v>
      </c>
      <c r="K10" t="s">
        <v>17749</v>
      </c>
      <c r="L10">
        <v>3</v>
      </c>
    </row>
    <row r="11" spans="1:12" x14ac:dyDescent="0.3">
      <c r="A11" t="s">
        <v>17750</v>
      </c>
      <c r="B11" t="s">
        <v>15998</v>
      </c>
      <c r="C11" t="s">
        <v>17751</v>
      </c>
      <c r="D11" t="s">
        <v>14990</v>
      </c>
      <c r="E11" t="s">
        <v>14990</v>
      </c>
      <c r="F11" s="403">
        <v>46269</v>
      </c>
      <c r="G11" s="403">
        <v>46276</v>
      </c>
      <c r="H11" t="s">
        <v>14890</v>
      </c>
      <c r="I11">
        <v>8</v>
      </c>
      <c r="J11" t="s">
        <v>17752</v>
      </c>
      <c r="K11" t="s">
        <v>17753</v>
      </c>
      <c r="L11">
        <v>4</v>
      </c>
    </row>
    <row r="12" spans="1:12" x14ac:dyDescent="0.3">
      <c r="A12" t="s">
        <v>17754</v>
      </c>
      <c r="B12" t="s">
        <v>15772</v>
      </c>
      <c r="C12" t="s">
        <v>15773</v>
      </c>
      <c r="D12" t="s">
        <v>14867</v>
      </c>
      <c r="E12" t="s">
        <v>14991</v>
      </c>
      <c r="F12" s="403">
        <v>46277</v>
      </c>
      <c r="G12" s="403">
        <v>46281</v>
      </c>
      <c r="H12" t="s">
        <v>14880</v>
      </c>
      <c r="I12">
        <v>5</v>
      </c>
      <c r="J12" t="s">
        <v>16177</v>
      </c>
      <c r="K12" t="s">
        <v>17755</v>
      </c>
      <c r="L12">
        <v>3</v>
      </c>
    </row>
    <row r="13" spans="1:12" x14ac:dyDescent="0.3">
      <c r="A13" t="s">
        <v>17756</v>
      </c>
      <c r="B13" t="s">
        <v>16031</v>
      </c>
      <c r="C13" t="s">
        <v>17757</v>
      </c>
      <c r="D13" t="s">
        <v>14993</v>
      </c>
      <c r="E13" t="s">
        <v>14993</v>
      </c>
      <c r="F13" s="403">
        <v>46285</v>
      </c>
      <c r="G13" s="403">
        <v>46290</v>
      </c>
      <c r="H13" t="s">
        <v>14890</v>
      </c>
      <c r="I13">
        <v>6</v>
      </c>
      <c r="J13" t="s">
        <v>16188</v>
      </c>
      <c r="K13" t="s">
        <v>17758</v>
      </c>
      <c r="L13">
        <v>2</v>
      </c>
    </row>
    <row r="14" spans="1:12" x14ac:dyDescent="0.3">
      <c r="A14" t="s">
        <v>17759</v>
      </c>
      <c r="B14" t="s">
        <v>15812</v>
      </c>
      <c r="C14" t="s">
        <v>15813</v>
      </c>
      <c r="D14" t="s">
        <v>14644</v>
      </c>
      <c r="E14" t="s">
        <v>14914</v>
      </c>
      <c r="F14" s="403">
        <v>46307</v>
      </c>
      <c r="G14" s="403">
        <v>46314</v>
      </c>
      <c r="H14" t="s">
        <v>14890</v>
      </c>
      <c r="I14">
        <v>8</v>
      </c>
      <c r="J14" t="s">
        <v>17760</v>
      </c>
      <c r="K14" t="s">
        <v>17761</v>
      </c>
      <c r="L14">
        <v>5</v>
      </c>
    </row>
    <row r="15" spans="1:12" x14ac:dyDescent="0.3">
      <c r="A15" t="s">
        <v>17762</v>
      </c>
      <c r="B15" t="s">
        <v>15775</v>
      </c>
      <c r="C15" t="s">
        <v>15776</v>
      </c>
      <c r="D15" t="s">
        <v>14867</v>
      </c>
      <c r="E15" t="s">
        <v>14991</v>
      </c>
      <c r="F15" s="403">
        <v>46319</v>
      </c>
      <c r="G15" s="403">
        <v>46323</v>
      </c>
      <c r="H15" t="s">
        <v>14886</v>
      </c>
      <c r="I15">
        <v>5</v>
      </c>
      <c r="J15" t="s">
        <v>16216</v>
      </c>
      <c r="K15" t="s">
        <v>17763</v>
      </c>
      <c r="L15">
        <v>4</v>
      </c>
    </row>
    <row r="16" spans="1:12" x14ac:dyDescent="0.3">
      <c r="A16" t="s">
        <v>17764</v>
      </c>
      <c r="B16" t="s">
        <v>15846</v>
      </c>
      <c r="C16" t="s">
        <v>17765</v>
      </c>
      <c r="D16" t="s">
        <v>1158</v>
      </c>
      <c r="E16" t="s">
        <v>1158</v>
      </c>
      <c r="F16" s="403">
        <v>46331</v>
      </c>
      <c r="G16" s="403">
        <v>46338</v>
      </c>
      <c r="H16" t="s">
        <v>14890</v>
      </c>
      <c r="I16">
        <v>8</v>
      </c>
      <c r="J16" t="s">
        <v>17766</v>
      </c>
      <c r="K16" t="s">
        <v>17767</v>
      </c>
      <c r="L16">
        <v>3</v>
      </c>
    </row>
    <row r="17" spans="1:12" x14ac:dyDescent="0.3">
      <c r="A17" t="s">
        <v>17768</v>
      </c>
      <c r="B17" t="s">
        <v>15886</v>
      </c>
      <c r="C17" t="s">
        <v>17769</v>
      </c>
      <c r="D17" t="s">
        <v>1159</v>
      </c>
      <c r="E17" t="s">
        <v>1159</v>
      </c>
      <c r="F17" s="403">
        <v>46345</v>
      </c>
      <c r="G17" s="403">
        <v>46349</v>
      </c>
      <c r="H17" t="s">
        <v>14883</v>
      </c>
      <c r="I17">
        <v>5</v>
      </c>
      <c r="J17" t="s">
        <v>16235</v>
      </c>
      <c r="K17" t="s">
        <v>17770</v>
      </c>
      <c r="L17">
        <v>2</v>
      </c>
    </row>
    <row r="18" spans="1:12" x14ac:dyDescent="0.3">
      <c r="A18" t="s">
        <v>17771</v>
      </c>
      <c r="B18" t="s">
        <v>15925</v>
      </c>
      <c r="C18" t="s">
        <v>17772</v>
      </c>
      <c r="D18" t="s">
        <v>14992</v>
      </c>
      <c r="E18" t="s">
        <v>14992</v>
      </c>
      <c r="F18" s="403">
        <v>46359</v>
      </c>
      <c r="G18" s="403">
        <v>46366</v>
      </c>
      <c r="H18" t="s">
        <v>14890</v>
      </c>
      <c r="I18">
        <v>8</v>
      </c>
      <c r="J18" t="s">
        <v>17773</v>
      </c>
      <c r="K18" t="s">
        <v>17774</v>
      </c>
      <c r="L18">
        <v>4</v>
      </c>
    </row>
    <row r="19" spans="1:12" x14ac:dyDescent="0.3">
      <c r="A19" t="s">
        <v>17775</v>
      </c>
      <c r="B19" t="s">
        <v>15778</v>
      </c>
      <c r="C19" t="s">
        <v>15779</v>
      </c>
      <c r="D19" t="s">
        <v>14867</v>
      </c>
      <c r="E19" t="s">
        <v>14991</v>
      </c>
      <c r="F19" s="403">
        <v>46373</v>
      </c>
      <c r="G19" s="403">
        <v>46387</v>
      </c>
      <c r="H19" t="s">
        <v>14890</v>
      </c>
      <c r="I19">
        <v>15</v>
      </c>
      <c r="J19" t="s">
        <v>17776</v>
      </c>
      <c r="K19" t="s">
        <v>17777</v>
      </c>
      <c r="L19">
        <v>5</v>
      </c>
    </row>
    <row r="20" spans="1:12" x14ac:dyDescent="0.3">
      <c r="A20" t="s">
        <v>17778</v>
      </c>
      <c r="B20" t="s">
        <v>15815</v>
      </c>
      <c r="C20" t="s">
        <v>17779</v>
      </c>
      <c r="D20" t="s">
        <v>14644</v>
      </c>
      <c r="E20" t="s">
        <v>14914</v>
      </c>
      <c r="F20" s="403">
        <v>46380</v>
      </c>
      <c r="G20" s="403">
        <v>46390</v>
      </c>
      <c r="H20" t="s">
        <v>14890</v>
      </c>
      <c r="I20">
        <v>11</v>
      </c>
      <c r="J20" t="s">
        <v>17780</v>
      </c>
      <c r="K20" t="s">
        <v>17781</v>
      </c>
      <c r="L20">
        <v>5</v>
      </c>
    </row>
    <row r="21" spans="1:12" x14ac:dyDescent="0.3">
      <c r="A21" t="s">
        <v>17782</v>
      </c>
      <c r="B21" t="s">
        <v>15966</v>
      </c>
      <c r="C21" t="s">
        <v>17783</v>
      </c>
      <c r="D21" t="s">
        <v>152</v>
      </c>
      <c r="E21" t="s">
        <v>152</v>
      </c>
      <c r="F21" s="403">
        <v>46375</v>
      </c>
      <c r="G21" s="403">
        <v>46382</v>
      </c>
      <c r="H21" t="s">
        <v>14890</v>
      </c>
      <c r="I21">
        <v>8</v>
      </c>
      <c r="J21" t="s">
        <v>16253</v>
      </c>
      <c r="K21" t="s">
        <v>17784</v>
      </c>
      <c r="L21">
        <v>4</v>
      </c>
    </row>
    <row r="22" spans="1:12" x14ac:dyDescent="0.3">
      <c r="A22" t="s">
        <v>17785</v>
      </c>
      <c r="B22" t="s">
        <v>16001</v>
      </c>
      <c r="C22" t="s">
        <v>17786</v>
      </c>
      <c r="D22" t="s">
        <v>14990</v>
      </c>
      <c r="E22" t="s">
        <v>14990</v>
      </c>
      <c r="F22" s="403">
        <v>46403</v>
      </c>
      <c r="G22" s="403">
        <v>46410</v>
      </c>
      <c r="H22" t="s">
        <v>14880</v>
      </c>
      <c r="I22">
        <v>8</v>
      </c>
      <c r="J22" t="s">
        <v>17787</v>
      </c>
      <c r="K22" t="s">
        <v>17788</v>
      </c>
      <c r="L22">
        <v>3</v>
      </c>
    </row>
    <row r="23" spans="1:12" x14ac:dyDescent="0.3">
      <c r="A23" t="s">
        <v>17789</v>
      </c>
      <c r="B23" t="s">
        <v>15781</v>
      </c>
      <c r="C23" t="s">
        <v>15782</v>
      </c>
      <c r="D23" t="s">
        <v>14867</v>
      </c>
      <c r="E23" t="s">
        <v>14991</v>
      </c>
      <c r="F23" s="403">
        <v>46418</v>
      </c>
      <c r="G23" s="403">
        <v>46422</v>
      </c>
      <c r="H23" t="s">
        <v>14886</v>
      </c>
      <c r="I23">
        <v>5</v>
      </c>
      <c r="J23" t="s">
        <v>16286</v>
      </c>
      <c r="K23" t="s">
        <v>17790</v>
      </c>
      <c r="L23">
        <v>2</v>
      </c>
    </row>
    <row r="24" spans="1:12" x14ac:dyDescent="0.3">
      <c r="A24" t="s">
        <v>17791</v>
      </c>
      <c r="B24" t="s">
        <v>15849</v>
      </c>
      <c r="C24" t="s">
        <v>17792</v>
      </c>
      <c r="D24" t="s">
        <v>1158</v>
      </c>
      <c r="E24" t="s">
        <v>1158</v>
      </c>
      <c r="F24" s="403">
        <v>46432</v>
      </c>
      <c r="G24" s="403">
        <v>46439</v>
      </c>
      <c r="H24" t="s">
        <v>14890</v>
      </c>
      <c r="I24">
        <v>8</v>
      </c>
      <c r="J24" t="s">
        <v>17793</v>
      </c>
      <c r="K24" t="s">
        <v>17794</v>
      </c>
      <c r="L24">
        <v>4</v>
      </c>
    </row>
    <row r="25" spans="1:12" x14ac:dyDescent="0.3">
      <c r="A25" t="s">
        <v>17795</v>
      </c>
      <c r="B25" t="s">
        <v>16036</v>
      </c>
      <c r="C25" t="s">
        <v>15591</v>
      </c>
      <c r="D25" t="s">
        <v>14993</v>
      </c>
      <c r="E25" t="s">
        <v>14993</v>
      </c>
      <c r="F25" s="403">
        <v>46445</v>
      </c>
      <c r="G25" s="403">
        <v>46449</v>
      </c>
      <c r="H25" t="s">
        <v>14883</v>
      </c>
      <c r="I25">
        <v>5</v>
      </c>
      <c r="J25" t="s">
        <v>16302</v>
      </c>
      <c r="K25" t="s">
        <v>17796</v>
      </c>
      <c r="L25">
        <v>3</v>
      </c>
    </row>
    <row r="26" spans="1:12" x14ac:dyDescent="0.3">
      <c r="A26" t="s">
        <v>17797</v>
      </c>
      <c r="B26" t="s">
        <v>15818</v>
      </c>
      <c r="C26" t="s">
        <v>17798</v>
      </c>
      <c r="D26" t="s">
        <v>14644</v>
      </c>
      <c r="E26" t="s">
        <v>14914</v>
      </c>
      <c r="F26" s="403">
        <v>46472</v>
      </c>
      <c r="G26" s="403">
        <v>46479</v>
      </c>
      <c r="H26" t="s">
        <v>14890</v>
      </c>
      <c r="I26">
        <v>8</v>
      </c>
      <c r="J26" t="s">
        <v>17799</v>
      </c>
      <c r="K26" t="s">
        <v>17800</v>
      </c>
      <c r="L26">
        <v>5</v>
      </c>
    </row>
    <row r="27" spans="1:12" x14ac:dyDescent="0.3">
      <c r="A27" t="s">
        <v>17801</v>
      </c>
      <c r="B27" t="s">
        <v>15889</v>
      </c>
      <c r="C27" t="s">
        <v>17802</v>
      </c>
      <c r="D27" t="s">
        <v>1159</v>
      </c>
      <c r="E27" t="s">
        <v>1159</v>
      </c>
      <c r="F27" s="403">
        <v>46486</v>
      </c>
      <c r="G27" s="403">
        <v>46490</v>
      </c>
      <c r="H27" t="s">
        <v>14886</v>
      </c>
      <c r="I27">
        <v>5</v>
      </c>
      <c r="J27" t="s">
        <v>16321</v>
      </c>
      <c r="K27" t="s">
        <v>17803</v>
      </c>
      <c r="L27">
        <v>2</v>
      </c>
    </row>
    <row r="28" spans="1:12" x14ac:dyDescent="0.3">
      <c r="A28" t="s">
        <v>17804</v>
      </c>
      <c r="B28" t="s">
        <v>15928</v>
      </c>
      <c r="C28" t="s">
        <v>17805</v>
      </c>
      <c r="D28" t="s">
        <v>14992</v>
      </c>
      <c r="E28" t="s">
        <v>14992</v>
      </c>
      <c r="F28" s="403">
        <v>46500</v>
      </c>
      <c r="G28" s="403">
        <v>46510</v>
      </c>
      <c r="H28" t="s">
        <v>14890</v>
      </c>
      <c r="I28">
        <v>11</v>
      </c>
      <c r="J28" t="s">
        <v>17806</v>
      </c>
      <c r="K28" t="s">
        <v>17807</v>
      </c>
      <c r="L28">
        <v>4</v>
      </c>
    </row>
    <row r="29" spans="1:12" x14ac:dyDescent="0.3">
      <c r="A29" t="s">
        <v>17808</v>
      </c>
      <c r="B29" t="s">
        <v>15784</v>
      </c>
      <c r="C29" t="s">
        <v>15785</v>
      </c>
      <c r="D29" t="s">
        <v>14867</v>
      </c>
      <c r="E29" t="s">
        <v>14991</v>
      </c>
      <c r="F29" s="403">
        <v>46514</v>
      </c>
      <c r="G29" s="403">
        <v>46518</v>
      </c>
      <c r="H29" t="s">
        <v>14880</v>
      </c>
      <c r="I29">
        <v>5</v>
      </c>
      <c r="J29" t="s">
        <v>16337</v>
      </c>
      <c r="K29" t="s">
        <v>17809</v>
      </c>
      <c r="L29">
        <v>3</v>
      </c>
    </row>
    <row r="30" spans="1:12" x14ac:dyDescent="0.3">
      <c r="A30" t="s">
        <v>17810</v>
      </c>
      <c r="B30" t="s">
        <v>15969</v>
      </c>
      <c r="C30" t="s">
        <v>17811</v>
      </c>
      <c r="D30" t="s">
        <v>152</v>
      </c>
      <c r="E30" t="s">
        <v>152</v>
      </c>
      <c r="F30" s="403">
        <v>46528</v>
      </c>
      <c r="G30" s="403">
        <v>46535</v>
      </c>
      <c r="H30" t="s">
        <v>14890</v>
      </c>
      <c r="I30">
        <v>8</v>
      </c>
      <c r="J30" t="s">
        <v>17812</v>
      </c>
      <c r="K30" t="s">
        <v>17813</v>
      </c>
      <c r="L30">
        <v>4</v>
      </c>
    </row>
    <row r="31" spans="1:12" x14ac:dyDescent="0.3">
      <c r="A31" t="s">
        <v>17814</v>
      </c>
      <c r="B31" t="s">
        <v>16004</v>
      </c>
      <c r="C31" t="s">
        <v>17815</v>
      </c>
      <c r="D31" t="s">
        <v>14990</v>
      </c>
      <c r="E31" t="s">
        <v>14990</v>
      </c>
      <c r="F31" s="403">
        <v>46542</v>
      </c>
      <c r="G31" s="403">
        <v>46549</v>
      </c>
      <c r="H31" t="s">
        <v>14890</v>
      </c>
      <c r="I31">
        <v>8</v>
      </c>
      <c r="J31" t="s">
        <v>16352</v>
      </c>
      <c r="K31" t="s">
        <v>17816</v>
      </c>
      <c r="L31">
        <v>3</v>
      </c>
    </row>
    <row r="32" spans="1:12" x14ac:dyDescent="0.3">
      <c r="A32" t="s">
        <v>17817</v>
      </c>
      <c r="B32" t="s">
        <v>15852</v>
      </c>
      <c r="C32" t="s">
        <v>17818</v>
      </c>
      <c r="D32" t="s">
        <v>1158</v>
      </c>
      <c r="E32" t="s">
        <v>1158</v>
      </c>
      <c r="F32" s="403">
        <v>46256</v>
      </c>
      <c r="G32" s="403">
        <v>46260</v>
      </c>
      <c r="H32" t="s">
        <v>14886</v>
      </c>
      <c r="I32">
        <v>5</v>
      </c>
      <c r="J32" t="s">
        <v>16160</v>
      </c>
      <c r="K32" t="s">
        <v>17819</v>
      </c>
      <c r="L32">
        <v>2</v>
      </c>
    </row>
    <row r="33" spans="1:12" x14ac:dyDescent="0.3">
      <c r="A33" t="s">
        <v>17820</v>
      </c>
      <c r="B33" t="s">
        <v>15892</v>
      </c>
      <c r="C33" t="s">
        <v>17821</v>
      </c>
      <c r="D33" t="s">
        <v>1159</v>
      </c>
      <c r="E33" t="s">
        <v>1159</v>
      </c>
      <c r="F33" s="403">
        <v>46298</v>
      </c>
      <c r="G33" s="403">
        <v>46302</v>
      </c>
      <c r="H33" t="s">
        <v>14890</v>
      </c>
      <c r="I33">
        <v>5</v>
      </c>
      <c r="J33" t="s">
        <v>16194</v>
      </c>
      <c r="K33" t="s">
        <v>17822</v>
      </c>
      <c r="L33">
        <v>3</v>
      </c>
    </row>
    <row r="36" spans="1:12" ht="18" x14ac:dyDescent="0.35">
      <c r="A36" s="378" t="s">
        <v>17823</v>
      </c>
      <c r="B36" s="378"/>
      <c r="C36" s="378"/>
      <c r="D36" s="378"/>
      <c r="E36" s="378"/>
      <c r="F36" s="378"/>
      <c r="G36" s="378"/>
      <c r="H36" s="378"/>
      <c r="I36" s="378"/>
      <c r="J36" s="378"/>
      <c r="K36" s="378"/>
      <c r="L36" s="84"/>
    </row>
    <row r="37" spans="1:12" x14ac:dyDescent="0.3">
      <c r="A37" s="379"/>
      <c r="B37" s="379"/>
      <c r="C37" s="379"/>
      <c r="D37" s="379"/>
      <c r="E37" s="379"/>
      <c r="F37" s="379"/>
      <c r="G37" s="379"/>
      <c r="H37" s="379"/>
      <c r="I37" s="379"/>
      <c r="J37" s="379"/>
      <c r="K37" s="379"/>
    </row>
    <row r="38" spans="1:12" x14ac:dyDescent="0.3">
      <c r="A38" s="379" t="s">
        <v>17824</v>
      </c>
      <c r="B38" s="379"/>
      <c r="C38" s="379"/>
      <c r="D38" s="379"/>
      <c r="E38" s="379"/>
      <c r="F38" s="379"/>
      <c r="G38" s="379"/>
      <c r="H38" s="379"/>
      <c r="I38" s="379"/>
      <c r="J38" s="379"/>
      <c r="K38" s="379"/>
      <c r="L38" s="381"/>
    </row>
    <row r="39" spans="1:12" x14ac:dyDescent="0.3">
      <c r="A39" s="379"/>
      <c r="B39" s="379"/>
      <c r="C39" s="379"/>
      <c r="D39" s="379"/>
      <c r="E39" s="379"/>
      <c r="F39" s="379"/>
      <c r="G39" s="379"/>
      <c r="H39" s="379"/>
      <c r="I39" s="379"/>
      <c r="J39" s="379"/>
      <c r="K39" s="379"/>
      <c r="L39" s="381"/>
    </row>
    <row r="40" spans="1:12" x14ac:dyDescent="0.3">
      <c r="A40" s="379" t="s">
        <v>17825</v>
      </c>
      <c r="B40" s="379"/>
      <c r="C40" s="379"/>
      <c r="D40" s="379"/>
      <c r="E40" s="379"/>
      <c r="F40" s="379"/>
      <c r="G40" s="379"/>
      <c r="H40" s="379"/>
      <c r="I40" s="379"/>
      <c r="J40" s="379"/>
      <c r="K40" s="379"/>
      <c r="L40" s="381"/>
    </row>
    <row r="41" spans="1:12" x14ac:dyDescent="0.3">
      <c r="A41" s="379"/>
      <c r="B41" s="379"/>
      <c r="C41" s="379"/>
      <c r="D41" s="379"/>
      <c r="E41" s="379"/>
      <c r="F41" s="379"/>
      <c r="G41" s="379"/>
      <c r="H41" s="379"/>
      <c r="I41" s="379"/>
      <c r="J41" s="379"/>
      <c r="K41" s="379"/>
      <c r="L41" s="381"/>
    </row>
    <row r="42" spans="1:12" x14ac:dyDescent="0.3">
      <c r="A42" s="379" t="s">
        <v>17826</v>
      </c>
      <c r="B42" s="379"/>
      <c r="C42" s="379"/>
      <c r="D42" s="379"/>
      <c r="E42" s="379"/>
      <c r="F42" s="379"/>
      <c r="G42" s="379"/>
      <c r="H42" s="379"/>
      <c r="I42" s="379"/>
      <c r="J42" s="379"/>
      <c r="K42" s="379"/>
      <c r="L42" s="381"/>
    </row>
    <row r="43" spans="1:12" x14ac:dyDescent="0.3">
      <c r="A43" s="379"/>
      <c r="B43" s="379"/>
      <c r="C43" s="379"/>
      <c r="D43" s="379"/>
      <c r="E43" s="379"/>
      <c r="F43" s="379"/>
      <c r="G43" s="379"/>
      <c r="H43" s="379"/>
      <c r="I43" s="379"/>
      <c r="J43" s="379"/>
      <c r="K43" s="379"/>
      <c r="L43" s="381"/>
    </row>
    <row r="44" spans="1:12" x14ac:dyDescent="0.3">
      <c r="A44" s="379" t="s">
        <v>17502</v>
      </c>
      <c r="B44" s="379"/>
      <c r="C44" s="379"/>
      <c r="D44" s="379"/>
      <c r="E44" s="379"/>
      <c r="F44" s="379"/>
      <c r="G44" s="379"/>
      <c r="H44" s="379"/>
      <c r="I44" s="379"/>
      <c r="J44" s="379"/>
      <c r="K44" s="379"/>
      <c r="L44" s="381"/>
    </row>
    <row r="45" spans="1:12" x14ac:dyDescent="0.3">
      <c r="L45" s="381"/>
    </row>
    <row r="46" spans="1:12" ht="18" x14ac:dyDescent="0.35">
      <c r="A46" s="84" t="s">
        <v>17827</v>
      </c>
      <c r="B46" s="84"/>
      <c r="C46" s="84"/>
      <c r="D46" s="84"/>
      <c r="E46" s="84"/>
      <c r="F46" s="84"/>
      <c r="G46" s="84"/>
      <c r="H46" s="84"/>
      <c r="I46" s="84"/>
      <c r="J46" s="84"/>
      <c r="K46" s="84"/>
      <c r="L46" s="381"/>
    </row>
    <row r="47" spans="1:12" x14ac:dyDescent="0.3">
      <c r="L47" s="381"/>
    </row>
    <row r="48" spans="1:12" ht="15.6" x14ac:dyDescent="0.3">
      <c r="A48" s="380" t="s">
        <v>17828</v>
      </c>
      <c r="B48" s="381"/>
      <c r="C48" s="381"/>
      <c r="D48" s="381"/>
      <c r="E48" s="381"/>
      <c r="F48" s="381"/>
      <c r="G48" s="381"/>
      <c r="H48" s="381"/>
      <c r="I48" s="381"/>
      <c r="J48" s="381"/>
      <c r="K48" s="381"/>
      <c r="L48" s="381"/>
    </row>
    <row r="49" spans="1:12" x14ac:dyDescent="0.3">
      <c r="A49" s="381" t="s">
        <v>17829</v>
      </c>
      <c r="B49" s="381"/>
      <c r="C49" s="381"/>
      <c r="D49" s="381"/>
      <c r="E49" s="381"/>
      <c r="F49" s="381"/>
      <c r="G49" s="381"/>
      <c r="H49" s="381"/>
      <c r="I49" s="381"/>
      <c r="J49" s="381"/>
      <c r="K49" s="381"/>
      <c r="L49" s="381"/>
    </row>
    <row r="50" spans="1:12" x14ac:dyDescent="0.3">
      <c r="A50" s="381" t="s">
        <v>17830</v>
      </c>
      <c r="B50" s="381"/>
      <c r="C50" s="381"/>
      <c r="D50" s="381"/>
      <c r="E50" s="381"/>
      <c r="F50" s="381"/>
      <c r="G50" s="381"/>
      <c r="H50" s="381"/>
      <c r="I50" s="381"/>
      <c r="J50" s="381"/>
      <c r="K50" s="381"/>
      <c r="L50" s="381"/>
    </row>
    <row r="51" spans="1:12" x14ac:dyDescent="0.3">
      <c r="A51" s="381"/>
      <c r="B51" s="381"/>
      <c r="C51" s="381"/>
      <c r="D51" s="381"/>
      <c r="E51" s="381"/>
      <c r="F51" s="381"/>
      <c r="G51" s="381"/>
      <c r="H51" s="381"/>
      <c r="I51" s="381"/>
      <c r="J51" s="381"/>
      <c r="K51" s="381"/>
      <c r="L51" s="381"/>
    </row>
    <row r="52" spans="1:12" x14ac:dyDescent="0.3">
      <c r="A52" s="381" t="s">
        <v>17831</v>
      </c>
      <c r="B52" s="381"/>
      <c r="C52" s="381"/>
      <c r="D52" s="381"/>
      <c r="E52" s="381"/>
      <c r="F52" s="381"/>
      <c r="G52" s="381"/>
      <c r="H52" s="381"/>
      <c r="I52" s="381"/>
      <c r="J52" s="381"/>
      <c r="K52" s="381"/>
      <c r="L52" s="381"/>
    </row>
    <row r="53" spans="1:12" x14ac:dyDescent="0.3">
      <c r="A53" s="381" t="s">
        <v>17832</v>
      </c>
      <c r="B53" s="381"/>
      <c r="C53" s="381"/>
      <c r="D53" s="381"/>
      <c r="E53" s="381"/>
      <c r="F53" s="381"/>
      <c r="G53" s="381"/>
      <c r="H53" s="381"/>
      <c r="I53" s="381"/>
      <c r="J53" s="381"/>
      <c r="K53" s="381"/>
      <c r="L53" s="381"/>
    </row>
    <row r="54" spans="1:12" x14ac:dyDescent="0.3">
      <c r="A54" s="381" t="s">
        <v>17833</v>
      </c>
      <c r="B54" s="381"/>
      <c r="C54" s="381"/>
      <c r="D54" s="381"/>
      <c r="E54" s="381"/>
      <c r="F54" s="381"/>
      <c r="G54" s="381"/>
      <c r="H54" s="381"/>
      <c r="I54" s="381"/>
      <c r="J54" s="381"/>
      <c r="K54" s="381"/>
      <c r="L54" s="381"/>
    </row>
    <row r="55" spans="1:12" x14ac:dyDescent="0.3">
      <c r="A55" s="381" t="s">
        <v>17834</v>
      </c>
      <c r="B55" s="381"/>
      <c r="C55" s="381"/>
      <c r="D55" s="381"/>
      <c r="E55" s="381"/>
      <c r="F55" s="381"/>
      <c r="G55" s="381"/>
      <c r="H55" s="381"/>
      <c r="I55" s="381"/>
      <c r="J55" s="381"/>
      <c r="K55" s="381"/>
      <c r="L55" s="381"/>
    </row>
    <row r="56" spans="1:12" x14ac:dyDescent="0.3">
      <c r="A56" s="381" t="s">
        <v>17835</v>
      </c>
      <c r="B56" s="381"/>
      <c r="C56" s="381"/>
      <c r="D56" s="381"/>
      <c r="E56" s="381"/>
      <c r="F56" s="381"/>
      <c r="G56" s="381"/>
      <c r="H56" s="381"/>
      <c r="I56" s="381"/>
      <c r="J56" s="381"/>
      <c r="K56" s="381"/>
      <c r="L56" s="381"/>
    </row>
    <row r="57" spans="1:12" x14ac:dyDescent="0.3">
      <c r="A57" s="381"/>
      <c r="B57" s="381"/>
      <c r="C57" s="381"/>
      <c r="D57" s="381"/>
      <c r="E57" s="381"/>
      <c r="F57" s="381"/>
      <c r="G57" s="381"/>
      <c r="H57" s="381"/>
      <c r="I57" s="381"/>
      <c r="J57" s="381"/>
      <c r="K57" s="381"/>
      <c r="L57" s="381"/>
    </row>
    <row r="58" spans="1:12" ht="15.6" x14ac:dyDescent="0.3">
      <c r="A58" s="380" t="s">
        <v>17836</v>
      </c>
      <c r="B58" s="381"/>
      <c r="C58" s="381"/>
      <c r="D58" s="381"/>
      <c r="E58" s="381"/>
      <c r="F58" s="381"/>
      <c r="G58" s="381"/>
      <c r="H58" s="381"/>
      <c r="I58" s="381"/>
      <c r="J58" s="381"/>
      <c r="K58" s="381"/>
      <c r="L58" s="381"/>
    </row>
    <row r="59" spans="1:12" x14ac:dyDescent="0.3">
      <c r="A59" s="381"/>
      <c r="B59" s="381"/>
      <c r="C59" s="381"/>
      <c r="D59" s="381"/>
      <c r="E59" s="381"/>
      <c r="F59" s="381"/>
      <c r="G59" s="381"/>
      <c r="H59" s="381"/>
      <c r="I59" s="381"/>
      <c r="J59" s="381"/>
      <c r="K59" s="381"/>
      <c r="L59" s="381"/>
    </row>
    <row r="60" spans="1:12" x14ac:dyDescent="0.3">
      <c r="A60" s="382" t="s">
        <v>14731</v>
      </c>
      <c r="B60" s="382" t="s">
        <v>16381</v>
      </c>
      <c r="C60" s="382" t="s">
        <v>14474</v>
      </c>
      <c r="D60" s="381"/>
      <c r="E60" s="381"/>
      <c r="F60" s="381"/>
      <c r="G60" s="381"/>
      <c r="H60" s="381"/>
      <c r="I60" s="381"/>
      <c r="J60" s="381"/>
      <c r="K60" s="381"/>
      <c r="L60" s="381"/>
    </row>
    <row r="61" spans="1:12" x14ac:dyDescent="0.3">
      <c r="A61" s="381">
        <v>5</v>
      </c>
      <c r="B61" s="381" t="s">
        <v>14588</v>
      </c>
      <c r="C61" s="381" t="s">
        <v>17837</v>
      </c>
      <c r="D61" s="381"/>
      <c r="E61" s="381"/>
      <c r="F61" s="381"/>
      <c r="G61" s="381"/>
      <c r="H61" s="381"/>
      <c r="I61" s="381"/>
      <c r="J61" s="381"/>
      <c r="K61" s="381"/>
      <c r="L61" s="381"/>
    </row>
    <row r="62" spans="1:12" x14ac:dyDescent="0.3">
      <c r="A62" s="381">
        <v>4</v>
      </c>
      <c r="B62" s="381" t="s">
        <v>14697</v>
      </c>
      <c r="C62" s="381" t="s">
        <v>17838</v>
      </c>
      <c r="D62" s="381"/>
      <c r="E62" s="381"/>
      <c r="F62" s="381"/>
      <c r="G62" s="381"/>
      <c r="H62" s="381"/>
      <c r="I62" s="381"/>
      <c r="J62" s="381"/>
      <c r="K62" s="381"/>
      <c r="L62" s="381"/>
    </row>
    <row r="63" spans="1:12" x14ac:dyDescent="0.3">
      <c r="A63" s="381">
        <v>3</v>
      </c>
      <c r="B63" s="381" t="s">
        <v>1125</v>
      </c>
      <c r="C63" s="381" t="s">
        <v>17839</v>
      </c>
      <c r="D63" s="381"/>
      <c r="E63" s="381"/>
      <c r="F63" s="381"/>
      <c r="G63" s="381"/>
      <c r="H63" s="381"/>
      <c r="I63" s="381"/>
      <c r="J63" s="381"/>
      <c r="K63" s="381"/>
      <c r="L63" s="381"/>
    </row>
    <row r="64" spans="1:12" x14ac:dyDescent="0.3">
      <c r="A64" s="381">
        <v>2</v>
      </c>
      <c r="B64" s="381" t="s">
        <v>14689</v>
      </c>
      <c r="C64" s="381" t="s">
        <v>17840</v>
      </c>
      <c r="D64" s="381"/>
      <c r="E64" s="381"/>
      <c r="F64" s="381"/>
      <c r="G64" s="381"/>
      <c r="H64" s="381"/>
      <c r="I64" s="381"/>
      <c r="J64" s="381"/>
      <c r="K64" s="381"/>
      <c r="L64" s="381"/>
    </row>
    <row r="65" spans="1:12" x14ac:dyDescent="0.3">
      <c r="A65" s="381">
        <v>1</v>
      </c>
      <c r="B65" s="381" t="s">
        <v>14609</v>
      </c>
      <c r="C65" s="381" t="s">
        <v>17841</v>
      </c>
      <c r="D65" s="381"/>
      <c r="E65" s="381"/>
      <c r="F65" s="381"/>
      <c r="G65" s="381"/>
      <c r="H65" s="381"/>
      <c r="I65" s="381"/>
      <c r="J65" s="381"/>
      <c r="K65" s="381"/>
      <c r="L65" s="381"/>
    </row>
    <row r="66" spans="1:12" x14ac:dyDescent="0.3">
      <c r="A66" s="381"/>
      <c r="B66" s="381"/>
      <c r="C66" s="381"/>
      <c r="D66" s="381"/>
      <c r="E66" s="381"/>
      <c r="F66" s="381"/>
      <c r="G66" s="381"/>
      <c r="H66" s="381"/>
      <c r="I66" s="381"/>
      <c r="J66" s="381"/>
      <c r="K66" s="381"/>
      <c r="L66" s="381"/>
    </row>
    <row r="67" spans="1:12" ht="15.6" x14ac:dyDescent="0.3">
      <c r="A67" s="380" t="s">
        <v>17629</v>
      </c>
      <c r="B67" s="381"/>
      <c r="C67" s="381"/>
      <c r="D67" s="381"/>
      <c r="E67" s="381"/>
      <c r="F67" s="381"/>
      <c r="G67" s="381"/>
      <c r="H67" s="381"/>
      <c r="I67" s="381"/>
      <c r="J67" s="381"/>
      <c r="K67" s="381"/>
      <c r="L67" s="381"/>
    </row>
    <row r="68" spans="1:12" x14ac:dyDescent="0.3">
      <c r="A68" s="381"/>
      <c r="B68" s="381"/>
      <c r="C68" s="381"/>
      <c r="D68" s="381"/>
      <c r="E68" s="381"/>
      <c r="F68" s="381"/>
      <c r="G68" s="381"/>
      <c r="H68" s="381"/>
      <c r="I68" s="381"/>
      <c r="J68" s="381"/>
      <c r="K68" s="381"/>
      <c r="L68" s="381"/>
    </row>
    <row r="69" spans="1:12" x14ac:dyDescent="0.3">
      <c r="A69" s="381" t="s">
        <v>17842</v>
      </c>
      <c r="B69" s="381"/>
      <c r="C69" s="381"/>
      <c r="D69" s="381"/>
      <c r="E69" s="381"/>
      <c r="F69" s="381"/>
      <c r="G69" s="381"/>
      <c r="H69" s="381"/>
      <c r="I69" s="381"/>
      <c r="J69" s="381"/>
      <c r="K69" s="381"/>
      <c r="L69" s="381"/>
    </row>
    <row r="70" spans="1:12" x14ac:dyDescent="0.3">
      <c r="A70" s="381" t="s">
        <v>17843</v>
      </c>
      <c r="B70" s="381"/>
      <c r="C70" s="381"/>
      <c r="D70" s="381"/>
      <c r="E70" s="381"/>
      <c r="F70" s="381"/>
      <c r="G70" s="381"/>
      <c r="H70" s="381"/>
      <c r="I70" s="381"/>
      <c r="J70" s="381"/>
      <c r="K70" s="381"/>
      <c r="L70" s="381"/>
    </row>
    <row r="71" spans="1:12" x14ac:dyDescent="0.3">
      <c r="A71" s="381" t="s">
        <v>17844</v>
      </c>
      <c r="B71" s="381"/>
      <c r="C71" s="381"/>
      <c r="D71" s="381"/>
      <c r="E71" s="381"/>
      <c r="F71" s="381"/>
      <c r="G71" s="381"/>
      <c r="H71" s="381"/>
      <c r="I71" s="381"/>
      <c r="J71" s="381"/>
      <c r="K71" s="381"/>
      <c r="L71" s="381"/>
    </row>
    <row r="72" spans="1:12" x14ac:dyDescent="0.3">
      <c r="A72" s="381" t="s">
        <v>17845</v>
      </c>
      <c r="B72" s="381"/>
      <c r="C72" s="381"/>
      <c r="D72" s="381"/>
      <c r="E72" s="381"/>
      <c r="F72" s="381"/>
      <c r="G72" s="381"/>
      <c r="H72" s="381"/>
      <c r="I72" s="381"/>
      <c r="J72" s="381"/>
      <c r="K72" s="381"/>
      <c r="L72" s="381"/>
    </row>
    <row r="73" spans="1:12" x14ac:dyDescent="0.3">
      <c r="A73" s="381"/>
      <c r="B73" s="381"/>
      <c r="C73" s="381"/>
      <c r="D73" s="381"/>
      <c r="E73" s="381"/>
      <c r="F73" s="381"/>
      <c r="G73" s="381"/>
      <c r="H73" s="381"/>
      <c r="I73" s="381"/>
      <c r="J73" s="381"/>
      <c r="K73" s="381"/>
      <c r="L73" s="381"/>
    </row>
    <row r="74" spans="1:12" x14ac:dyDescent="0.3">
      <c r="A74" s="381" t="s">
        <v>17533</v>
      </c>
      <c r="B74" s="381"/>
      <c r="C74" s="381"/>
      <c r="D74" s="381"/>
      <c r="E74" s="381"/>
      <c r="F74" s="381"/>
      <c r="G74" s="381"/>
      <c r="H74" s="381"/>
      <c r="I74" s="381"/>
      <c r="J74" s="381"/>
      <c r="K74" s="381"/>
      <c r="L74" s="381"/>
    </row>
    <row r="75" spans="1:12" x14ac:dyDescent="0.3">
      <c r="A75" s="381" t="s">
        <v>17846</v>
      </c>
      <c r="B75" s="381"/>
      <c r="C75" s="381"/>
      <c r="D75" s="381"/>
      <c r="E75" s="381"/>
      <c r="F75" s="381"/>
      <c r="G75" s="381"/>
      <c r="H75" s="381"/>
      <c r="I75" s="381"/>
      <c r="J75" s="381"/>
      <c r="K75" s="381"/>
      <c r="L75" s="381"/>
    </row>
    <row r="76" spans="1:12" x14ac:dyDescent="0.3">
      <c r="A76" s="381" t="s">
        <v>17847</v>
      </c>
      <c r="B76" s="381"/>
      <c r="C76" s="381"/>
      <c r="D76" s="381"/>
      <c r="E76" s="381"/>
      <c r="F76" s="381"/>
      <c r="G76" s="381"/>
      <c r="H76" s="381"/>
      <c r="I76" s="381"/>
      <c r="J76" s="381"/>
      <c r="K76" s="381"/>
      <c r="L76" s="381"/>
    </row>
    <row r="77" spans="1:12" x14ac:dyDescent="0.3">
      <c r="A77" s="381" t="s">
        <v>17848</v>
      </c>
      <c r="B77" s="381"/>
      <c r="C77" s="381"/>
      <c r="D77" s="381"/>
      <c r="E77" s="381"/>
      <c r="F77" s="381"/>
      <c r="G77" s="381"/>
      <c r="H77" s="381"/>
      <c r="I77" s="381"/>
      <c r="J77" s="381"/>
      <c r="K77" s="381"/>
      <c r="L77" s="381"/>
    </row>
    <row r="78" spans="1:12" x14ac:dyDescent="0.3">
      <c r="A78" s="381" t="s">
        <v>17849</v>
      </c>
      <c r="B78" s="381"/>
      <c r="C78" s="381"/>
      <c r="D78" s="381"/>
      <c r="E78" s="381"/>
      <c r="F78" s="381"/>
      <c r="G78" s="381"/>
      <c r="H78" s="381"/>
      <c r="I78" s="381"/>
      <c r="J78" s="381"/>
      <c r="K78" s="381"/>
      <c r="L78" s="381"/>
    </row>
    <row r="79" spans="1:12" x14ac:dyDescent="0.3">
      <c r="A79" s="381"/>
      <c r="B79" s="381"/>
      <c r="C79" s="381"/>
      <c r="D79" s="381"/>
      <c r="E79" s="381"/>
      <c r="F79" s="381"/>
      <c r="G79" s="381"/>
      <c r="H79" s="381"/>
      <c r="I79" s="381"/>
      <c r="J79" s="381"/>
      <c r="K79" s="381"/>
      <c r="L79" s="381"/>
    </row>
    <row r="80" spans="1:12" x14ac:dyDescent="0.3">
      <c r="A80" s="382" t="s">
        <v>17850</v>
      </c>
      <c r="B80" s="381"/>
      <c r="C80" s="381"/>
      <c r="D80" s="381"/>
      <c r="E80" s="381"/>
      <c r="F80" s="381"/>
      <c r="G80" s="381"/>
      <c r="H80" s="381"/>
      <c r="I80" s="381"/>
      <c r="J80" s="381"/>
      <c r="K80" s="381"/>
      <c r="L80" s="381"/>
    </row>
    <row r="81" spans="1:12" x14ac:dyDescent="0.3">
      <c r="A81" s="381" t="s">
        <v>17851</v>
      </c>
      <c r="B81" s="381"/>
      <c r="C81" s="381"/>
      <c r="D81" s="381"/>
      <c r="E81" s="381"/>
      <c r="F81" s="381"/>
      <c r="G81" s="381"/>
      <c r="H81" s="381"/>
      <c r="I81" s="381"/>
      <c r="J81" s="381"/>
      <c r="K81" s="381"/>
      <c r="L81" s="381"/>
    </row>
    <row r="82" spans="1:12" x14ac:dyDescent="0.3">
      <c r="A82" s="381" t="s">
        <v>17852</v>
      </c>
      <c r="B82" s="381"/>
      <c r="C82" s="381"/>
      <c r="D82" s="381"/>
      <c r="E82" s="381"/>
      <c r="F82" s="381"/>
      <c r="G82" s="381"/>
      <c r="H82" s="381"/>
      <c r="I82" s="381"/>
      <c r="J82" s="381"/>
      <c r="K82" s="381"/>
      <c r="L82" s="381"/>
    </row>
    <row r="83" spans="1:12" x14ac:dyDescent="0.3">
      <c r="A83" s="381" t="s">
        <v>17853</v>
      </c>
      <c r="B83" s="381"/>
      <c r="C83" s="381"/>
      <c r="D83" s="381"/>
      <c r="E83" s="381"/>
      <c r="F83" s="381"/>
      <c r="G83" s="381"/>
      <c r="H83" s="381"/>
      <c r="I83" s="381"/>
      <c r="J83" s="381"/>
      <c r="K83" s="381"/>
    </row>
    <row r="84" spans="1:12" x14ac:dyDescent="0.3">
      <c r="A84" s="381"/>
      <c r="B84" s="381"/>
      <c r="C84" s="381"/>
      <c r="D84" s="381"/>
      <c r="E84" s="381"/>
      <c r="F84" s="381"/>
      <c r="G84" s="381"/>
      <c r="H84" s="381"/>
      <c r="I84" s="381"/>
      <c r="J84" s="381"/>
      <c r="K84" s="381"/>
    </row>
    <row r="85" spans="1:12" x14ac:dyDescent="0.3">
      <c r="A85" s="458" t="s">
        <v>17541</v>
      </c>
      <c r="B85" s="381"/>
      <c r="C85" s="381"/>
      <c r="D85" s="381"/>
      <c r="E85" s="381"/>
      <c r="F85" s="381"/>
      <c r="G85" s="381"/>
      <c r="H85" s="381"/>
      <c r="I85" s="381"/>
      <c r="J85" s="381"/>
      <c r="K85" s="381"/>
    </row>
    <row r="86" spans="1:12" x14ac:dyDescent="0.3">
      <c r="A86" s="381"/>
      <c r="B86" s="381"/>
      <c r="C86" s="381"/>
      <c r="D86" s="381"/>
      <c r="E86" s="381"/>
      <c r="F86" s="381"/>
      <c r="G86" s="381"/>
      <c r="H86" s="381"/>
      <c r="I86" s="381"/>
      <c r="J86" s="381"/>
      <c r="K86" s="381"/>
    </row>
    <row r="87" spans="1:12" x14ac:dyDescent="0.3">
      <c r="A87" s="381" t="s">
        <v>17854</v>
      </c>
      <c r="B87" s="381"/>
      <c r="C87" s="381"/>
      <c r="D87" s="381"/>
      <c r="E87" s="381"/>
      <c r="F87" s="381"/>
      <c r="G87" s="381"/>
      <c r="H87" s="381"/>
      <c r="I87" s="381"/>
      <c r="J87" s="381"/>
      <c r="K87" s="381"/>
    </row>
    <row r="88" spans="1:12" x14ac:dyDescent="0.3">
      <c r="A88" s="381" t="s">
        <v>17855</v>
      </c>
      <c r="B88" s="381"/>
      <c r="C88" s="381"/>
      <c r="D88" s="381"/>
      <c r="E88" s="381"/>
      <c r="F88" s="381"/>
      <c r="G88" s="381"/>
      <c r="H88" s="381"/>
      <c r="I88" s="381"/>
      <c r="J88" s="381"/>
      <c r="K88" s="381"/>
    </row>
    <row r="89" spans="1:12" x14ac:dyDescent="0.3">
      <c r="A89" s="381" t="s">
        <v>17856</v>
      </c>
      <c r="B89" s="381"/>
      <c r="C89" s="381"/>
      <c r="D89" s="381"/>
      <c r="E89" s="381"/>
      <c r="F89" s="381"/>
      <c r="G89" s="381"/>
      <c r="H89" s="381"/>
      <c r="I89" s="381"/>
      <c r="J89" s="381"/>
      <c r="K89" s="381"/>
    </row>
    <row r="90" spans="1:12" x14ac:dyDescent="0.3">
      <c r="A90" s="381" t="s">
        <v>17857</v>
      </c>
      <c r="B90" s="381"/>
      <c r="C90" s="381"/>
      <c r="D90" s="381"/>
      <c r="E90" s="381"/>
      <c r="F90" s="381"/>
      <c r="G90" s="381"/>
      <c r="H90" s="381"/>
      <c r="I90" s="381"/>
      <c r="J90" s="381"/>
      <c r="K90" s="381"/>
    </row>
    <row r="91" spans="1:12" x14ac:dyDescent="0.3">
      <c r="A91" s="381" t="s">
        <v>17858</v>
      </c>
      <c r="B91" s="381"/>
      <c r="C91" s="381"/>
      <c r="D91" s="381"/>
      <c r="E91" s="381"/>
      <c r="F91" s="381"/>
      <c r="G91" s="381"/>
      <c r="H91" s="381"/>
      <c r="I91" s="381"/>
      <c r="J91" s="381"/>
      <c r="K91" s="381"/>
    </row>
    <row r="92" spans="1:12" x14ac:dyDescent="0.3">
      <c r="A92" s="381" t="s">
        <v>17859</v>
      </c>
      <c r="B92" s="381"/>
      <c r="C92" s="381"/>
      <c r="D92" s="381"/>
      <c r="E92" s="381"/>
      <c r="F92" s="381"/>
      <c r="G92" s="381"/>
      <c r="H92" s="381"/>
      <c r="I92" s="381"/>
      <c r="J92" s="381"/>
      <c r="K92" s="381"/>
    </row>
  </sheetData>
  <mergeCells count="2">
    <mergeCell ref="D2:H2"/>
    <mergeCell ref="A36:K36"/>
  </mergeCells>
  <conditionalFormatting sqref="A4:L35 A36 A37:K45 A46">
    <cfRule type="expression" dxfId="0" priority="1">
      <formula>OR(AND($C$1&lt;&gt;"All Time",IF($C$1="Today",OR($F4&gt;TODAY(),$G4&lt;TODAY()),IF($C$1="This Week",OR($F4&gt;TODAY()+7,$G4&lt;TODAY()),IF($C$1="This Month",OR($F4&gt;TODAY()+30,$G4&lt;TODAY()),OR($F4&gt;DATE(YEAR(TODAY()),12,31),$G4&lt;DATE(YEAR(TODAY()),1,1)))))),AND($E$1&lt;&gt;"All",$E4&lt;&gt;$E$1),AND($G$1&lt;&gt;"All",$H4&lt;&gt;$G$1),AND($I$1&lt;&gt;"All",ISERROR(SEARCH($I$1,$K4))))</formula>
    </cfRule>
  </conditionalFormatting>
  <dataValidations count="4">
    <dataValidation type="list" allowBlank="1" showInputMessage="1" showErrorMessage="1" sqref="I1" xr:uid="{062C1DED-1272-49CA-A24A-AC944171EAB2}">
      <formula1>"All,Critical,High,Medium,Low"</formula1>
    </dataValidation>
    <dataValidation type="list" allowBlank="1" showInputMessage="1" showErrorMessage="1" sqref="G1" xr:uid="{58E2AE19-36E8-43D1-8639-BEB98AC9FEDA}">
      <formula1>"All,Annual Leave,Personal Leave,Sick Leave,Conference"</formula1>
    </dataValidation>
    <dataValidation type="list" allowBlank="1" showInputMessage="1" showErrorMessage="1" sqref="E1" xr:uid="{FB20A36C-F384-4D31-890B-4F73081EE6D8}">
      <formula1>"All,QA,Finance,IT,HR,CRM,Manufacturing,Security,Legal"</formula1>
    </dataValidation>
    <dataValidation type="list" allowBlank="1" showInputMessage="1" showErrorMessage="1" sqref="C1" xr:uid="{2654B973-4BDF-48C5-BEC2-4B8101BCFAD0}">
      <formula1>"All Time,Today,This Week,This Month,This Year"</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8D10-99F9-45F5-97B7-52E14C54AC48}">
  <sheetPr>
    <tabColor theme="5"/>
  </sheetPr>
  <dimension ref="A1:G105"/>
  <sheetViews>
    <sheetView workbookViewId="0">
      <selection activeCell="H16" sqref="H16"/>
    </sheetView>
  </sheetViews>
  <sheetFormatPr defaultRowHeight="14.4" x14ac:dyDescent="0.3"/>
  <cols>
    <col min="1" max="1" width="25.109375" bestFit="1" customWidth="1"/>
    <col min="2" max="2" width="13.5546875" bestFit="1" customWidth="1"/>
    <col min="3" max="3" width="12.21875" bestFit="1" customWidth="1"/>
    <col min="4" max="4" width="9.109375" bestFit="1" customWidth="1"/>
    <col min="5" max="5" width="15.33203125" bestFit="1" customWidth="1"/>
    <col min="6" max="6" width="9.33203125" bestFit="1" customWidth="1"/>
    <col min="7" max="7" width="31.5546875" bestFit="1" customWidth="1"/>
  </cols>
  <sheetData>
    <row r="1" spans="1:7" x14ac:dyDescent="0.3">
      <c r="A1" s="478" t="s">
        <v>1542</v>
      </c>
      <c r="B1" s="478" t="s">
        <v>15432</v>
      </c>
      <c r="C1" s="478" t="s">
        <v>1140</v>
      </c>
      <c r="D1" s="478" t="s">
        <v>1068</v>
      </c>
      <c r="E1" s="478" t="s">
        <v>18900</v>
      </c>
      <c r="F1" s="478" t="s">
        <v>18901</v>
      </c>
      <c r="G1" s="478" t="s">
        <v>1245</v>
      </c>
    </row>
    <row r="2" spans="1:7" x14ac:dyDescent="0.3">
      <c r="A2" t="s">
        <v>18670</v>
      </c>
      <c r="B2" t="s">
        <v>1158</v>
      </c>
      <c r="C2" t="s">
        <v>15446</v>
      </c>
      <c r="D2" t="s">
        <v>18821</v>
      </c>
      <c r="E2" s="476">
        <v>46201.99</v>
      </c>
      <c r="F2" s="477">
        <v>0.98499999999999999</v>
      </c>
      <c r="G2" t="s">
        <v>18902</v>
      </c>
    </row>
    <row r="3" spans="1:7" x14ac:dyDescent="0.3">
      <c r="A3" t="s">
        <v>15563</v>
      </c>
      <c r="B3" t="s">
        <v>14994</v>
      </c>
      <c r="C3" t="s">
        <v>15446</v>
      </c>
      <c r="D3" t="s">
        <v>18821</v>
      </c>
      <c r="E3" s="476">
        <v>46201.99</v>
      </c>
      <c r="F3" s="477">
        <v>0.99099999999999999</v>
      </c>
      <c r="G3" t="s">
        <v>18903</v>
      </c>
    </row>
    <row r="4" spans="1:7" x14ac:dyDescent="0.3">
      <c r="A4" t="s">
        <v>15664</v>
      </c>
      <c r="B4" t="s">
        <v>14991</v>
      </c>
      <c r="C4" t="s">
        <v>15446</v>
      </c>
      <c r="D4" t="s">
        <v>18821</v>
      </c>
      <c r="E4" s="476">
        <v>46201.99</v>
      </c>
      <c r="F4" s="477">
        <v>0.998</v>
      </c>
      <c r="G4" t="s">
        <v>18904</v>
      </c>
    </row>
    <row r="5" spans="1:7" x14ac:dyDescent="0.3">
      <c r="A5" t="s">
        <v>15631</v>
      </c>
      <c r="B5" t="s">
        <v>14992</v>
      </c>
      <c r="C5" t="s">
        <v>15446</v>
      </c>
      <c r="D5" t="s">
        <v>18821</v>
      </c>
      <c r="E5" s="476">
        <v>46201.99</v>
      </c>
      <c r="F5" s="477">
        <v>0.97199999999999998</v>
      </c>
      <c r="G5" t="s">
        <v>18905</v>
      </c>
    </row>
    <row r="6" spans="1:7" x14ac:dyDescent="0.3">
      <c r="A6" t="s">
        <v>15587</v>
      </c>
      <c r="B6" t="s">
        <v>14993</v>
      </c>
      <c r="C6" t="s">
        <v>15446</v>
      </c>
      <c r="D6" t="s">
        <v>18749</v>
      </c>
      <c r="E6" s="476">
        <v>46201.99</v>
      </c>
      <c r="F6" s="477">
        <v>0.99199999999999999</v>
      </c>
      <c r="G6" t="s">
        <v>18906</v>
      </c>
    </row>
    <row r="7" spans="1:7" x14ac:dyDescent="0.3">
      <c r="A7" t="s">
        <v>15732</v>
      </c>
      <c r="B7" t="s">
        <v>152</v>
      </c>
      <c r="C7" t="s">
        <v>15446</v>
      </c>
      <c r="D7" t="s">
        <v>18749</v>
      </c>
      <c r="E7" s="476">
        <v>46201.99</v>
      </c>
      <c r="F7" s="477">
        <v>0.995</v>
      </c>
      <c r="G7" t="s">
        <v>18907</v>
      </c>
    </row>
    <row r="8" spans="1:7" x14ac:dyDescent="0.3">
      <c r="A8" t="s">
        <v>15744</v>
      </c>
      <c r="B8" t="s">
        <v>152</v>
      </c>
      <c r="C8" t="s">
        <v>15446</v>
      </c>
      <c r="D8" t="s">
        <v>18749</v>
      </c>
      <c r="E8" s="476">
        <v>46201.99</v>
      </c>
      <c r="F8" s="477">
        <v>0.999</v>
      </c>
      <c r="G8" t="s">
        <v>18908</v>
      </c>
    </row>
    <row r="9" spans="1:7" x14ac:dyDescent="0.3">
      <c r="A9" t="s">
        <v>15467</v>
      </c>
      <c r="B9" t="s">
        <v>1158</v>
      </c>
      <c r="C9" t="s">
        <v>15446</v>
      </c>
      <c r="D9" t="s">
        <v>18749</v>
      </c>
      <c r="E9" s="476">
        <v>46201.99</v>
      </c>
      <c r="F9" s="477">
        <v>0.99299999999999999</v>
      </c>
      <c r="G9" t="s">
        <v>18909</v>
      </c>
    </row>
    <row r="10" spans="1:7" x14ac:dyDescent="0.3">
      <c r="A10" t="s">
        <v>15747</v>
      </c>
      <c r="B10" t="s">
        <v>152</v>
      </c>
      <c r="C10" t="s">
        <v>15446</v>
      </c>
      <c r="D10" t="s">
        <v>18749</v>
      </c>
      <c r="E10" s="476">
        <v>46201.99</v>
      </c>
      <c r="F10" s="477">
        <v>0.99399999999999999</v>
      </c>
      <c r="G10" t="s">
        <v>18910</v>
      </c>
    </row>
    <row r="11" spans="1:7" x14ac:dyDescent="0.3">
      <c r="A11" t="s">
        <v>15458</v>
      </c>
      <c r="B11" t="s">
        <v>1158</v>
      </c>
      <c r="C11" t="s">
        <v>15446</v>
      </c>
      <c r="D11" t="s">
        <v>18723</v>
      </c>
      <c r="E11" s="476">
        <v>46201.99</v>
      </c>
      <c r="F11" s="477">
        <v>0.997</v>
      </c>
    </row>
    <row r="12" spans="1:7" x14ac:dyDescent="0.3">
      <c r="A12" t="s">
        <v>15560</v>
      </c>
      <c r="B12" t="s">
        <v>14994</v>
      </c>
      <c r="C12" t="s">
        <v>15446</v>
      </c>
      <c r="D12" t="s">
        <v>18723</v>
      </c>
      <c r="E12" s="476">
        <v>46201.99</v>
      </c>
      <c r="F12" s="477">
        <v>0.998</v>
      </c>
    </row>
    <row r="13" spans="1:7" x14ac:dyDescent="0.3">
      <c r="A13" t="s">
        <v>15673</v>
      </c>
      <c r="B13" t="s">
        <v>1159</v>
      </c>
      <c r="C13" t="s">
        <v>15446</v>
      </c>
      <c r="D13" t="s">
        <v>18723</v>
      </c>
      <c r="E13" s="476">
        <v>46201.99</v>
      </c>
      <c r="F13" s="477">
        <v>0.996</v>
      </c>
    </row>
    <row r="14" spans="1:7" x14ac:dyDescent="0.3">
      <c r="A14" t="s">
        <v>15676</v>
      </c>
      <c r="B14" t="s">
        <v>1159</v>
      </c>
      <c r="C14" t="s">
        <v>15446</v>
      </c>
      <c r="D14" t="s">
        <v>18723</v>
      </c>
      <c r="E14" s="476">
        <v>46201.99</v>
      </c>
      <c r="F14" s="477">
        <v>0.99399999999999999</v>
      </c>
    </row>
    <row r="15" spans="1:7" x14ac:dyDescent="0.3">
      <c r="A15" t="s">
        <v>15608</v>
      </c>
      <c r="B15" t="s">
        <v>14993</v>
      </c>
      <c r="C15" t="s">
        <v>15446</v>
      </c>
      <c r="D15" t="s">
        <v>18723</v>
      </c>
      <c r="E15" s="476">
        <v>46201.99</v>
      </c>
      <c r="F15" s="477">
        <v>0.995</v>
      </c>
    </row>
    <row r="16" spans="1:7" x14ac:dyDescent="0.3">
      <c r="A16" t="s">
        <v>15596</v>
      </c>
      <c r="B16" t="s">
        <v>14993</v>
      </c>
      <c r="C16" t="s">
        <v>15446</v>
      </c>
      <c r="D16" t="s">
        <v>18723</v>
      </c>
      <c r="E16" s="476">
        <v>46201.99</v>
      </c>
      <c r="F16" s="477">
        <v>0.997</v>
      </c>
    </row>
    <row r="17" spans="1:7" x14ac:dyDescent="0.3">
      <c r="A17" t="s">
        <v>15652</v>
      </c>
      <c r="B17" t="s">
        <v>14991</v>
      </c>
      <c r="C17" t="s">
        <v>15446</v>
      </c>
      <c r="D17" t="s">
        <v>18723</v>
      </c>
      <c r="E17" s="476">
        <v>46201.99</v>
      </c>
      <c r="F17" s="477">
        <v>0.999</v>
      </c>
    </row>
    <row r="18" spans="1:7" x14ac:dyDescent="0.3">
      <c r="A18" t="s">
        <v>15622</v>
      </c>
      <c r="B18" t="s">
        <v>14992</v>
      </c>
      <c r="C18" t="s">
        <v>15446</v>
      </c>
      <c r="D18" t="s">
        <v>18723</v>
      </c>
      <c r="E18" s="476">
        <v>46201.99</v>
      </c>
      <c r="F18" s="477">
        <v>0.99299999999999999</v>
      </c>
    </row>
    <row r="19" spans="1:7" x14ac:dyDescent="0.3">
      <c r="A19" t="s">
        <v>15449</v>
      </c>
      <c r="B19" t="s">
        <v>1158</v>
      </c>
      <c r="C19" t="s">
        <v>15446</v>
      </c>
      <c r="D19" t="s">
        <v>18723</v>
      </c>
      <c r="E19" s="476">
        <v>46201.99</v>
      </c>
      <c r="F19" s="477">
        <v>0.998</v>
      </c>
    </row>
    <row r="20" spans="1:7" x14ac:dyDescent="0.3">
      <c r="A20" t="s">
        <v>15476</v>
      </c>
      <c r="B20" t="s">
        <v>1158</v>
      </c>
      <c r="C20" t="s">
        <v>15446</v>
      </c>
      <c r="D20" t="s">
        <v>18723</v>
      </c>
      <c r="E20" s="476">
        <v>46201.99</v>
      </c>
      <c r="F20" s="477">
        <v>0.996</v>
      </c>
    </row>
    <row r="21" spans="1:7" x14ac:dyDescent="0.3">
      <c r="A21" t="s">
        <v>15646</v>
      </c>
      <c r="B21" t="s">
        <v>14991</v>
      </c>
      <c r="C21" t="s">
        <v>15446</v>
      </c>
      <c r="D21" t="s">
        <v>18723</v>
      </c>
      <c r="E21" s="476">
        <v>46201.99</v>
      </c>
      <c r="F21" s="477">
        <v>0.99199999999999999</v>
      </c>
    </row>
    <row r="22" spans="1:7" x14ac:dyDescent="0.3">
      <c r="A22" t="s">
        <v>15560</v>
      </c>
      <c r="B22" t="s">
        <v>14994</v>
      </c>
      <c r="C22" t="s">
        <v>1081</v>
      </c>
      <c r="D22" t="s">
        <v>18821</v>
      </c>
      <c r="E22" s="476">
        <v>46201.98</v>
      </c>
      <c r="F22" s="477">
        <v>0.95499999999999996</v>
      </c>
      <c r="G22" t="s">
        <v>18911</v>
      </c>
    </row>
    <row r="23" spans="1:7" x14ac:dyDescent="0.3">
      <c r="A23" t="s">
        <v>15622</v>
      </c>
      <c r="B23" t="s">
        <v>14992</v>
      </c>
      <c r="C23" t="s">
        <v>1081</v>
      </c>
      <c r="D23" t="s">
        <v>18821</v>
      </c>
      <c r="E23" s="476">
        <v>46201.98</v>
      </c>
      <c r="F23" s="477">
        <v>0.94799999999999995</v>
      </c>
      <c r="G23" t="s">
        <v>18912</v>
      </c>
    </row>
    <row r="24" spans="1:7" x14ac:dyDescent="0.3">
      <c r="A24" t="s">
        <v>15608</v>
      </c>
      <c r="B24" t="s">
        <v>14993</v>
      </c>
      <c r="C24" t="s">
        <v>1081</v>
      </c>
      <c r="D24" t="s">
        <v>18749</v>
      </c>
      <c r="E24" s="476">
        <v>46201.98</v>
      </c>
      <c r="F24" s="477">
        <v>0.97199999999999998</v>
      </c>
      <c r="G24" t="s">
        <v>18913</v>
      </c>
    </row>
    <row r="25" spans="1:7" x14ac:dyDescent="0.3">
      <c r="A25" t="s">
        <v>18670</v>
      </c>
      <c r="B25" t="s">
        <v>1158</v>
      </c>
      <c r="C25" t="s">
        <v>1081</v>
      </c>
      <c r="D25" t="s">
        <v>18723</v>
      </c>
      <c r="E25" s="476">
        <v>46201.98</v>
      </c>
      <c r="F25" s="477">
        <v>0.98899999999999999</v>
      </c>
    </row>
    <row r="26" spans="1:7" x14ac:dyDescent="0.3">
      <c r="A26" t="s">
        <v>15587</v>
      </c>
      <c r="B26" t="s">
        <v>14993</v>
      </c>
      <c r="C26" t="s">
        <v>1081</v>
      </c>
      <c r="D26" t="s">
        <v>18723</v>
      </c>
      <c r="E26" s="476">
        <v>46201.98</v>
      </c>
      <c r="F26" s="477">
        <v>0.99099999999999999</v>
      </c>
    </row>
    <row r="27" spans="1:7" x14ac:dyDescent="0.3">
      <c r="A27" t="s">
        <v>15673</v>
      </c>
      <c r="B27" t="s">
        <v>1159</v>
      </c>
      <c r="C27" t="s">
        <v>1081</v>
      </c>
      <c r="D27" t="s">
        <v>18723</v>
      </c>
      <c r="E27" s="476">
        <v>46201.98</v>
      </c>
      <c r="F27" s="477">
        <v>0.98699999999999999</v>
      </c>
    </row>
    <row r="28" spans="1:7" x14ac:dyDescent="0.3">
      <c r="A28" t="s">
        <v>15458</v>
      </c>
      <c r="B28" t="s">
        <v>1158</v>
      </c>
      <c r="C28" t="s">
        <v>1081</v>
      </c>
      <c r="D28" t="s">
        <v>18723</v>
      </c>
      <c r="E28" s="476">
        <v>46201.98</v>
      </c>
      <c r="F28" s="477">
        <v>0.99</v>
      </c>
    </row>
    <row r="29" spans="1:7" x14ac:dyDescent="0.3">
      <c r="A29" t="s">
        <v>15467</v>
      </c>
      <c r="B29" t="s">
        <v>1158</v>
      </c>
      <c r="C29" t="s">
        <v>15441</v>
      </c>
      <c r="D29" t="s">
        <v>18821</v>
      </c>
      <c r="E29" s="476">
        <v>46201.98</v>
      </c>
      <c r="F29" s="477">
        <v>0.92100000000000004</v>
      </c>
      <c r="G29" t="s">
        <v>18914</v>
      </c>
    </row>
    <row r="30" spans="1:7" x14ac:dyDescent="0.3">
      <c r="A30" t="s">
        <v>15563</v>
      </c>
      <c r="B30" t="s">
        <v>14994</v>
      </c>
      <c r="C30" t="s">
        <v>15441</v>
      </c>
      <c r="D30" t="s">
        <v>18821</v>
      </c>
      <c r="E30" s="476">
        <v>46201.98</v>
      </c>
      <c r="F30" s="477">
        <v>0.91500000000000004</v>
      </c>
      <c r="G30" t="s">
        <v>18915</v>
      </c>
    </row>
    <row r="31" spans="1:7" x14ac:dyDescent="0.3">
      <c r="A31" t="s">
        <v>15678</v>
      </c>
      <c r="B31" t="s">
        <v>1159</v>
      </c>
      <c r="C31" t="s">
        <v>15441</v>
      </c>
      <c r="D31" t="s">
        <v>18749</v>
      </c>
      <c r="E31" s="476">
        <v>46201.98</v>
      </c>
      <c r="F31" s="477">
        <v>0.96299999999999997</v>
      </c>
      <c r="G31" t="s">
        <v>18916</v>
      </c>
    </row>
    <row r="32" spans="1:7" x14ac:dyDescent="0.3">
      <c r="A32" t="s">
        <v>18670</v>
      </c>
      <c r="B32" t="s">
        <v>1158</v>
      </c>
      <c r="C32" t="s">
        <v>15441</v>
      </c>
      <c r="D32" t="s">
        <v>18723</v>
      </c>
      <c r="E32" s="476">
        <v>46201.98</v>
      </c>
      <c r="F32" s="477">
        <v>0.97499999999999998</v>
      </c>
    </row>
    <row r="33" spans="1:7" x14ac:dyDescent="0.3">
      <c r="A33" t="s">
        <v>15673</v>
      </c>
      <c r="B33" t="s">
        <v>1159</v>
      </c>
      <c r="C33" t="s">
        <v>15441</v>
      </c>
      <c r="D33" t="s">
        <v>18723</v>
      </c>
      <c r="E33" s="476">
        <v>46201.98</v>
      </c>
      <c r="F33" s="477">
        <v>0.98199999999999998</v>
      </c>
    </row>
    <row r="34" spans="1:7" x14ac:dyDescent="0.3">
      <c r="A34" t="s">
        <v>15652</v>
      </c>
      <c r="B34" t="s">
        <v>14991</v>
      </c>
      <c r="C34" t="s">
        <v>15437</v>
      </c>
      <c r="D34" t="s">
        <v>18821</v>
      </c>
      <c r="E34" s="476">
        <v>46201.98</v>
      </c>
      <c r="F34" s="477">
        <v>0.88500000000000001</v>
      </c>
      <c r="G34" t="s">
        <v>18917</v>
      </c>
    </row>
    <row r="35" spans="1:7" x14ac:dyDescent="0.3">
      <c r="A35" t="s">
        <v>15664</v>
      </c>
      <c r="B35" t="s">
        <v>14991</v>
      </c>
      <c r="C35" t="s">
        <v>15437</v>
      </c>
      <c r="D35" t="s">
        <v>18749</v>
      </c>
      <c r="E35" s="476">
        <v>46201.98</v>
      </c>
      <c r="F35" s="477">
        <v>0.93200000000000005</v>
      </c>
      <c r="G35" t="s">
        <v>18918</v>
      </c>
    </row>
    <row r="36" spans="1:7" x14ac:dyDescent="0.3">
      <c r="A36" t="s">
        <v>18670</v>
      </c>
      <c r="B36" t="s">
        <v>1158</v>
      </c>
      <c r="C36" t="s">
        <v>15437</v>
      </c>
      <c r="D36" t="s">
        <v>18723</v>
      </c>
      <c r="E36" s="476">
        <v>46201.98</v>
      </c>
      <c r="F36" s="477">
        <v>0.95099999999999996</v>
      </c>
    </row>
    <row r="37" spans="1:7" x14ac:dyDescent="0.3">
      <c r="A37" t="s">
        <v>15608</v>
      </c>
      <c r="B37" t="s">
        <v>14993</v>
      </c>
      <c r="C37" t="s">
        <v>15437</v>
      </c>
      <c r="D37" t="s">
        <v>18723</v>
      </c>
      <c r="E37" s="476">
        <v>46201.98</v>
      </c>
      <c r="F37" s="477">
        <v>0.94799999999999995</v>
      </c>
    </row>
    <row r="40" spans="1:7" ht="15.6" x14ac:dyDescent="0.3">
      <c r="A40" s="378" t="s">
        <v>18919</v>
      </c>
      <c r="B40" s="378"/>
      <c r="C40" s="378"/>
      <c r="D40" s="378"/>
      <c r="E40" s="378"/>
      <c r="F40" s="378"/>
      <c r="G40" s="378"/>
    </row>
    <row r="41" spans="1:7" x14ac:dyDescent="0.3">
      <c r="A41" s="379"/>
      <c r="B41" s="379"/>
      <c r="C41" s="379"/>
      <c r="D41" s="379"/>
      <c r="E41" s="379"/>
      <c r="F41" s="379"/>
      <c r="G41" s="379"/>
    </row>
    <row r="42" spans="1:7" x14ac:dyDescent="0.3">
      <c r="A42" s="379" t="s">
        <v>18920</v>
      </c>
      <c r="B42" s="379"/>
      <c r="C42" s="379"/>
      <c r="D42" s="379"/>
      <c r="E42" s="379"/>
      <c r="F42" s="379"/>
      <c r="G42" s="379"/>
    </row>
    <row r="43" spans="1:7" x14ac:dyDescent="0.3">
      <c r="A43" s="379"/>
      <c r="B43" s="379"/>
      <c r="C43" s="379"/>
      <c r="D43" s="379"/>
      <c r="E43" s="379"/>
      <c r="F43" s="379"/>
      <c r="G43" s="379"/>
    </row>
    <row r="44" spans="1:7" x14ac:dyDescent="0.3">
      <c r="A44" s="379" t="s">
        <v>18921</v>
      </c>
      <c r="B44" s="379"/>
      <c r="C44" s="379"/>
      <c r="D44" s="379"/>
      <c r="E44" s="379"/>
      <c r="F44" s="379"/>
      <c r="G44" s="379"/>
    </row>
    <row r="45" spans="1:7" x14ac:dyDescent="0.3">
      <c r="A45" s="379"/>
      <c r="B45" s="379"/>
      <c r="C45" s="379"/>
      <c r="D45" s="379"/>
      <c r="E45" s="379"/>
      <c r="F45" s="379"/>
      <c r="G45" s="379"/>
    </row>
    <row r="46" spans="1:7" x14ac:dyDescent="0.3">
      <c r="A46" s="379" t="s">
        <v>18922</v>
      </c>
      <c r="B46" s="379"/>
      <c r="C46" s="379"/>
      <c r="D46" s="379"/>
      <c r="E46" s="379"/>
      <c r="F46" s="379"/>
      <c r="G46" s="379"/>
    </row>
    <row r="47" spans="1:7" x14ac:dyDescent="0.3">
      <c r="A47" s="379"/>
      <c r="B47" s="379"/>
      <c r="C47" s="379"/>
      <c r="D47" s="379"/>
      <c r="E47" s="379"/>
      <c r="F47" s="379"/>
      <c r="G47" s="379"/>
    </row>
    <row r="48" spans="1:7" x14ac:dyDescent="0.3">
      <c r="A48" s="379" t="s">
        <v>17502</v>
      </c>
      <c r="B48" s="379"/>
      <c r="C48" s="379"/>
      <c r="D48" s="379"/>
      <c r="E48" s="379"/>
      <c r="F48" s="379"/>
      <c r="G48" s="379"/>
    </row>
    <row r="50" spans="1:7" ht="18" x14ac:dyDescent="0.35">
      <c r="A50" s="358" t="s">
        <v>18923</v>
      </c>
      <c r="B50" s="358"/>
      <c r="C50" s="358"/>
      <c r="D50" s="358"/>
      <c r="E50" s="358"/>
      <c r="F50" s="358"/>
      <c r="G50" s="358"/>
    </row>
    <row r="52" spans="1:7" ht="15.6" x14ac:dyDescent="0.3">
      <c r="A52" s="380" t="s">
        <v>18924</v>
      </c>
      <c r="B52" s="381"/>
      <c r="C52" s="381"/>
      <c r="D52" s="381"/>
      <c r="E52" s="381"/>
      <c r="F52" s="381"/>
      <c r="G52" s="381"/>
    </row>
    <row r="53" spans="1:7" x14ac:dyDescent="0.3">
      <c r="A53" s="381" t="s">
        <v>18925</v>
      </c>
      <c r="B53" s="381"/>
      <c r="C53" s="381"/>
      <c r="D53" s="381"/>
      <c r="E53" s="381"/>
      <c r="F53" s="381"/>
      <c r="G53" s="381"/>
    </row>
    <row r="54" spans="1:7" x14ac:dyDescent="0.3">
      <c r="A54" s="381" t="s">
        <v>18926</v>
      </c>
      <c r="B54" s="381"/>
      <c r="C54" s="381"/>
      <c r="D54" s="381"/>
      <c r="E54" s="381"/>
      <c r="F54" s="381"/>
      <c r="G54" s="381"/>
    </row>
    <row r="55" spans="1:7" x14ac:dyDescent="0.3">
      <c r="A55" s="381"/>
      <c r="B55" s="381"/>
      <c r="C55" s="381"/>
      <c r="D55" s="381"/>
      <c r="E55" s="381"/>
      <c r="F55" s="381"/>
      <c r="G55" s="381"/>
    </row>
    <row r="56" spans="1:7" x14ac:dyDescent="0.3">
      <c r="A56" s="381" t="s">
        <v>18927</v>
      </c>
      <c r="B56" s="381"/>
      <c r="C56" s="381"/>
      <c r="D56" s="381"/>
      <c r="E56" s="381"/>
      <c r="F56" s="381"/>
      <c r="G56" s="381"/>
    </row>
    <row r="57" spans="1:7" x14ac:dyDescent="0.3">
      <c r="A57" s="381" t="s">
        <v>18928</v>
      </c>
      <c r="B57" s="381"/>
      <c r="C57" s="381"/>
      <c r="D57" s="381"/>
      <c r="E57" s="381"/>
      <c r="F57" s="381"/>
      <c r="G57" s="381"/>
    </row>
    <row r="58" spans="1:7" x14ac:dyDescent="0.3">
      <c r="A58" s="381" t="s">
        <v>18929</v>
      </c>
      <c r="B58" s="381"/>
      <c r="C58" s="381"/>
      <c r="D58" s="381"/>
      <c r="E58" s="381"/>
      <c r="F58" s="381"/>
      <c r="G58" s="381"/>
    </row>
    <row r="59" spans="1:7" x14ac:dyDescent="0.3">
      <c r="A59" s="381" t="s">
        <v>18930</v>
      </c>
      <c r="B59" s="381"/>
      <c r="C59" s="381"/>
      <c r="D59" s="381"/>
      <c r="E59" s="381"/>
      <c r="F59" s="381"/>
      <c r="G59" s="381"/>
    </row>
    <row r="60" spans="1:7" x14ac:dyDescent="0.3">
      <c r="A60" s="381" t="s">
        <v>18931</v>
      </c>
      <c r="B60" s="381"/>
      <c r="C60" s="381"/>
      <c r="D60" s="381"/>
      <c r="E60" s="381"/>
      <c r="F60" s="381"/>
      <c r="G60" s="381"/>
    </row>
    <row r="61" spans="1:7" x14ac:dyDescent="0.3">
      <c r="A61" s="381"/>
      <c r="B61" s="381"/>
      <c r="C61" s="381"/>
      <c r="D61" s="381"/>
      <c r="E61" s="381"/>
      <c r="F61" s="381"/>
      <c r="G61" s="381"/>
    </row>
    <row r="62" spans="1:7" ht="15.6" x14ac:dyDescent="0.3">
      <c r="A62" s="380" t="s">
        <v>18932</v>
      </c>
      <c r="B62" s="381"/>
      <c r="C62" s="381"/>
      <c r="D62" s="381"/>
      <c r="E62" s="381"/>
      <c r="F62" s="381"/>
      <c r="G62" s="381"/>
    </row>
    <row r="63" spans="1:7" x14ac:dyDescent="0.3">
      <c r="A63" s="381"/>
      <c r="B63" s="381"/>
      <c r="C63" s="381"/>
      <c r="D63" s="381"/>
      <c r="E63" s="381"/>
      <c r="F63" s="381"/>
      <c r="G63" s="381"/>
    </row>
    <row r="64" spans="1:7" x14ac:dyDescent="0.3">
      <c r="A64" s="382" t="s">
        <v>18933</v>
      </c>
      <c r="B64" s="381"/>
      <c r="C64" s="381"/>
      <c r="D64" s="381"/>
      <c r="E64" s="381"/>
      <c r="F64" s="381"/>
      <c r="G64" s="381"/>
    </row>
    <row r="65" spans="1:7" x14ac:dyDescent="0.3">
      <c r="A65" s="381" t="s">
        <v>18113</v>
      </c>
      <c r="B65" s="381"/>
      <c r="C65" s="381"/>
      <c r="D65" s="381"/>
      <c r="E65" s="381"/>
      <c r="F65" s="381"/>
      <c r="G65" s="381"/>
    </row>
    <row r="66" spans="1:7" x14ac:dyDescent="0.3">
      <c r="A66" s="381" t="s">
        <v>18934</v>
      </c>
      <c r="B66" s="381"/>
      <c r="C66" s="381"/>
      <c r="D66" s="381"/>
      <c r="E66" s="381"/>
      <c r="F66" s="381"/>
      <c r="G66" s="381"/>
    </row>
    <row r="67" spans="1:7" x14ac:dyDescent="0.3">
      <c r="A67" s="381" t="s">
        <v>18935</v>
      </c>
      <c r="B67" s="381"/>
      <c r="C67" s="381"/>
      <c r="D67" s="381"/>
      <c r="E67" s="381"/>
      <c r="F67" s="381"/>
      <c r="G67" s="381"/>
    </row>
    <row r="68" spans="1:7" x14ac:dyDescent="0.3">
      <c r="A68" s="381" t="s">
        <v>18936</v>
      </c>
      <c r="B68" s="381"/>
      <c r="C68" s="381"/>
      <c r="D68" s="381"/>
      <c r="E68" s="381"/>
      <c r="F68" s="381"/>
      <c r="G68" s="381"/>
    </row>
    <row r="69" spans="1:7" x14ac:dyDescent="0.3">
      <c r="A69" s="381"/>
      <c r="B69" s="381"/>
      <c r="C69" s="381"/>
      <c r="D69" s="381"/>
      <c r="E69" s="381"/>
      <c r="F69" s="381"/>
      <c r="G69" s="381"/>
    </row>
    <row r="70" spans="1:7" x14ac:dyDescent="0.3">
      <c r="A70" s="381" t="s">
        <v>18937</v>
      </c>
      <c r="B70" s="381"/>
      <c r="C70" s="381"/>
      <c r="D70" s="381"/>
      <c r="E70" s="381"/>
      <c r="F70" s="381"/>
      <c r="G70" s="381"/>
    </row>
    <row r="71" spans="1:7" x14ac:dyDescent="0.3">
      <c r="A71" s="381" t="s">
        <v>18938</v>
      </c>
      <c r="B71" s="381"/>
      <c r="C71" s="381"/>
      <c r="D71" s="381"/>
      <c r="E71" s="381"/>
      <c r="F71" s="381"/>
      <c r="G71" s="381"/>
    </row>
    <row r="72" spans="1:7" x14ac:dyDescent="0.3">
      <c r="A72" s="381" t="s">
        <v>18939</v>
      </c>
      <c r="B72" s="381"/>
      <c r="C72" s="381"/>
      <c r="D72" s="381"/>
      <c r="E72" s="381"/>
      <c r="F72" s="381"/>
      <c r="G72" s="381"/>
    </row>
    <row r="73" spans="1:7" x14ac:dyDescent="0.3">
      <c r="A73" s="381" t="s">
        <v>18940</v>
      </c>
      <c r="B73" s="381"/>
      <c r="C73" s="381"/>
      <c r="D73" s="381"/>
      <c r="E73" s="381"/>
      <c r="F73" s="381"/>
      <c r="G73" s="381"/>
    </row>
    <row r="74" spans="1:7" x14ac:dyDescent="0.3">
      <c r="A74" s="381" t="s">
        <v>18941</v>
      </c>
      <c r="B74" s="381"/>
      <c r="C74" s="381"/>
      <c r="D74" s="381"/>
      <c r="E74" s="381"/>
      <c r="F74" s="381"/>
      <c r="G74" s="381"/>
    </row>
    <row r="75" spans="1:7" x14ac:dyDescent="0.3">
      <c r="A75" s="381" t="s">
        <v>18942</v>
      </c>
      <c r="B75" s="381"/>
      <c r="C75" s="381"/>
      <c r="D75" s="381"/>
      <c r="E75" s="381"/>
      <c r="F75" s="381"/>
      <c r="G75" s="381"/>
    </row>
    <row r="76" spans="1:7" x14ac:dyDescent="0.3">
      <c r="A76" s="381"/>
      <c r="B76" s="381"/>
      <c r="C76" s="381"/>
      <c r="D76" s="381"/>
      <c r="E76" s="381"/>
      <c r="F76" s="381"/>
      <c r="G76" s="381"/>
    </row>
    <row r="77" spans="1:7" ht="15.6" x14ac:dyDescent="0.3">
      <c r="A77" s="380" t="s">
        <v>18797</v>
      </c>
      <c r="B77" s="381"/>
      <c r="C77" s="381"/>
      <c r="D77" s="381"/>
      <c r="E77" s="381"/>
      <c r="F77" s="381"/>
      <c r="G77" s="381"/>
    </row>
    <row r="78" spans="1:7" x14ac:dyDescent="0.3">
      <c r="A78" s="381"/>
      <c r="B78" s="381"/>
      <c r="C78" s="381"/>
      <c r="D78" s="381"/>
      <c r="E78" s="381"/>
      <c r="F78" s="381"/>
      <c r="G78" s="381"/>
    </row>
    <row r="79" spans="1:7" x14ac:dyDescent="0.3">
      <c r="A79" s="381" t="s">
        <v>18943</v>
      </c>
      <c r="B79" s="381"/>
      <c r="C79" s="381"/>
      <c r="D79" s="381"/>
      <c r="E79" s="381"/>
      <c r="F79" s="381"/>
      <c r="G79" s="381"/>
    </row>
    <row r="80" spans="1:7" x14ac:dyDescent="0.3">
      <c r="A80" s="381"/>
      <c r="B80" s="381"/>
      <c r="C80" s="381"/>
      <c r="D80" s="381"/>
      <c r="E80" s="381"/>
      <c r="F80" s="381"/>
      <c r="G80" s="381"/>
    </row>
    <row r="81" spans="1:7" x14ac:dyDescent="0.3">
      <c r="A81" s="381" t="s">
        <v>18799</v>
      </c>
      <c r="B81" s="381"/>
      <c r="C81" s="381"/>
      <c r="D81" s="381"/>
      <c r="E81" s="381"/>
      <c r="F81" s="381"/>
      <c r="G81" s="381"/>
    </row>
    <row r="82" spans="1:7" x14ac:dyDescent="0.3">
      <c r="A82" s="381" t="s">
        <v>18944</v>
      </c>
      <c r="B82" s="381"/>
      <c r="C82" s="381"/>
      <c r="D82" s="381"/>
      <c r="E82" s="381"/>
      <c r="F82" s="381"/>
      <c r="G82" s="381"/>
    </row>
    <row r="83" spans="1:7" x14ac:dyDescent="0.3">
      <c r="A83" s="381" t="s">
        <v>18945</v>
      </c>
      <c r="B83" s="381"/>
      <c r="C83" s="381"/>
      <c r="D83" s="381"/>
      <c r="E83" s="381"/>
      <c r="F83" s="381"/>
      <c r="G83" s="381"/>
    </row>
    <row r="84" spans="1:7" x14ac:dyDescent="0.3">
      <c r="A84" s="381" t="s">
        <v>18946</v>
      </c>
      <c r="B84" s="381"/>
      <c r="C84" s="381"/>
      <c r="D84" s="381"/>
      <c r="E84" s="381"/>
      <c r="F84" s="381"/>
      <c r="G84" s="381"/>
    </row>
    <row r="85" spans="1:7" x14ac:dyDescent="0.3">
      <c r="A85" s="381" t="s">
        <v>18947</v>
      </c>
      <c r="B85" s="381"/>
      <c r="C85" s="381"/>
      <c r="D85" s="381"/>
      <c r="E85" s="381"/>
      <c r="F85" s="381"/>
      <c r="G85" s="381"/>
    </row>
    <row r="86" spans="1:7" x14ac:dyDescent="0.3">
      <c r="A86" s="381"/>
      <c r="B86" s="381"/>
      <c r="C86" s="381"/>
      <c r="D86" s="381"/>
      <c r="E86" s="381"/>
      <c r="F86" s="381"/>
      <c r="G86" s="381"/>
    </row>
    <row r="87" spans="1:7" x14ac:dyDescent="0.3">
      <c r="A87" s="381" t="s">
        <v>18948</v>
      </c>
      <c r="B87" s="381"/>
      <c r="C87" s="381"/>
      <c r="D87" s="381"/>
      <c r="E87" s="381"/>
      <c r="F87" s="381"/>
      <c r="G87" s="381"/>
    </row>
    <row r="88" spans="1:7" x14ac:dyDescent="0.3">
      <c r="A88" s="381" t="s">
        <v>18949</v>
      </c>
      <c r="B88" s="381"/>
      <c r="C88" s="381"/>
      <c r="D88" s="381"/>
      <c r="E88" s="381"/>
      <c r="F88" s="381"/>
      <c r="G88" s="381"/>
    </row>
    <row r="89" spans="1:7" x14ac:dyDescent="0.3">
      <c r="A89" s="381" t="s">
        <v>18950</v>
      </c>
      <c r="B89" s="381"/>
      <c r="C89" s="381"/>
      <c r="D89" s="381"/>
      <c r="E89" s="381"/>
      <c r="F89" s="381"/>
      <c r="G89" s="381"/>
    </row>
    <row r="90" spans="1:7" x14ac:dyDescent="0.3">
      <c r="A90" s="381" t="s">
        <v>18951</v>
      </c>
      <c r="B90" s="381"/>
      <c r="C90" s="381"/>
      <c r="D90" s="381"/>
      <c r="E90" s="381"/>
      <c r="F90" s="381"/>
      <c r="G90" s="381"/>
    </row>
    <row r="91" spans="1:7" x14ac:dyDescent="0.3">
      <c r="A91" s="381" t="s">
        <v>18952</v>
      </c>
      <c r="B91" s="381"/>
      <c r="C91" s="381"/>
      <c r="D91" s="381"/>
      <c r="E91" s="381"/>
      <c r="F91" s="381"/>
      <c r="G91" s="381"/>
    </row>
    <row r="92" spans="1:7" x14ac:dyDescent="0.3">
      <c r="A92" s="381"/>
      <c r="B92" s="381"/>
      <c r="C92" s="381"/>
      <c r="D92" s="381"/>
      <c r="E92" s="381"/>
      <c r="F92" s="381"/>
      <c r="G92" s="381"/>
    </row>
    <row r="93" spans="1:7" ht="15.6" x14ac:dyDescent="0.3">
      <c r="A93" s="380" t="s">
        <v>15424</v>
      </c>
      <c r="B93" s="381"/>
      <c r="C93" s="381"/>
      <c r="D93" s="381"/>
      <c r="E93" s="381"/>
      <c r="F93" s="381"/>
      <c r="G93" s="381"/>
    </row>
    <row r="94" spans="1:7" x14ac:dyDescent="0.3">
      <c r="A94" s="381"/>
      <c r="B94" s="381"/>
      <c r="C94" s="381"/>
      <c r="D94" s="381"/>
      <c r="E94" s="381"/>
      <c r="F94" s="381"/>
      <c r="G94" s="381"/>
    </row>
    <row r="95" spans="1:7" x14ac:dyDescent="0.3">
      <c r="A95" s="381" t="s">
        <v>18953</v>
      </c>
      <c r="B95" s="381"/>
      <c r="C95" s="381"/>
      <c r="D95" s="381"/>
      <c r="E95" s="381"/>
      <c r="F95" s="381"/>
      <c r="G95" s="381"/>
    </row>
    <row r="96" spans="1:7" x14ac:dyDescent="0.3">
      <c r="A96" s="381" t="s">
        <v>18954</v>
      </c>
      <c r="B96" s="381"/>
      <c r="C96" s="381"/>
      <c r="D96" s="381"/>
      <c r="E96" s="381"/>
      <c r="F96" s="381"/>
      <c r="G96" s="381"/>
    </row>
    <row r="97" spans="1:7" x14ac:dyDescent="0.3">
      <c r="A97" s="381" t="s">
        <v>18955</v>
      </c>
      <c r="B97" s="381"/>
      <c r="C97" s="381"/>
      <c r="D97" s="381"/>
      <c r="E97" s="381"/>
      <c r="F97" s="381"/>
      <c r="G97" s="381"/>
    </row>
    <row r="98" spans="1:7" x14ac:dyDescent="0.3">
      <c r="A98" s="381" t="s">
        <v>18956</v>
      </c>
      <c r="B98" s="381"/>
      <c r="C98" s="381"/>
      <c r="D98" s="381"/>
      <c r="E98" s="381"/>
      <c r="F98" s="381"/>
      <c r="G98" s="381"/>
    </row>
    <row r="99" spans="1:7" x14ac:dyDescent="0.3">
      <c r="A99" s="381" t="s">
        <v>18957</v>
      </c>
      <c r="B99" s="381"/>
      <c r="C99" s="381"/>
      <c r="D99" s="381"/>
      <c r="E99" s="381"/>
      <c r="F99" s="381"/>
      <c r="G99" s="381"/>
    </row>
    <row r="100" spans="1:7" x14ac:dyDescent="0.3">
      <c r="A100" s="381" t="s">
        <v>18958</v>
      </c>
      <c r="B100" s="381"/>
      <c r="C100" s="381"/>
      <c r="D100" s="381"/>
      <c r="E100" s="381"/>
      <c r="F100" s="381"/>
      <c r="G100" s="381"/>
    </row>
    <row r="101" spans="1:7" x14ac:dyDescent="0.3">
      <c r="A101" s="381" t="s">
        <v>18959</v>
      </c>
      <c r="B101" s="381"/>
      <c r="C101" s="381"/>
      <c r="D101" s="381"/>
      <c r="E101" s="381"/>
      <c r="F101" s="381"/>
      <c r="G101" s="381"/>
    </row>
    <row r="102" spans="1:7" x14ac:dyDescent="0.3">
      <c r="A102" s="381"/>
      <c r="B102" s="381"/>
      <c r="C102" s="381"/>
      <c r="D102" s="381"/>
      <c r="E102" s="381"/>
      <c r="F102" s="381"/>
      <c r="G102" s="381"/>
    </row>
    <row r="103" spans="1:7" x14ac:dyDescent="0.3">
      <c r="A103" s="381" t="s">
        <v>18960</v>
      </c>
      <c r="B103" s="381"/>
      <c r="C103" s="381"/>
      <c r="D103" s="381"/>
      <c r="E103" s="381"/>
      <c r="F103" s="381"/>
      <c r="G103" s="381"/>
    </row>
    <row r="104" spans="1:7" x14ac:dyDescent="0.3">
      <c r="A104" s="381" t="s">
        <v>18961</v>
      </c>
      <c r="B104" s="381"/>
      <c r="C104" s="381"/>
      <c r="D104" s="381"/>
      <c r="E104" s="381"/>
      <c r="F104" s="381"/>
      <c r="G104" s="381"/>
    </row>
    <row r="105" spans="1:7" x14ac:dyDescent="0.3">
      <c r="A105" s="381" t="s">
        <v>18962</v>
      </c>
      <c r="B105" s="381"/>
      <c r="C105" s="381"/>
      <c r="D105" s="381"/>
      <c r="E105" s="381"/>
      <c r="F105" s="381"/>
      <c r="G105" s="381"/>
    </row>
  </sheetData>
  <mergeCells count="2">
    <mergeCell ref="A40:G40"/>
    <mergeCell ref="A50:G50"/>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C0F-2D1C-4A4A-BE74-5F624B5536F7}">
  <sheetPr>
    <tabColor theme="5"/>
  </sheetPr>
  <dimension ref="A1:J242"/>
  <sheetViews>
    <sheetView workbookViewId="0">
      <pane ySplit="1" topLeftCell="A2" activePane="bottomLeft" state="frozen"/>
      <selection activeCell="H16" sqref="H16"/>
      <selection pane="bottomLeft" activeCell="H16" sqref="H16"/>
    </sheetView>
  </sheetViews>
  <sheetFormatPr defaultRowHeight="14.4" x14ac:dyDescent="0.3"/>
  <cols>
    <col min="1" max="1" width="13" customWidth="1"/>
    <col min="2" max="2" width="42.5546875" customWidth="1"/>
    <col min="3" max="3" width="18.5546875" customWidth="1"/>
    <col min="4" max="4" width="16.6640625" customWidth="1"/>
    <col min="5" max="5" width="22.21875" customWidth="1"/>
    <col min="6" max="6" width="18.5546875" customWidth="1"/>
    <col min="7" max="7" width="17.5546875" customWidth="1"/>
    <col min="8" max="8" width="24.109375" customWidth="1"/>
    <col min="9" max="9" width="13" customWidth="1"/>
    <col min="10" max="10" width="33.33203125" customWidth="1"/>
  </cols>
  <sheetData>
    <row r="1" spans="1:10" x14ac:dyDescent="0.3">
      <c r="A1" s="473" t="s">
        <v>18144</v>
      </c>
      <c r="B1" s="474" t="s">
        <v>1542</v>
      </c>
      <c r="C1" s="474" t="s">
        <v>15432</v>
      </c>
      <c r="D1" s="474" t="s">
        <v>1140</v>
      </c>
      <c r="E1" s="474" t="s">
        <v>18145</v>
      </c>
      <c r="F1" s="474" t="s">
        <v>18146</v>
      </c>
      <c r="G1" s="474" t="s">
        <v>1558</v>
      </c>
      <c r="H1" s="474" t="s">
        <v>18147</v>
      </c>
      <c r="I1" s="474" t="s">
        <v>1068</v>
      </c>
      <c r="J1" s="475" t="s">
        <v>1245</v>
      </c>
    </row>
    <row r="2" spans="1:10" x14ac:dyDescent="0.3">
      <c r="A2" s="390" t="s">
        <v>18148</v>
      </c>
      <c r="B2" s="391" t="s">
        <v>15436</v>
      </c>
      <c r="C2" s="391" t="s">
        <v>1158</v>
      </c>
      <c r="D2" s="391" t="s">
        <v>15437</v>
      </c>
      <c r="E2" s="391" t="s">
        <v>18149</v>
      </c>
      <c r="F2" s="391" t="s">
        <v>18150</v>
      </c>
      <c r="G2" s="408">
        <v>46193</v>
      </c>
      <c r="H2" s="391" t="s">
        <v>15769</v>
      </c>
      <c r="I2" s="391" t="s">
        <v>1075</v>
      </c>
      <c r="J2" s="392" t="s">
        <v>18151</v>
      </c>
    </row>
    <row r="3" spans="1:10" x14ac:dyDescent="0.3">
      <c r="A3" s="390" t="s">
        <v>18148</v>
      </c>
      <c r="B3" s="391" t="s">
        <v>15436</v>
      </c>
      <c r="C3" s="391" t="s">
        <v>1158</v>
      </c>
      <c r="D3" s="391" t="s">
        <v>15441</v>
      </c>
      <c r="E3" s="391" t="s">
        <v>18152</v>
      </c>
      <c r="F3" s="391" t="s">
        <v>18153</v>
      </c>
      <c r="G3" s="408">
        <v>46188</v>
      </c>
      <c r="H3" s="391" t="s">
        <v>15806</v>
      </c>
      <c r="I3" s="391" t="s">
        <v>1075</v>
      </c>
      <c r="J3" s="392" t="s">
        <v>18154</v>
      </c>
    </row>
    <row r="4" spans="1:10" x14ac:dyDescent="0.3">
      <c r="A4" s="390" t="s">
        <v>18148</v>
      </c>
      <c r="B4" s="391" t="s">
        <v>15436</v>
      </c>
      <c r="C4" s="391" t="s">
        <v>1158</v>
      </c>
      <c r="D4" s="391" t="s">
        <v>1081</v>
      </c>
      <c r="E4" s="391" t="s">
        <v>18155</v>
      </c>
      <c r="F4" s="391" t="s">
        <v>18156</v>
      </c>
      <c r="G4" s="408">
        <v>46183</v>
      </c>
      <c r="H4" s="391" t="s">
        <v>15531</v>
      </c>
      <c r="I4" s="391" t="s">
        <v>1075</v>
      </c>
      <c r="J4" s="392" t="s">
        <v>18157</v>
      </c>
    </row>
    <row r="5" spans="1:10" x14ac:dyDescent="0.3">
      <c r="A5" s="390" t="s">
        <v>18148</v>
      </c>
      <c r="B5" s="391" t="s">
        <v>15436</v>
      </c>
      <c r="C5" s="391" t="s">
        <v>1158</v>
      </c>
      <c r="D5" s="391" t="s">
        <v>15444</v>
      </c>
      <c r="E5" s="391" t="s">
        <v>18158</v>
      </c>
      <c r="F5" s="391" t="s">
        <v>18159</v>
      </c>
      <c r="G5" s="408">
        <v>46178</v>
      </c>
      <c r="H5" s="391" t="s">
        <v>15880</v>
      </c>
      <c r="I5" s="391" t="s">
        <v>1075</v>
      </c>
      <c r="J5" s="392" t="s">
        <v>18160</v>
      </c>
    </row>
    <row r="6" spans="1:10" x14ac:dyDescent="0.3">
      <c r="A6" s="390" t="s">
        <v>18148</v>
      </c>
      <c r="B6" s="391" t="s">
        <v>15436</v>
      </c>
      <c r="C6" s="391" t="s">
        <v>1158</v>
      </c>
      <c r="D6" s="391" t="s">
        <v>15446</v>
      </c>
      <c r="E6" s="391" t="s">
        <v>18161</v>
      </c>
      <c r="F6" s="391" t="s">
        <v>18162</v>
      </c>
      <c r="G6" s="408">
        <v>46170</v>
      </c>
      <c r="H6" s="391" t="s">
        <v>15917</v>
      </c>
      <c r="I6" s="391" t="s">
        <v>1075</v>
      </c>
      <c r="J6" s="392" t="s">
        <v>18163</v>
      </c>
    </row>
    <row r="7" spans="1:10" x14ac:dyDescent="0.3">
      <c r="A7" s="390" t="s">
        <v>18148</v>
      </c>
      <c r="B7" s="391" t="s">
        <v>15436</v>
      </c>
      <c r="C7" s="391" t="s">
        <v>1158</v>
      </c>
      <c r="D7" s="391" t="s">
        <v>1152</v>
      </c>
      <c r="E7" s="391" t="s">
        <v>18161</v>
      </c>
      <c r="F7" s="391" t="s">
        <v>18162</v>
      </c>
      <c r="G7" s="408">
        <v>46171</v>
      </c>
      <c r="H7" s="391" t="s">
        <v>15956</v>
      </c>
      <c r="I7" s="391" t="s">
        <v>1075</v>
      </c>
      <c r="J7" s="392" t="s">
        <v>18164</v>
      </c>
    </row>
    <row r="8" spans="1:10" x14ac:dyDescent="0.3">
      <c r="A8" s="390" t="s">
        <v>18165</v>
      </c>
      <c r="B8" s="391" t="s">
        <v>15449</v>
      </c>
      <c r="C8" s="391" t="s">
        <v>1158</v>
      </c>
      <c r="D8" s="391" t="s">
        <v>15437</v>
      </c>
      <c r="E8" s="391" t="s">
        <v>18166</v>
      </c>
      <c r="F8" s="391" t="s">
        <v>18167</v>
      </c>
      <c r="G8" s="408">
        <v>46195</v>
      </c>
      <c r="H8" s="391" t="s">
        <v>15773</v>
      </c>
      <c r="I8" s="391" t="s">
        <v>1075</v>
      </c>
      <c r="J8" s="392" t="s">
        <v>18168</v>
      </c>
    </row>
    <row r="9" spans="1:10" x14ac:dyDescent="0.3">
      <c r="A9" s="390" t="s">
        <v>18165</v>
      </c>
      <c r="B9" s="391" t="s">
        <v>15449</v>
      </c>
      <c r="C9" s="391" t="s">
        <v>1158</v>
      </c>
      <c r="D9" s="391" t="s">
        <v>15441</v>
      </c>
      <c r="E9" s="391" t="s">
        <v>18169</v>
      </c>
      <c r="F9" s="391" t="s">
        <v>18170</v>
      </c>
      <c r="G9" s="408">
        <v>46191</v>
      </c>
      <c r="H9" s="391" t="s">
        <v>15810</v>
      </c>
      <c r="I9" s="391" t="s">
        <v>1075</v>
      </c>
      <c r="J9" s="392" t="s">
        <v>18171</v>
      </c>
    </row>
    <row r="10" spans="1:10" x14ac:dyDescent="0.3">
      <c r="A10" s="390" t="s">
        <v>18165</v>
      </c>
      <c r="B10" s="391" t="s">
        <v>15449</v>
      </c>
      <c r="C10" s="391" t="s">
        <v>1158</v>
      </c>
      <c r="D10" s="391" t="s">
        <v>1081</v>
      </c>
      <c r="E10" s="391" t="s">
        <v>18172</v>
      </c>
      <c r="F10" s="391" t="s">
        <v>18173</v>
      </c>
      <c r="G10" s="408">
        <v>46185</v>
      </c>
      <c r="H10" s="391" t="s">
        <v>15847</v>
      </c>
      <c r="I10" s="391" t="s">
        <v>1075</v>
      </c>
      <c r="J10" s="392" t="s">
        <v>18174</v>
      </c>
    </row>
    <row r="11" spans="1:10" x14ac:dyDescent="0.3">
      <c r="A11" s="390" t="s">
        <v>18165</v>
      </c>
      <c r="B11" s="391" t="s">
        <v>15449</v>
      </c>
      <c r="C11" s="391" t="s">
        <v>1158</v>
      </c>
      <c r="D11" s="391" t="s">
        <v>15444</v>
      </c>
      <c r="E11" s="391" t="s">
        <v>18175</v>
      </c>
      <c r="F11" s="391" t="s">
        <v>18176</v>
      </c>
      <c r="G11" s="408">
        <v>46181</v>
      </c>
      <c r="H11" s="391" t="s">
        <v>15884</v>
      </c>
      <c r="I11" s="391" t="s">
        <v>1075</v>
      </c>
      <c r="J11" s="392" t="s">
        <v>18177</v>
      </c>
    </row>
    <row r="12" spans="1:10" x14ac:dyDescent="0.3">
      <c r="A12" s="390" t="s">
        <v>18165</v>
      </c>
      <c r="B12" s="391" t="s">
        <v>15449</v>
      </c>
      <c r="C12" s="391" t="s">
        <v>1158</v>
      </c>
      <c r="D12" s="391" t="s">
        <v>15446</v>
      </c>
      <c r="E12" s="391" t="s">
        <v>18178</v>
      </c>
      <c r="F12" s="391" t="s">
        <v>18179</v>
      </c>
      <c r="G12" s="408">
        <v>46174</v>
      </c>
      <c r="H12" s="391" t="s">
        <v>15923</v>
      </c>
      <c r="I12" s="391" t="s">
        <v>1075</v>
      </c>
      <c r="J12" s="392" t="s">
        <v>18180</v>
      </c>
    </row>
    <row r="13" spans="1:10" x14ac:dyDescent="0.3">
      <c r="A13" s="390" t="s">
        <v>18165</v>
      </c>
      <c r="B13" s="391" t="s">
        <v>15449</v>
      </c>
      <c r="C13" s="391" t="s">
        <v>1158</v>
      </c>
      <c r="D13" s="391" t="s">
        <v>1152</v>
      </c>
      <c r="E13" s="391" t="s">
        <v>18178</v>
      </c>
      <c r="F13" s="391" t="s">
        <v>18179</v>
      </c>
      <c r="G13" s="408">
        <v>46175</v>
      </c>
      <c r="H13" s="391" t="s">
        <v>15961</v>
      </c>
      <c r="I13" s="391" t="s">
        <v>1075</v>
      </c>
      <c r="J13" s="392" t="s">
        <v>18181</v>
      </c>
    </row>
    <row r="14" spans="1:10" x14ac:dyDescent="0.3">
      <c r="A14" s="390" t="s">
        <v>18182</v>
      </c>
      <c r="B14" s="391" t="s">
        <v>15554</v>
      </c>
      <c r="C14" s="391" t="s">
        <v>14994</v>
      </c>
      <c r="D14" s="391" t="s">
        <v>15437</v>
      </c>
      <c r="E14" s="391" t="s">
        <v>18183</v>
      </c>
      <c r="F14" s="391" t="s">
        <v>18184</v>
      </c>
      <c r="G14" s="408">
        <v>46194</v>
      </c>
      <c r="H14" s="391" t="s">
        <v>15776</v>
      </c>
      <c r="I14" s="391" t="s">
        <v>1075</v>
      </c>
      <c r="J14" s="392" t="s">
        <v>18185</v>
      </c>
    </row>
    <row r="15" spans="1:10" x14ac:dyDescent="0.3">
      <c r="A15" s="390" t="s">
        <v>18182</v>
      </c>
      <c r="B15" s="391" t="s">
        <v>15554</v>
      </c>
      <c r="C15" s="391" t="s">
        <v>14994</v>
      </c>
      <c r="D15" s="391" t="s">
        <v>15441</v>
      </c>
      <c r="E15" s="391" t="s">
        <v>18186</v>
      </c>
      <c r="F15" s="391" t="s">
        <v>18187</v>
      </c>
      <c r="G15" s="408">
        <v>46189</v>
      </c>
      <c r="H15" s="391" t="s">
        <v>15813</v>
      </c>
      <c r="I15" s="391" t="s">
        <v>1075</v>
      </c>
      <c r="J15" s="392" t="s">
        <v>18188</v>
      </c>
    </row>
    <row r="16" spans="1:10" x14ac:dyDescent="0.3">
      <c r="A16" s="390" t="s">
        <v>18182</v>
      </c>
      <c r="B16" s="391" t="s">
        <v>15554</v>
      </c>
      <c r="C16" s="391" t="s">
        <v>14994</v>
      </c>
      <c r="D16" s="391" t="s">
        <v>1081</v>
      </c>
      <c r="E16" s="391" t="s">
        <v>18189</v>
      </c>
      <c r="F16" s="391" t="s">
        <v>18190</v>
      </c>
      <c r="G16" s="408">
        <v>46184</v>
      </c>
      <c r="H16" s="391" t="s">
        <v>15850</v>
      </c>
      <c r="I16" s="391" t="s">
        <v>1075</v>
      </c>
      <c r="J16" s="392" t="s">
        <v>18191</v>
      </c>
    </row>
    <row r="17" spans="1:10" x14ac:dyDescent="0.3">
      <c r="A17" s="390" t="s">
        <v>18182</v>
      </c>
      <c r="B17" s="391" t="s">
        <v>15554</v>
      </c>
      <c r="C17" s="391" t="s">
        <v>14994</v>
      </c>
      <c r="D17" s="391" t="s">
        <v>15444</v>
      </c>
      <c r="E17" s="391" t="s">
        <v>18192</v>
      </c>
      <c r="F17" s="391" t="s">
        <v>18193</v>
      </c>
      <c r="G17" s="408">
        <v>46179</v>
      </c>
      <c r="H17" s="391" t="s">
        <v>15887</v>
      </c>
      <c r="I17" s="391" t="s">
        <v>1075</v>
      </c>
      <c r="J17" s="392" t="s">
        <v>18194</v>
      </c>
    </row>
    <row r="18" spans="1:10" x14ac:dyDescent="0.3">
      <c r="A18" s="390" t="s">
        <v>18182</v>
      </c>
      <c r="B18" s="391" t="s">
        <v>15554</v>
      </c>
      <c r="C18" s="391" t="s">
        <v>14994</v>
      </c>
      <c r="D18" s="391" t="s">
        <v>15446</v>
      </c>
      <c r="E18" s="391" t="s">
        <v>18195</v>
      </c>
      <c r="F18" s="391" t="s">
        <v>18196</v>
      </c>
      <c r="G18" s="408">
        <v>46172</v>
      </c>
      <c r="H18" s="391" t="s">
        <v>15926</v>
      </c>
      <c r="I18" s="391" t="s">
        <v>1075</v>
      </c>
      <c r="J18" s="392" t="s">
        <v>18197</v>
      </c>
    </row>
    <row r="19" spans="1:10" x14ac:dyDescent="0.3">
      <c r="A19" s="390" t="s">
        <v>18182</v>
      </c>
      <c r="B19" s="391" t="s">
        <v>15554</v>
      </c>
      <c r="C19" s="391" t="s">
        <v>14994</v>
      </c>
      <c r="D19" s="391" t="s">
        <v>1152</v>
      </c>
      <c r="E19" s="391" t="s">
        <v>18195</v>
      </c>
      <c r="F19" s="391" t="s">
        <v>18196</v>
      </c>
      <c r="G19" s="408">
        <v>46173</v>
      </c>
      <c r="H19" s="391" t="s">
        <v>15964</v>
      </c>
      <c r="I19" s="391" t="s">
        <v>1075</v>
      </c>
      <c r="J19" s="392" t="s">
        <v>18198</v>
      </c>
    </row>
    <row r="20" spans="1:10" x14ac:dyDescent="0.3">
      <c r="A20" s="390" t="s">
        <v>18199</v>
      </c>
      <c r="B20" s="391" t="s">
        <v>15584</v>
      </c>
      <c r="C20" s="391" t="s">
        <v>14993</v>
      </c>
      <c r="D20" s="391" t="s">
        <v>15437</v>
      </c>
      <c r="E20" s="391" t="s">
        <v>18200</v>
      </c>
      <c r="F20" s="391" t="s">
        <v>18201</v>
      </c>
      <c r="G20" s="408">
        <v>46196</v>
      </c>
      <c r="H20" s="391" t="s">
        <v>15779</v>
      </c>
      <c r="I20" s="391" t="s">
        <v>1075</v>
      </c>
      <c r="J20" s="392" t="s">
        <v>18202</v>
      </c>
    </row>
    <row r="21" spans="1:10" x14ac:dyDescent="0.3">
      <c r="A21" s="390" t="s">
        <v>18199</v>
      </c>
      <c r="B21" s="391" t="s">
        <v>15584</v>
      </c>
      <c r="C21" s="391" t="s">
        <v>14993</v>
      </c>
      <c r="D21" s="391" t="s">
        <v>15441</v>
      </c>
      <c r="E21" s="391" t="s">
        <v>18203</v>
      </c>
      <c r="F21" s="391" t="s">
        <v>18204</v>
      </c>
      <c r="G21" s="408">
        <v>46192</v>
      </c>
      <c r="H21" s="391" t="s">
        <v>15816</v>
      </c>
      <c r="I21" s="391" t="s">
        <v>1075</v>
      </c>
      <c r="J21" s="392" t="s">
        <v>18205</v>
      </c>
    </row>
    <row r="22" spans="1:10" x14ac:dyDescent="0.3">
      <c r="A22" s="390" t="s">
        <v>18199</v>
      </c>
      <c r="B22" s="391" t="s">
        <v>15584</v>
      </c>
      <c r="C22" s="391" t="s">
        <v>14993</v>
      </c>
      <c r="D22" s="391" t="s">
        <v>1081</v>
      </c>
      <c r="E22" s="391" t="s">
        <v>18206</v>
      </c>
      <c r="F22" s="391" t="s">
        <v>18207</v>
      </c>
      <c r="G22" s="408">
        <v>46187</v>
      </c>
      <c r="H22" s="391" t="s">
        <v>15853</v>
      </c>
      <c r="I22" s="391" t="s">
        <v>1075</v>
      </c>
      <c r="J22" s="392" t="s">
        <v>18208</v>
      </c>
    </row>
    <row r="23" spans="1:10" x14ac:dyDescent="0.3">
      <c r="A23" s="390" t="s">
        <v>18199</v>
      </c>
      <c r="B23" s="391" t="s">
        <v>15584</v>
      </c>
      <c r="C23" s="391" t="s">
        <v>14993</v>
      </c>
      <c r="D23" s="391" t="s">
        <v>15444</v>
      </c>
      <c r="E23" s="391" t="s">
        <v>18209</v>
      </c>
      <c r="F23" s="391" t="s">
        <v>18210</v>
      </c>
      <c r="G23" s="408">
        <v>46182</v>
      </c>
      <c r="H23" s="391" t="s">
        <v>15890</v>
      </c>
      <c r="I23" s="391" t="s">
        <v>1075</v>
      </c>
      <c r="J23" s="392" t="s">
        <v>18211</v>
      </c>
    </row>
    <row r="24" spans="1:10" x14ac:dyDescent="0.3">
      <c r="A24" s="390" t="s">
        <v>18199</v>
      </c>
      <c r="B24" s="391" t="s">
        <v>15584</v>
      </c>
      <c r="C24" s="391" t="s">
        <v>14993</v>
      </c>
      <c r="D24" s="391" t="s">
        <v>15446</v>
      </c>
      <c r="E24" s="391" t="s">
        <v>18212</v>
      </c>
      <c r="F24" s="391" t="s">
        <v>18213</v>
      </c>
      <c r="G24" s="408">
        <v>46175</v>
      </c>
      <c r="H24" s="391" t="s">
        <v>15929</v>
      </c>
      <c r="I24" s="391" t="s">
        <v>1075</v>
      </c>
      <c r="J24" s="392" t="s">
        <v>18214</v>
      </c>
    </row>
    <row r="25" spans="1:10" x14ac:dyDescent="0.3">
      <c r="A25" s="390" t="s">
        <v>18199</v>
      </c>
      <c r="B25" s="391" t="s">
        <v>15584</v>
      </c>
      <c r="C25" s="391" t="s">
        <v>14993</v>
      </c>
      <c r="D25" s="391" t="s">
        <v>1152</v>
      </c>
      <c r="E25" s="391" t="s">
        <v>18212</v>
      </c>
      <c r="F25" s="391" t="s">
        <v>18213</v>
      </c>
      <c r="G25" s="408">
        <v>46176</v>
      </c>
      <c r="H25" s="391" t="s">
        <v>15967</v>
      </c>
      <c r="I25" s="391" t="s">
        <v>1075</v>
      </c>
      <c r="J25" s="392" t="s">
        <v>18215</v>
      </c>
    </row>
    <row r="26" spans="1:10" x14ac:dyDescent="0.3">
      <c r="A26" s="390" t="s">
        <v>18216</v>
      </c>
      <c r="B26" s="391" t="s">
        <v>15614</v>
      </c>
      <c r="C26" s="391" t="s">
        <v>14992</v>
      </c>
      <c r="D26" s="391" t="s">
        <v>15437</v>
      </c>
      <c r="E26" s="391" t="s">
        <v>18217</v>
      </c>
      <c r="F26" s="391" t="s">
        <v>18218</v>
      </c>
      <c r="G26" s="408">
        <v>46197</v>
      </c>
      <c r="H26" s="391" t="s">
        <v>15782</v>
      </c>
      <c r="I26" s="391" t="s">
        <v>1075</v>
      </c>
      <c r="J26" s="392" t="s">
        <v>18219</v>
      </c>
    </row>
    <row r="27" spans="1:10" x14ac:dyDescent="0.3">
      <c r="A27" s="390" t="s">
        <v>18216</v>
      </c>
      <c r="B27" s="391" t="s">
        <v>15614</v>
      </c>
      <c r="C27" s="391" t="s">
        <v>14992</v>
      </c>
      <c r="D27" s="391" t="s">
        <v>15441</v>
      </c>
      <c r="E27" s="391" t="s">
        <v>18220</v>
      </c>
      <c r="F27" s="391" t="s">
        <v>18221</v>
      </c>
      <c r="G27" s="408">
        <v>46193</v>
      </c>
      <c r="H27" s="391" t="s">
        <v>15819</v>
      </c>
      <c r="I27" s="391" t="s">
        <v>1075</v>
      </c>
      <c r="J27" s="392" t="s">
        <v>18222</v>
      </c>
    </row>
    <row r="28" spans="1:10" x14ac:dyDescent="0.3">
      <c r="A28" s="390" t="s">
        <v>18216</v>
      </c>
      <c r="B28" s="391" t="s">
        <v>15614</v>
      </c>
      <c r="C28" s="391" t="s">
        <v>14992</v>
      </c>
      <c r="D28" s="391" t="s">
        <v>1081</v>
      </c>
      <c r="E28" s="391" t="s">
        <v>18223</v>
      </c>
      <c r="F28" s="391" t="s">
        <v>18224</v>
      </c>
      <c r="G28" s="408">
        <v>46188</v>
      </c>
      <c r="H28" s="391" t="s">
        <v>15856</v>
      </c>
      <c r="I28" s="391" t="s">
        <v>1075</v>
      </c>
      <c r="J28" s="392" t="s">
        <v>18225</v>
      </c>
    </row>
    <row r="29" spans="1:10" x14ac:dyDescent="0.3">
      <c r="A29" s="390" t="s">
        <v>18216</v>
      </c>
      <c r="B29" s="391" t="s">
        <v>15614</v>
      </c>
      <c r="C29" s="391" t="s">
        <v>14992</v>
      </c>
      <c r="D29" s="391" t="s">
        <v>15444</v>
      </c>
      <c r="E29" s="391" t="s">
        <v>18226</v>
      </c>
      <c r="F29" s="391" t="s">
        <v>18227</v>
      </c>
      <c r="G29" s="408">
        <v>46183</v>
      </c>
      <c r="H29" s="391" t="s">
        <v>15893</v>
      </c>
      <c r="I29" s="391" t="s">
        <v>1075</v>
      </c>
      <c r="J29" s="392" t="s">
        <v>18228</v>
      </c>
    </row>
    <row r="30" spans="1:10" x14ac:dyDescent="0.3">
      <c r="A30" s="390" t="s">
        <v>18216</v>
      </c>
      <c r="B30" s="391" t="s">
        <v>15614</v>
      </c>
      <c r="C30" s="391" t="s">
        <v>14992</v>
      </c>
      <c r="D30" s="391" t="s">
        <v>15446</v>
      </c>
      <c r="E30" s="391" t="s">
        <v>18229</v>
      </c>
      <c r="F30" s="391" t="s">
        <v>18230</v>
      </c>
      <c r="G30" s="408">
        <v>46176</v>
      </c>
      <c r="H30" s="391" t="s">
        <v>15932</v>
      </c>
      <c r="I30" s="391" t="s">
        <v>1075</v>
      </c>
      <c r="J30" s="392" t="s">
        <v>18231</v>
      </c>
    </row>
    <row r="31" spans="1:10" x14ac:dyDescent="0.3">
      <c r="A31" s="390" t="s">
        <v>18216</v>
      </c>
      <c r="B31" s="391" t="s">
        <v>15614</v>
      </c>
      <c r="C31" s="391" t="s">
        <v>14992</v>
      </c>
      <c r="D31" s="391" t="s">
        <v>1152</v>
      </c>
      <c r="E31" s="391" t="s">
        <v>18229</v>
      </c>
      <c r="F31" s="391" t="s">
        <v>18230</v>
      </c>
      <c r="G31" s="408">
        <v>46177</v>
      </c>
      <c r="H31" s="391" t="s">
        <v>15970</v>
      </c>
      <c r="I31" s="391" t="s">
        <v>1075</v>
      </c>
      <c r="J31" s="392" t="s">
        <v>18232</v>
      </c>
    </row>
    <row r="32" spans="1:10" x14ac:dyDescent="0.3">
      <c r="A32" s="390" t="s">
        <v>18233</v>
      </c>
      <c r="B32" s="391" t="s">
        <v>15643</v>
      </c>
      <c r="C32" s="391" t="s">
        <v>14991</v>
      </c>
      <c r="D32" s="391" t="s">
        <v>15437</v>
      </c>
      <c r="E32" s="391" t="s">
        <v>18234</v>
      </c>
      <c r="F32" s="391" t="s">
        <v>18235</v>
      </c>
      <c r="G32" s="408">
        <v>46195</v>
      </c>
      <c r="H32" s="391" t="s">
        <v>15785</v>
      </c>
      <c r="I32" s="391" t="s">
        <v>1075</v>
      </c>
      <c r="J32" s="392" t="s">
        <v>18236</v>
      </c>
    </row>
    <row r="33" spans="1:10" x14ac:dyDescent="0.3">
      <c r="A33" s="390" t="s">
        <v>18233</v>
      </c>
      <c r="B33" s="391" t="s">
        <v>15643</v>
      </c>
      <c r="C33" s="391" t="s">
        <v>14991</v>
      </c>
      <c r="D33" s="391" t="s">
        <v>15441</v>
      </c>
      <c r="E33" s="391" t="s">
        <v>18237</v>
      </c>
      <c r="F33" s="391" t="s">
        <v>18238</v>
      </c>
      <c r="G33" s="408">
        <v>46190</v>
      </c>
      <c r="H33" s="391" t="s">
        <v>15822</v>
      </c>
      <c r="I33" s="391" t="s">
        <v>1075</v>
      </c>
      <c r="J33" s="392" t="s">
        <v>18239</v>
      </c>
    </row>
    <row r="34" spans="1:10" x14ac:dyDescent="0.3">
      <c r="A34" s="390" t="s">
        <v>18233</v>
      </c>
      <c r="B34" s="391" t="s">
        <v>15643</v>
      </c>
      <c r="C34" s="391" t="s">
        <v>14991</v>
      </c>
      <c r="D34" s="391" t="s">
        <v>1081</v>
      </c>
      <c r="E34" s="391" t="s">
        <v>18240</v>
      </c>
      <c r="F34" s="391" t="s">
        <v>18241</v>
      </c>
      <c r="G34" s="408">
        <v>46185</v>
      </c>
      <c r="H34" s="391" t="s">
        <v>15859</v>
      </c>
      <c r="I34" s="391" t="s">
        <v>1075</v>
      </c>
      <c r="J34" s="392" t="s">
        <v>18242</v>
      </c>
    </row>
    <row r="35" spans="1:10" x14ac:dyDescent="0.3">
      <c r="A35" s="390" t="s">
        <v>18233</v>
      </c>
      <c r="B35" s="391" t="s">
        <v>15643</v>
      </c>
      <c r="C35" s="391" t="s">
        <v>14991</v>
      </c>
      <c r="D35" s="391" t="s">
        <v>15444</v>
      </c>
      <c r="E35" s="391" t="s">
        <v>18243</v>
      </c>
      <c r="F35" s="391" t="s">
        <v>18244</v>
      </c>
      <c r="G35" s="408">
        <v>46180</v>
      </c>
      <c r="H35" s="391" t="s">
        <v>15896</v>
      </c>
      <c r="I35" s="391" t="s">
        <v>1075</v>
      </c>
      <c r="J35" s="392" t="s">
        <v>18245</v>
      </c>
    </row>
    <row r="36" spans="1:10" x14ac:dyDescent="0.3">
      <c r="A36" s="390" t="s">
        <v>18233</v>
      </c>
      <c r="B36" s="391" t="s">
        <v>15643</v>
      </c>
      <c r="C36" s="391" t="s">
        <v>14991</v>
      </c>
      <c r="D36" s="391" t="s">
        <v>15446</v>
      </c>
      <c r="E36" s="391" t="s">
        <v>18246</v>
      </c>
      <c r="F36" s="391" t="s">
        <v>18247</v>
      </c>
      <c r="G36" s="408">
        <v>46173</v>
      </c>
      <c r="H36" s="391" t="s">
        <v>15935</v>
      </c>
      <c r="I36" s="391" t="s">
        <v>1075</v>
      </c>
      <c r="J36" s="392" t="s">
        <v>18248</v>
      </c>
    </row>
    <row r="37" spans="1:10" x14ac:dyDescent="0.3">
      <c r="A37" s="390" t="s">
        <v>18233</v>
      </c>
      <c r="B37" s="391" t="s">
        <v>15643</v>
      </c>
      <c r="C37" s="391" t="s">
        <v>14991</v>
      </c>
      <c r="D37" s="391" t="s">
        <v>1152</v>
      </c>
      <c r="E37" s="391" t="s">
        <v>18246</v>
      </c>
      <c r="F37" s="391" t="s">
        <v>18247</v>
      </c>
      <c r="G37" s="408">
        <v>46174</v>
      </c>
      <c r="H37" s="391" t="s">
        <v>15973</v>
      </c>
      <c r="I37" s="391" t="s">
        <v>1075</v>
      </c>
      <c r="J37" s="392" t="s">
        <v>18249</v>
      </c>
    </row>
    <row r="38" spans="1:10" x14ac:dyDescent="0.3">
      <c r="A38" s="390" t="s">
        <v>18250</v>
      </c>
      <c r="B38" s="391" t="s">
        <v>15673</v>
      </c>
      <c r="C38" s="391" t="s">
        <v>1159</v>
      </c>
      <c r="D38" s="391" t="s">
        <v>15437</v>
      </c>
      <c r="E38" s="391" t="s">
        <v>18251</v>
      </c>
      <c r="F38" s="391" t="s">
        <v>18252</v>
      </c>
      <c r="G38" s="408">
        <v>46196</v>
      </c>
      <c r="H38" s="391" t="s">
        <v>15788</v>
      </c>
      <c r="I38" s="391" t="s">
        <v>1075</v>
      </c>
      <c r="J38" s="392" t="s">
        <v>18253</v>
      </c>
    </row>
    <row r="39" spans="1:10" x14ac:dyDescent="0.3">
      <c r="A39" s="390" t="s">
        <v>18250</v>
      </c>
      <c r="B39" s="391" t="s">
        <v>15673</v>
      </c>
      <c r="C39" s="391" t="s">
        <v>1159</v>
      </c>
      <c r="D39" s="391" t="s">
        <v>15441</v>
      </c>
      <c r="E39" s="391" t="s">
        <v>18254</v>
      </c>
      <c r="F39" s="391" t="s">
        <v>18255</v>
      </c>
      <c r="G39" s="408">
        <v>46191</v>
      </c>
      <c r="H39" s="391" t="s">
        <v>15825</v>
      </c>
      <c r="I39" s="391" t="s">
        <v>1075</v>
      </c>
      <c r="J39" s="392" t="s">
        <v>18256</v>
      </c>
    </row>
    <row r="40" spans="1:10" x14ac:dyDescent="0.3">
      <c r="A40" s="390" t="s">
        <v>18250</v>
      </c>
      <c r="B40" s="391" t="s">
        <v>15673</v>
      </c>
      <c r="C40" s="391" t="s">
        <v>1159</v>
      </c>
      <c r="D40" s="391" t="s">
        <v>1081</v>
      </c>
      <c r="E40" s="391" t="s">
        <v>18257</v>
      </c>
      <c r="F40" s="391" t="s">
        <v>18258</v>
      </c>
      <c r="G40" s="408">
        <v>46186</v>
      </c>
      <c r="H40" s="391" t="s">
        <v>15862</v>
      </c>
      <c r="I40" s="391" t="s">
        <v>1075</v>
      </c>
      <c r="J40" s="392" t="s">
        <v>18259</v>
      </c>
    </row>
    <row r="41" spans="1:10" x14ac:dyDescent="0.3">
      <c r="A41" s="390" t="s">
        <v>18250</v>
      </c>
      <c r="B41" s="391" t="s">
        <v>15673</v>
      </c>
      <c r="C41" s="391" t="s">
        <v>1159</v>
      </c>
      <c r="D41" s="391" t="s">
        <v>15444</v>
      </c>
      <c r="E41" s="391" t="s">
        <v>18260</v>
      </c>
      <c r="F41" s="391" t="s">
        <v>18261</v>
      </c>
      <c r="G41" s="408">
        <v>46181</v>
      </c>
      <c r="H41" s="391" t="s">
        <v>15899</v>
      </c>
      <c r="I41" s="391" t="s">
        <v>1075</v>
      </c>
      <c r="J41" s="392" t="s">
        <v>18262</v>
      </c>
    </row>
    <row r="42" spans="1:10" x14ac:dyDescent="0.3">
      <c r="A42" s="390" t="s">
        <v>18250</v>
      </c>
      <c r="B42" s="391" t="s">
        <v>15673</v>
      </c>
      <c r="C42" s="391" t="s">
        <v>1159</v>
      </c>
      <c r="D42" s="391" t="s">
        <v>15446</v>
      </c>
      <c r="E42" s="391" t="s">
        <v>18263</v>
      </c>
      <c r="F42" s="391" t="s">
        <v>18264</v>
      </c>
      <c r="G42" s="408">
        <v>46174</v>
      </c>
      <c r="H42" s="391" t="s">
        <v>15938</v>
      </c>
      <c r="I42" s="391" t="s">
        <v>1075</v>
      </c>
      <c r="J42" s="392" t="s">
        <v>18265</v>
      </c>
    </row>
    <row r="43" spans="1:10" x14ac:dyDescent="0.3">
      <c r="A43" s="390" t="s">
        <v>18250</v>
      </c>
      <c r="B43" s="391" t="s">
        <v>15673</v>
      </c>
      <c r="C43" s="391" t="s">
        <v>1159</v>
      </c>
      <c r="D43" s="391" t="s">
        <v>1152</v>
      </c>
      <c r="E43" s="391" t="s">
        <v>18263</v>
      </c>
      <c r="F43" s="391" t="s">
        <v>18264</v>
      </c>
      <c r="G43" s="408">
        <v>46175</v>
      </c>
      <c r="H43" s="391" t="s">
        <v>15976</v>
      </c>
      <c r="I43" s="391" t="s">
        <v>1075</v>
      </c>
      <c r="J43" s="392" t="s">
        <v>18266</v>
      </c>
    </row>
    <row r="44" spans="1:10" x14ac:dyDescent="0.3">
      <c r="A44" s="390" t="s">
        <v>18267</v>
      </c>
      <c r="B44" s="391" t="s">
        <v>15717</v>
      </c>
      <c r="C44" s="391" t="s">
        <v>14990</v>
      </c>
      <c r="D44" s="391" t="s">
        <v>15437</v>
      </c>
      <c r="E44" s="391" t="s">
        <v>18268</v>
      </c>
      <c r="F44" s="391" t="s">
        <v>18269</v>
      </c>
      <c r="G44" s="408">
        <v>46194</v>
      </c>
      <c r="H44" s="391" t="s">
        <v>15791</v>
      </c>
      <c r="I44" s="391" t="s">
        <v>1075</v>
      </c>
      <c r="J44" s="392" t="s">
        <v>18270</v>
      </c>
    </row>
    <row r="45" spans="1:10" x14ac:dyDescent="0.3">
      <c r="A45" s="390" t="s">
        <v>18267</v>
      </c>
      <c r="B45" s="391" t="s">
        <v>15717</v>
      </c>
      <c r="C45" s="391" t="s">
        <v>14990</v>
      </c>
      <c r="D45" s="391" t="s">
        <v>15441</v>
      </c>
      <c r="E45" s="391" t="s">
        <v>18271</v>
      </c>
      <c r="F45" s="391" t="s">
        <v>18272</v>
      </c>
      <c r="G45" s="408">
        <v>46189</v>
      </c>
      <c r="H45" s="391" t="s">
        <v>15828</v>
      </c>
      <c r="I45" s="391" t="s">
        <v>1075</v>
      </c>
      <c r="J45" s="392" t="s">
        <v>18273</v>
      </c>
    </row>
    <row r="46" spans="1:10" x14ac:dyDescent="0.3">
      <c r="A46" s="390" t="s">
        <v>18267</v>
      </c>
      <c r="B46" s="391" t="s">
        <v>15717</v>
      </c>
      <c r="C46" s="391" t="s">
        <v>14990</v>
      </c>
      <c r="D46" s="391" t="s">
        <v>1081</v>
      </c>
      <c r="E46" s="391" t="s">
        <v>18274</v>
      </c>
      <c r="F46" s="391" t="s">
        <v>18275</v>
      </c>
      <c r="G46" s="408">
        <v>46184</v>
      </c>
      <c r="H46" s="391" t="s">
        <v>15865</v>
      </c>
      <c r="I46" s="391" t="s">
        <v>1075</v>
      </c>
      <c r="J46" s="392" t="s">
        <v>18276</v>
      </c>
    </row>
    <row r="47" spans="1:10" x14ac:dyDescent="0.3">
      <c r="A47" s="390" t="s">
        <v>18267</v>
      </c>
      <c r="B47" s="391" t="s">
        <v>15717</v>
      </c>
      <c r="C47" s="391" t="s">
        <v>14990</v>
      </c>
      <c r="D47" s="391" t="s">
        <v>15444</v>
      </c>
      <c r="E47" s="391" t="s">
        <v>18277</v>
      </c>
      <c r="F47" s="391" t="s">
        <v>18278</v>
      </c>
      <c r="G47" s="408">
        <v>46179</v>
      </c>
      <c r="H47" s="391" t="s">
        <v>15902</v>
      </c>
      <c r="I47" s="391" t="s">
        <v>1075</v>
      </c>
      <c r="J47" s="392" t="s">
        <v>18279</v>
      </c>
    </row>
    <row r="48" spans="1:10" x14ac:dyDescent="0.3">
      <c r="A48" s="390" t="s">
        <v>18267</v>
      </c>
      <c r="B48" s="391" t="s">
        <v>15717</v>
      </c>
      <c r="C48" s="391" t="s">
        <v>14990</v>
      </c>
      <c r="D48" s="391" t="s">
        <v>15446</v>
      </c>
      <c r="E48" s="391" t="s">
        <v>18280</v>
      </c>
      <c r="F48" s="391" t="s">
        <v>18281</v>
      </c>
      <c r="G48" s="408">
        <v>46172</v>
      </c>
      <c r="H48" s="391" t="s">
        <v>15941</v>
      </c>
      <c r="I48" s="391" t="s">
        <v>1075</v>
      </c>
      <c r="J48" s="392" t="s">
        <v>18282</v>
      </c>
    </row>
    <row r="49" spans="1:10" x14ac:dyDescent="0.3">
      <c r="A49" s="390" t="s">
        <v>18267</v>
      </c>
      <c r="B49" s="391" t="s">
        <v>15717</v>
      </c>
      <c r="C49" s="391" t="s">
        <v>14990</v>
      </c>
      <c r="D49" s="391" t="s">
        <v>1152</v>
      </c>
      <c r="E49" s="391" t="s">
        <v>18280</v>
      </c>
      <c r="F49" s="391" t="s">
        <v>18281</v>
      </c>
      <c r="G49" s="408">
        <v>46173</v>
      </c>
      <c r="H49" s="391" t="s">
        <v>15979</v>
      </c>
      <c r="I49" s="391" t="s">
        <v>1075</v>
      </c>
      <c r="J49" s="392" t="s">
        <v>18283</v>
      </c>
    </row>
    <row r="50" spans="1:10" x14ac:dyDescent="0.3">
      <c r="A50" s="390" t="s">
        <v>18284</v>
      </c>
      <c r="B50" s="391" t="s">
        <v>15732</v>
      </c>
      <c r="C50" s="391" t="s">
        <v>152</v>
      </c>
      <c r="D50" s="391" t="s">
        <v>15437</v>
      </c>
      <c r="E50" s="391" t="s">
        <v>18285</v>
      </c>
      <c r="F50" s="391" t="s">
        <v>18286</v>
      </c>
      <c r="G50" s="408">
        <v>46197</v>
      </c>
      <c r="H50" s="391" t="s">
        <v>15794</v>
      </c>
      <c r="I50" s="391" t="s">
        <v>1075</v>
      </c>
      <c r="J50" s="392" t="s">
        <v>18287</v>
      </c>
    </row>
    <row r="51" spans="1:10" x14ac:dyDescent="0.3">
      <c r="A51" s="390" t="s">
        <v>18284</v>
      </c>
      <c r="B51" s="391" t="s">
        <v>15732</v>
      </c>
      <c r="C51" s="391" t="s">
        <v>152</v>
      </c>
      <c r="D51" s="391" t="s">
        <v>15441</v>
      </c>
      <c r="E51" s="391" t="s">
        <v>18288</v>
      </c>
      <c r="F51" s="391" t="s">
        <v>18289</v>
      </c>
      <c r="G51" s="408">
        <v>46192</v>
      </c>
      <c r="H51" s="391" t="s">
        <v>15831</v>
      </c>
      <c r="I51" s="391" t="s">
        <v>1075</v>
      </c>
      <c r="J51" s="392" t="s">
        <v>18290</v>
      </c>
    </row>
    <row r="52" spans="1:10" x14ac:dyDescent="0.3">
      <c r="A52" s="390" t="s">
        <v>18284</v>
      </c>
      <c r="B52" s="391" t="s">
        <v>15732</v>
      </c>
      <c r="C52" s="391" t="s">
        <v>152</v>
      </c>
      <c r="D52" s="391" t="s">
        <v>1081</v>
      </c>
      <c r="E52" s="391" t="s">
        <v>18291</v>
      </c>
      <c r="F52" s="391" t="s">
        <v>18292</v>
      </c>
      <c r="G52" s="408">
        <v>46187</v>
      </c>
      <c r="H52" s="391" t="s">
        <v>15868</v>
      </c>
      <c r="I52" s="391" t="s">
        <v>1075</v>
      </c>
      <c r="J52" s="392" t="s">
        <v>18293</v>
      </c>
    </row>
    <row r="53" spans="1:10" x14ac:dyDescent="0.3">
      <c r="A53" s="390" t="s">
        <v>18284</v>
      </c>
      <c r="B53" s="391" t="s">
        <v>15732</v>
      </c>
      <c r="C53" s="391" t="s">
        <v>152</v>
      </c>
      <c r="D53" s="391" t="s">
        <v>15444</v>
      </c>
      <c r="E53" s="391" t="s">
        <v>18294</v>
      </c>
      <c r="F53" s="391" t="s">
        <v>18295</v>
      </c>
      <c r="G53" s="408">
        <v>46182</v>
      </c>
      <c r="H53" s="391" t="s">
        <v>15905</v>
      </c>
      <c r="I53" s="391" t="s">
        <v>1075</v>
      </c>
      <c r="J53" s="392" t="s">
        <v>18296</v>
      </c>
    </row>
    <row r="54" spans="1:10" x14ac:dyDescent="0.3">
      <c r="A54" s="390" t="s">
        <v>18284</v>
      </c>
      <c r="B54" s="391" t="s">
        <v>15732</v>
      </c>
      <c r="C54" s="391" t="s">
        <v>152</v>
      </c>
      <c r="D54" s="391" t="s">
        <v>15446</v>
      </c>
      <c r="E54" s="391" t="s">
        <v>18297</v>
      </c>
      <c r="F54" s="391" t="s">
        <v>18298</v>
      </c>
      <c r="G54" s="408">
        <v>46175</v>
      </c>
      <c r="H54" s="391" t="s">
        <v>15944</v>
      </c>
      <c r="I54" s="391" t="s">
        <v>1075</v>
      </c>
      <c r="J54" s="392" t="s">
        <v>18299</v>
      </c>
    </row>
    <row r="55" spans="1:10" x14ac:dyDescent="0.3">
      <c r="A55" s="390" t="s">
        <v>18284</v>
      </c>
      <c r="B55" s="391" t="s">
        <v>15732</v>
      </c>
      <c r="C55" s="391" t="s">
        <v>152</v>
      </c>
      <c r="D55" s="391" t="s">
        <v>1152</v>
      </c>
      <c r="E55" s="391" t="s">
        <v>18297</v>
      </c>
      <c r="F55" s="391" t="s">
        <v>18298</v>
      </c>
      <c r="G55" s="408">
        <v>46176</v>
      </c>
      <c r="H55" s="391" t="s">
        <v>15982</v>
      </c>
      <c r="I55" s="391" t="s">
        <v>1075</v>
      </c>
      <c r="J55" s="392" t="s">
        <v>18300</v>
      </c>
    </row>
    <row r="56" spans="1:10" x14ac:dyDescent="0.3">
      <c r="A56" s="390" t="s">
        <v>18301</v>
      </c>
      <c r="B56" s="391" t="s">
        <v>15652</v>
      </c>
      <c r="C56" s="391" t="s">
        <v>14991</v>
      </c>
      <c r="D56" s="391" t="s">
        <v>15437</v>
      </c>
      <c r="E56" s="391" t="s">
        <v>18302</v>
      </c>
      <c r="F56" s="391" t="s">
        <v>18303</v>
      </c>
      <c r="G56" s="408">
        <v>46195</v>
      </c>
      <c r="H56" s="391" t="s">
        <v>15797</v>
      </c>
      <c r="I56" s="391" t="s">
        <v>1075</v>
      </c>
      <c r="J56" s="392" t="s">
        <v>18304</v>
      </c>
    </row>
    <row r="57" spans="1:10" x14ac:dyDescent="0.3">
      <c r="A57" s="390" t="s">
        <v>18301</v>
      </c>
      <c r="B57" s="391" t="s">
        <v>15652</v>
      </c>
      <c r="C57" s="391" t="s">
        <v>14991</v>
      </c>
      <c r="D57" s="391" t="s">
        <v>15441</v>
      </c>
      <c r="E57" s="391" t="s">
        <v>18305</v>
      </c>
      <c r="F57" s="391" t="s">
        <v>18306</v>
      </c>
      <c r="G57" s="408">
        <v>46190</v>
      </c>
      <c r="H57" s="391" t="s">
        <v>15834</v>
      </c>
      <c r="I57" s="391" t="s">
        <v>1075</v>
      </c>
      <c r="J57" s="392" t="s">
        <v>18307</v>
      </c>
    </row>
    <row r="58" spans="1:10" x14ac:dyDescent="0.3">
      <c r="A58" s="390" t="s">
        <v>18301</v>
      </c>
      <c r="B58" s="391" t="s">
        <v>15652</v>
      </c>
      <c r="C58" s="391" t="s">
        <v>14991</v>
      </c>
      <c r="D58" s="391" t="s">
        <v>1081</v>
      </c>
      <c r="E58" s="391" t="s">
        <v>18308</v>
      </c>
      <c r="F58" s="391" t="s">
        <v>18309</v>
      </c>
      <c r="G58" s="408">
        <v>46185</v>
      </c>
      <c r="H58" s="391" t="s">
        <v>15871</v>
      </c>
      <c r="I58" s="391" t="s">
        <v>1075</v>
      </c>
      <c r="J58" s="392" t="s">
        <v>18310</v>
      </c>
    </row>
    <row r="59" spans="1:10" x14ac:dyDescent="0.3">
      <c r="A59" s="390" t="s">
        <v>18301</v>
      </c>
      <c r="B59" s="391" t="s">
        <v>15652</v>
      </c>
      <c r="C59" s="391" t="s">
        <v>14991</v>
      </c>
      <c r="D59" s="391" t="s">
        <v>15444</v>
      </c>
      <c r="E59" s="391" t="s">
        <v>18311</v>
      </c>
      <c r="F59" s="391" t="s">
        <v>18312</v>
      </c>
      <c r="G59" s="408">
        <v>46180</v>
      </c>
      <c r="H59" s="391" t="s">
        <v>15908</v>
      </c>
      <c r="I59" s="391" t="s">
        <v>1075</v>
      </c>
      <c r="J59" s="392" t="s">
        <v>18313</v>
      </c>
    </row>
    <row r="60" spans="1:10" x14ac:dyDescent="0.3">
      <c r="A60" s="390" t="s">
        <v>18301</v>
      </c>
      <c r="B60" s="391" t="s">
        <v>15652</v>
      </c>
      <c r="C60" s="391" t="s">
        <v>14991</v>
      </c>
      <c r="D60" s="391" t="s">
        <v>15446</v>
      </c>
      <c r="E60" s="391" t="s">
        <v>18314</v>
      </c>
      <c r="F60" s="391" t="s">
        <v>18315</v>
      </c>
      <c r="G60" s="408">
        <v>46173</v>
      </c>
      <c r="H60" s="391" t="s">
        <v>15947</v>
      </c>
      <c r="I60" s="391" t="s">
        <v>1075</v>
      </c>
      <c r="J60" s="392" t="s">
        <v>18316</v>
      </c>
    </row>
    <row r="61" spans="1:10" x14ac:dyDescent="0.3">
      <c r="A61" s="390" t="s">
        <v>18301</v>
      </c>
      <c r="B61" s="391" t="s">
        <v>15652</v>
      </c>
      <c r="C61" s="391" t="s">
        <v>14991</v>
      </c>
      <c r="D61" s="391" t="s">
        <v>1152</v>
      </c>
      <c r="E61" s="391" t="s">
        <v>18314</v>
      </c>
      <c r="F61" s="391" t="s">
        <v>18315</v>
      </c>
      <c r="G61" s="408">
        <v>46174</v>
      </c>
      <c r="H61" s="391" t="s">
        <v>15985</v>
      </c>
      <c r="I61" s="391" t="s">
        <v>1075</v>
      </c>
      <c r="J61" s="392" t="s">
        <v>18317</v>
      </c>
    </row>
    <row r="62" spans="1:10" x14ac:dyDescent="0.3">
      <c r="A62" s="390" t="s">
        <v>18318</v>
      </c>
      <c r="B62" s="391" t="s">
        <v>15476</v>
      </c>
      <c r="C62" s="391" t="s">
        <v>1158</v>
      </c>
      <c r="D62" s="391" t="s">
        <v>15437</v>
      </c>
      <c r="E62" s="391" t="s">
        <v>18319</v>
      </c>
      <c r="F62" s="391" t="s">
        <v>18320</v>
      </c>
      <c r="G62" s="408">
        <v>46193</v>
      </c>
      <c r="H62" s="391" t="s">
        <v>15800</v>
      </c>
      <c r="I62" s="391" t="s">
        <v>1075</v>
      </c>
      <c r="J62" s="392" t="s">
        <v>18321</v>
      </c>
    </row>
    <row r="63" spans="1:10" x14ac:dyDescent="0.3">
      <c r="A63" s="390" t="s">
        <v>18318</v>
      </c>
      <c r="B63" s="391" t="s">
        <v>15476</v>
      </c>
      <c r="C63" s="391" t="s">
        <v>1158</v>
      </c>
      <c r="D63" s="391" t="s">
        <v>15441</v>
      </c>
      <c r="E63" s="391" t="s">
        <v>18322</v>
      </c>
      <c r="F63" s="391" t="s">
        <v>18323</v>
      </c>
      <c r="G63" s="408">
        <v>46188</v>
      </c>
      <c r="H63" s="391" t="s">
        <v>15837</v>
      </c>
      <c r="I63" s="391" t="s">
        <v>1075</v>
      </c>
      <c r="J63" s="392" t="s">
        <v>18324</v>
      </c>
    </row>
    <row r="64" spans="1:10" x14ac:dyDescent="0.3">
      <c r="A64" s="390" t="s">
        <v>18318</v>
      </c>
      <c r="B64" s="391" t="s">
        <v>15476</v>
      </c>
      <c r="C64" s="391" t="s">
        <v>1158</v>
      </c>
      <c r="D64" s="391" t="s">
        <v>1081</v>
      </c>
      <c r="E64" s="391" t="s">
        <v>18325</v>
      </c>
      <c r="F64" s="391" t="s">
        <v>18326</v>
      </c>
      <c r="G64" s="408">
        <v>46183</v>
      </c>
      <c r="H64" s="391" t="s">
        <v>15874</v>
      </c>
      <c r="I64" s="391" t="s">
        <v>1075</v>
      </c>
      <c r="J64" s="392" t="s">
        <v>18327</v>
      </c>
    </row>
    <row r="65" spans="1:10" x14ac:dyDescent="0.3">
      <c r="A65" s="390" t="s">
        <v>18318</v>
      </c>
      <c r="B65" s="391" t="s">
        <v>15476</v>
      </c>
      <c r="C65" s="391" t="s">
        <v>1158</v>
      </c>
      <c r="D65" s="391" t="s">
        <v>15444</v>
      </c>
      <c r="E65" s="391" t="s">
        <v>18328</v>
      </c>
      <c r="F65" s="391" t="s">
        <v>18329</v>
      </c>
      <c r="G65" s="408">
        <v>46178</v>
      </c>
      <c r="H65" s="391" t="s">
        <v>15911</v>
      </c>
      <c r="I65" s="391" t="s">
        <v>1075</v>
      </c>
      <c r="J65" s="392" t="s">
        <v>18330</v>
      </c>
    </row>
    <row r="66" spans="1:10" x14ac:dyDescent="0.3">
      <c r="A66" s="390" t="s">
        <v>18318</v>
      </c>
      <c r="B66" s="391" t="s">
        <v>15476</v>
      </c>
      <c r="C66" s="391" t="s">
        <v>1158</v>
      </c>
      <c r="D66" s="391" t="s">
        <v>15446</v>
      </c>
      <c r="E66" s="391" t="s">
        <v>18331</v>
      </c>
      <c r="F66" s="391" t="s">
        <v>18332</v>
      </c>
      <c r="G66" s="408">
        <v>46170</v>
      </c>
      <c r="H66" s="391" t="s">
        <v>15950</v>
      </c>
      <c r="I66" s="391" t="s">
        <v>1075</v>
      </c>
      <c r="J66" s="392" t="s">
        <v>18333</v>
      </c>
    </row>
    <row r="67" spans="1:10" x14ac:dyDescent="0.3">
      <c r="A67" s="390" t="s">
        <v>18318</v>
      </c>
      <c r="B67" s="391" t="s">
        <v>15476</v>
      </c>
      <c r="C67" s="391" t="s">
        <v>1158</v>
      </c>
      <c r="D67" s="391" t="s">
        <v>1152</v>
      </c>
      <c r="E67" s="391" t="s">
        <v>18331</v>
      </c>
      <c r="F67" s="391" t="s">
        <v>18332</v>
      </c>
      <c r="G67" s="408">
        <v>46171</v>
      </c>
      <c r="H67" s="391" t="s">
        <v>15988</v>
      </c>
      <c r="I67" s="391" t="s">
        <v>1075</v>
      </c>
      <c r="J67" s="392" t="s">
        <v>18334</v>
      </c>
    </row>
    <row r="68" spans="1:10" x14ac:dyDescent="0.3">
      <c r="A68" s="390" t="s">
        <v>18335</v>
      </c>
      <c r="B68" s="391" t="s">
        <v>15590</v>
      </c>
      <c r="C68" s="391" t="s">
        <v>14993</v>
      </c>
      <c r="D68" s="391" t="s">
        <v>15437</v>
      </c>
      <c r="E68" s="391" t="s">
        <v>18336</v>
      </c>
      <c r="F68" s="391" t="s">
        <v>18337</v>
      </c>
      <c r="G68" s="408">
        <v>46196</v>
      </c>
      <c r="H68" s="391" t="s">
        <v>15803</v>
      </c>
      <c r="I68" s="391" t="s">
        <v>1075</v>
      </c>
      <c r="J68" s="392" t="s">
        <v>18338</v>
      </c>
    </row>
    <row r="69" spans="1:10" x14ac:dyDescent="0.3">
      <c r="A69" s="390" t="s">
        <v>18335</v>
      </c>
      <c r="B69" s="391" t="s">
        <v>15590</v>
      </c>
      <c r="C69" s="391" t="s">
        <v>14993</v>
      </c>
      <c r="D69" s="391" t="s">
        <v>15441</v>
      </c>
      <c r="E69" s="391" t="s">
        <v>18339</v>
      </c>
      <c r="F69" s="391" t="s">
        <v>18340</v>
      </c>
      <c r="G69" s="408">
        <v>46191</v>
      </c>
      <c r="H69" s="391" t="s">
        <v>15840</v>
      </c>
      <c r="I69" s="391" t="s">
        <v>1075</v>
      </c>
      <c r="J69" s="392" t="s">
        <v>18341</v>
      </c>
    </row>
    <row r="70" spans="1:10" x14ac:dyDescent="0.3">
      <c r="A70" s="390" t="s">
        <v>18335</v>
      </c>
      <c r="B70" s="391" t="s">
        <v>15590</v>
      </c>
      <c r="C70" s="391" t="s">
        <v>14993</v>
      </c>
      <c r="D70" s="391" t="s">
        <v>1081</v>
      </c>
      <c r="E70" s="391" t="s">
        <v>18342</v>
      </c>
      <c r="F70" s="391" t="s">
        <v>18343</v>
      </c>
      <c r="G70" s="408">
        <v>46186</v>
      </c>
      <c r="H70" s="391" t="s">
        <v>15877</v>
      </c>
      <c r="I70" s="391" t="s">
        <v>1075</v>
      </c>
      <c r="J70" s="392" t="s">
        <v>18208</v>
      </c>
    </row>
    <row r="71" spans="1:10" x14ac:dyDescent="0.3">
      <c r="A71" s="390" t="s">
        <v>18335</v>
      </c>
      <c r="B71" s="391" t="s">
        <v>15590</v>
      </c>
      <c r="C71" s="391" t="s">
        <v>14993</v>
      </c>
      <c r="D71" s="391" t="s">
        <v>15444</v>
      </c>
      <c r="E71" s="391" t="s">
        <v>18344</v>
      </c>
      <c r="F71" s="391" t="s">
        <v>18345</v>
      </c>
      <c r="G71" s="408">
        <v>46181</v>
      </c>
      <c r="H71" s="391" t="s">
        <v>15914</v>
      </c>
      <c r="I71" s="391" t="s">
        <v>1075</v>
      </c>
      <c r="J71" s="392" t="s">
        <v>18346</v>
      </c>
    </row>
    <row r="72" spans="1:10" x14ac:dyDescent="0.3">
      <c r="A72" s="390" t="s">
        <v>18335</v>
      </c>
      <c r="B72" s="391" t="s">
        <v>15590</v>
      </c>
      <c r="C72" s="391" t="s">
        <v>14993</v>
      </c>
      <c r="D72" s="391" t="s">
        <v>15446</v>
      </c>
      <c r="E72" s="391" t="s">
        <v>18347</v>
      </c>
      <c r="F72" s="391" t="s">
        <v>18348</v>
      </c>
      <c r="G72" s="408">
        <v>46174</v>
      </c>
      <c r="H72" s="391" t="s">
        <v>15953</v>
      </c>
      <c r="I72" s="391" t="s">
        <v>1075</v>
      </c>
      <c r="J72" s="392" t="s">
        <v>18349</v>
      </c>
    </row>
    <row r="73" spans="1:10" x14ac:dyDescent="0.3">
      <c r="A73" s="390" t="s">
        <v>18335</v>
      </c>
      <c r="B73" s="391" t="s">
        <v>15590</v>
      </c>
      <c r="C73" s="391" t="s">
        <v>14993</v>
      </c>
      <c r="D73" s="391" t="s">
        <v>1152</v>
      </c>
      <c r="E73" s="391" t="s">
        <v>18347</v>
      </c>
      <c r="F73" s="391" t="s">
        <v>18348</v>
      </c>
      <c r="G73" s="408">
        <v>46175</v>
      </c>
      <c r="H73" s="391" t="s">
        <v>15991</v>
      </c>
      <c r="I73" s="391" t="s">
        <v>1075</v>
      </c>
      <c r="J73" s="392" t="s">
        <v>18350</v>
      </c>
    </row>
    <row r="74" spans="1:10" x14ac:dyDescent="0.3">
      <c r="A74" s="390" t="s">
        <v>18351</v>
      </c>
      <c r="B74" s="391" t="s">
        <v>15617</v>
      </c>
      <c r="C74" s="391" t="s">
        <v>14992</v>
      </c>
      <c r="D74" s="391" t="s">
        <v>15437</v>
      </c>
      <c r="E74" s="391" t="s">
        <v>18352</v>
      </c>
      <c r="F74" s="391" t="s">
        <v>18353</v>
      </c>
      <c r="G74" s="408">
        <v>46194</v>
      </c>
      <c r="H74" s="391" t="s">
        <v>15769</v>
      </c>
      <c r="I74" s="391" t="s">
        <v>1075</v>
      </c>
      <c r="J74" s="392" t="s">
        <v>18354</v>
      </c>
    </row>
    <row r="75" spans="1:10" x14ac:dyDescent="0.3">
      <c r="A75" s="390" t="s">
        <v>18351</v>
      </c>
      <c r="B75" s="391" t="s">
        <v>15617</v>
      </c>
      <c r="C75" s="391" t="s">
        <v>14992</v>
      </c>
      <c r="D75" s="391" t="s">
        <v>15441</v>
      </c>
      <c r="E75" s="391" t="s">
        <v>18355</v>
      </c>
      <c r="F75" s="391" t="s">
        <v>18356</v>
      </c>
      <c r="G75" s="408">
        <v>46189</v>
      </c>
      <c r="H75" s="391" t="s">
        <v>15806</v>
      </c>
      <c r="I75" s="391" t="s">
        <v>1075</v>
      </c>
      <c r="J75" s="392" t="s">
        <v>18219</v>
      </c>
    </row>
    <row r="76" spans="1:10" x14ac:dyDescent="0.3">
      <c r="A76" s="390" t="s">
        <v>18351</v>
      </c>
      <c r="B76" s="391" t="s">
        <v>15617</v>
      </c>
      <c r="C76" s="391" t="s">
        <v>14992</v>
      </c>
      <c r="D76" s="391" t="s">
        <v>1081</v>
      </c>
      <c r="E76" s="391" t="s">
        <v>18357</v>
      </c>
      <c r="F76" s="391" t="s">
        <v>18358</v>
      </c>
      <c r="G76" s="408">
        <v>46184</v>
      </c>
      <c r="H76" s="391" t="s">
        <v>15531</v>
      </c>
      <c r="I76" s="391" t="s">
        <v>1075</v>
      </c>
      <c r="J76" s="392" t="s">
        <v>18359</v>
      </c>
    </row>
    <row r="77" spans="1:10" x14ac:dyDescent="0.3">
      <c r="A77" s="390" t="s">
        <v>18351</v>
      </c>
      <c r="B77" s="391" t="s">
        <v>15617</v>
      </c>
      <c r="C77" s="391" t="s">
        <v>14992</v>
      </c>
      <c r="D77" s="391" t="s">
        <v>15444</v>
      </c>
      <c r="E77" s="391" t="s">
        <v>18360</v>
      </c>
      <c r="F77" s="391" t="s">
        <v>18361</v>
      </c>
      <c r="G77" s="408">
        <v>46179</v>
      </c>
      <c r="H77" s="391" t="s">
        <v>15880</v>
      </c>
      <c r="I77" s="391" t="s">
        <v>1075</v>
      </c>
      <c r="J77" s="392" t="s">
        <v>18194</v>
      </c>
    </row>
    <row r="78" spans="1:10" x14ac:dyDescent="0.3">
      <c r="A78" s="390" t="s">
        <v>18351</v>
      </c>
      <c r="B78" s="391" t="s">
        <v>15617</v>
      </c>
      <c r="C78" s="391" t="s">
        <v>14992</v>
      </c>
      <c r="D78" s="391" t="s">
        <v>15446</v>
      </c>
      <c r="E78" s="391" t="s">
        <v>18362</v>
      </c>
      <c r="F78" s="391" t="s">
        <v>18363</v>
      </c>
      <c r="G78" s="408">
        <v>46172</v>
      </c>
      <c r="H78" s="391" t="s">
        <v>15917</v>
      </c>
      <c r="I78" s="391" t="s">
        <v>1075</v>
      </c>
      <c r="J78" s="392" t="s">
        <v>18364</v>
      </c>
    </row>
    <row r="79" spans="1:10" x14ac:dyDescent="0.3">
      <c r="A79" s="390" t="s">
        <v>18351</v>
      </c>
      <c r="B79" s="391" t="s">
        <v>15617</v>
      </c>
      <c r="C79" s="391" t="s">
        <v>14992</v>
      </c>
      <c r="D79" s="391" t="s">
        <v>1152</v>
      </c>
      <c r="E79" s="391" t="s">
        <v>18362</v>
      </c>
      <c r="F79" s="391" t="s">
        <v>18363</v>
      </c>
      <c r="G79" s="408">
        <v>46173</v>
      </c>
      <c r="H79" s="391" t="s">
        <v>15956</v>
      </c>
      <c r="I79" s="391" t="s">
        <v>1075</v>
      </c>
      <c r="J79" s="392" t="s">
        <v>18365</v>
      </c>
    </row>
    <row r="80" spans="1:10" x14ac:dyDescent="0.3">
      <c r="A80" s="390" t="s">
        <v>18366</v>
      </c>
      <c r="B80" s="391" t="s">
        <v>15676</v>
      </c>
      <c r="C80" s="391" t="s">
        <v>1159</v>
      </c>
      <c r="D80" s="391" t="s">
        <v>15437</v>
      </c>
      <c r="E80" s="391" t="s">
        <v>18367</v>
      </c>
      <c r="F80" s="391" t="s">
        <v>18368</v>
      </c>
      <c r="G80" s="408">
        <v>46197</v>
      </c>
      <c r="H80" s="391" t="s">
        <v>15773</v>
      </c>
      <c r="I80" s="391" t="s">
        <v>1075</v>
      </c>
      <c r="J80" s="392" t="s">
        <v>18369</v>
      </c>
    </row>
    <row r="81" spans="1:10" x14ac:dyDescent="0.3">
      <c r="A81" s="390" t="s">
        <v>18366</v>
      </c>
      <c r="B81" s="391" t="s">
        <v>15676</v>
      </c>
      <c r="C81" s="391" t="s">
        <v>1159</v>
      </c>
      <c r="D81" s="391" t="s">
        <v>15441</v>
      </c>
      <c r="E81" s="391" t="s">
        <v>18370</v>
      </c>
      <c r="F81" s="391" t="s">
        <v>18371</v>
      </c>
      <c r="G81" s="408">
        <v>46192</v>
      </c>
      <c r="H81" s="391" t="s">
        <v>15810</v>
      </c>
      <c r="I81" s="391" t="s">
        <v>1075</v>
      </c>
      <c r="J81" s="392" t="s">
        <v>18372</v>
      </c>
    </row>
    <row r="82" spans="1:10" x14ac:dyDescent="0.3">
      <c r="A82" s="390" t="s">
        <v>18366</v>
      </c>
      <c r="B82" s="391" t="s">
        <v>15676</v>
      </c>
      <c r="C82" s="391" t="s">
        <v>1159</v>
      </c>
      <c r="D82" s="391" t="s">
        <v>1081</v>
      </c>
      <c r="E82" s="391" t="s">
        <v>18373</v>
      </c>
      <c r="F82" s="391" t="s">
        <v>18374</v>
      </c>
      <c r="G82" s="408">
        <v>46187</v>
      </c>
      <c r="H82" s="391" t="s">
        <v>15847</v>
      </c>
      <c r="I82" s="391" t="s">
        <v>1075</v>
      </c>
      <c r="J82" s="392" t="s">
        <v>18375</v>
      </c>
    </row>
    <row r="83" spans="1:10" x14ac:dyDescent="0.3">
      <c r="A83" s="390" t="s">
        <v>18366</v>
      </c>
      <c r="B83" s="391" t="s">
        <v>15676</v>
      </c>
      <c r="C83" s="391" t="s">
        <v>1159</v>
      </c>
      <c r="D83" s="391" t="s">
        <v>15444</v>
      </c>
      <c r="E83" s="391" t="s">
        <v>18376</v>
      </c>
      <c r="F83" s="391" t="s">
        <v>18377</v>
      </c>
      <c r="G83" s="408">
        <v>46182</v>
      </c>
      <c r="H83" s="391" t="s">
        <v>15884</v>
      </c>
      <c r="I83" s="391" t="s">
        <v>1075</v>
      </c>
      <c r="J83" s="392" t="s">
        <v>18378</v>
      </c>
    </row>
    <row r="84" spans="1:10" x14ac:dyDescent="0.3">
      <c r="A84" s="390" t="s">
        <v>18366</v>
      </c>
      <c r="B84" s="391" t="s">
        <v>15676</v>
      </c>
      <c r="C84" s="391" t="s">
        <v>1159</v>
      </c>
      <c r="D84" s="391" t="s">
        <v>15446</v>
      </c>
      <c r="E84" s="391" t="s">
        <v>18379</v>
      </c>
      <c r="F84" s="391" t="s">
        <v>18380</v>
      </c>
      <c r="G84" s="408">
        <v>46175</v>
      </c>
      <c r="H84" s="391" t="s">
        <v>15923</v>
      </c>
      <c r="I84" s="391" t="s">
        <v>1075</v>
      </c>
      <c r="J84" s="392" t="s">
        <v>18381</v>
      </c>
    </row>
    <row r="85" spans="1:10" x14ac:dyDescent="0.3">
      <c r="A85" s="390" t="s">
        <v>18366</v>
      </c>
      <c r="B85" s="391" t="s">
        <v>15676</v>
      </c>
      <c r="C85" s="391" t="s">
        <v>1159</v>
      </c>
      <c r="D85" s="391" t="s">
        <v>1152</v>
      </c>
      <c r="E85" s="391" t="s">
        <v>18379</v>
      </c>
      <c r="F85" s="391" t="s">
        <v>18380</v>
      </c>
      <c r="G85" s="408">
        <v>46176</v>
      </c>
      <c r="H85" s="391" t="s">
        <v>15961</v>
      </c>
      <c r="I85" s="391" t="s">
        <v>1075</v>
      </c>
      <c r="J85" s="392" t="s">
        <v>18382</v>
      </c>
    </row>
    <row r="86" spans="1:10" x14ac:dyDescent="0.3">
      <c r="A86" s="390" t="s">
        <v>18383</v>
      </c>
      <c r="B86" s="391" t="s">
        <v>15705</v>
      </c>
      <c r="C86" s="391" t="s">
        <v>14990</v>
      </c>
      <c r="D86" s="391" t="s">
        <v>15437</v>
      </c>
      <c r="E86" s="391" t="s">
        <v>18384</v>
      </c>
      <c r="F86" s="391" t="s">
        <v>18385</v>
      </c>
      <c r="G86" s="408">
        <v>46195</v>
      </c>
      <c r="H86" s="391" t="s">
        <v>15776</v>
      </c>
      <c r="I86" s="391" t="s">
        <v>1075</v>
      </c>
      <c r="J86" s="392" t="s">
        <v>18386</v>
      </c>
    </row>
    <row r="87" spans="1:10" x14ac:dyDescent="0.3">
      <c r="A87" s="390" t="s">
        <v>18383</v>
      </c>
      <c r="B87" s="391" t="s">
        <v>15705</v>
      </c>
      <c r="C87" s="391" t="s">
        <v>14990</v>
      </c>
      <c r="D87" s="391" t="s">
        <v>15441</v>
      </c>
      <c r="E87" s="391" t="s">
        <v>18192</v>
      </c>
      <c r="F87" s="391" t="s">
        <v>18387</v>
      </c>
      <c r="G87" s="408">
        <v>46190</v>
      </c>
      <c r="H87" s="391" t="s">
        <v>15813</v>
      </c>
      <c r="I87" s="391" t="s">
        <v>1075</v>
      </c>
      <c r="J87" s="392" t="s">
        <v>18388</v>
      </c>
    </row>
    <row r="88" spans="1:10" x14ac:dyDescent="0.3">
      <c r="A88" s="390" t="s">
        <v>18383</v>
      </c>
      <c r="B88" s="391" t="s">
        <v>15705</v>
      </c>
      <c r="C88" s="391" t="s">
        <v>14990</v>
      </c>
      <c r="D88" s="391" t="s">
        <v>1081</v>
      </c>
      <c r="E88" s="391" t="s">
        <v>18389</v>
      </c>
      <c r="F88" s="391" t="s">
        <v>18390</v>
      </c>
      <c r="G88" s="408">
        <v>46185</v>
      </c>
      <c r="H88" s="391" t="s">
        <v>15850</v>
      </c>
      <c r="I88" s="391" t="s">
        <v>1075</v>
      </c>
      <c r="J88" s="392" t="s">
        <v>18391</v>
      </c>
    </row>
    <row r="89" spans="1:10" x14ac:dyDescent="0.3">
      <c r="A89" s="390" t="s">
        <v>18383</v>
      </c>
      <c r="B89" s="391" t="s">
        <v>15705</v>
      </c>
      <c r="C89" s="391" t="s">
        <v>14990</v>
      </c>
      <c r="D89" s="391" t="s">
        <v>15444</v>
      </c>
      <c r="E89" s="391" t="s">
        <v>18392</v>
      </c>
      <c r="F89" s="391" t="s">
        <v>18393</v>
      </c>
      <c r="G89" s="408">
        <v>46180</v>
      </c>
      <c r="H89" s="391" t="s">
        <v>15887</v>
      </c>
      <c r="I89" s="391" t="s">
        <v>1075</v>
      </c>
      <c r="J89" s="392" t="s">
        <v>18394</v>
      </c>
    </row>
    <row r="90" spans="1:10" x14ac:dyDescent="0.3">
      <c r="A90" s="390" t="s">
        <v>18383</v>
      </c>
      <c r="B90" s="391" t="s">
        <v>15705</v>
      </c>
      <c r="C90" s="391" t="s">
        <v>14990</v>
      </c>
      <c r="D90" s="391" t="s">
        <v>15446</v>
      </c>
      <c r="E90" s="391" t="s">
        <v>18395</v>
      </c>
      <c r="F90" s="391" t="s">
        <v>18396</v>
      </c>
      <c r="G90" s="408">
        <v>46173</v>
      </c>
      <c r="H90" s="391" t="s">
        <v>15926</v>
      </c>
      <c r="I90" s="391" t="s">
        <v>1075</v>
      </c>
      <c r="J90" s="392" t="s">
        <v>18397</v>
      </c>
    </row>
    <row r="91" spans="1:10" x14ac:dyDescent="0.3">
      <c r="A91" s="390" t="s">
        <v>18383</v>
      </c>
      <c r="B91" s="391" t="s">
        <v>15705</v>
      </c>
      <c r="C91" s="391" t="s">
        <v>14990</v>
      </c>
      <c r="D91" s="391" t="s">
        <v>1152</v>
      </c>
      <c r="E91" s="391" t="s">
        <v>18395</v>
      </c>
      <c r="F91" s="391" t="s">
        <v>18396</v>
      </c>
      <c r="G91" s="408">
        <v>46174</v>
      </c>
      <c r="H91" s="391" t="s">
        <v>15964</v>
      </c>
      <c r="I91" s="391" t="s">
        <v>1075</v>
      </c>
      <c r="J91" s="392" t="s">
        <v>18398</v>
      </c>
    </row>
    <row r="92" spans="1:10" x14ac:dyDescent="0.3">
      <c r="A92" s="390" t="s">
        <v>18399</v>
      </c>
      <c r="B92" s="391" t="s">
        <v>15744</v>
      </c>
      <c r="C92" s="391" t="s">
        <v>152</v>
      </c>
      <c r="D92" s="391" t="s">
        <v>15437</v>
      </c>
      <c r="E92" s="391" t="s">
        <v>18400</v>
      </c>
      <c r="F92" s="391" t="s">
        <v>18401</v>
      </c>
      <c r="G92" s="408">
        <v>46196</v>
      </c>
      <c r="H92" s="391" t="s">
        <v>15779</v>
      </c>
      <c r="I92" s="391" t="s">
        <v>1075</v>
      </c>
      <c r="J92" s="392" t="s">
        <v>18402</v>
      </c>
    </row>
    <row r="93" spans="1:10" x14ac:dyDescent="0.3">
      <c r="A93" s="390" t="s">
        <v>18399</v>
      </c>
      <c r="B93" s="391" t="s">
        <v>15744</v>
      </c>
      <c r="C93" s="391" t="s">
        <v>152</v>
      </c>
      <c r="D93" s="391" t="s">
        <v>15441</v>
      </c>
      <c r="E93" s="391" t="s">
        <v>18403</v>
      </c>
      <c r="F93" s="391" t="s">
        <v>18404</v>
      </c>
      <c r="G93" s="408">
        <v>46191</v>
      </c>
      <c r="H93" s="391" t="s">
        <v>15816</v>
      </c>
      <c r="I93" s="391" t="s">
        <v>1075</v>
      </c>
      <c r="J93" s="392" t="s">
        <v>18405</v>
      </c>
    </row>
    <row r="94" spans="1:10" x14ac:dyDescent="0.3">
      <c r="A94" s="390" t="s">
        <v>18399</v>
      </c>
      <c r="B94" s="391" t="s">
        <v>15744</v>
      </c>
      <c r="C94" s="391" t="s">
        <v>152</v>
      </c>
      <c r="D94" s="391" t="s">
        <v>1081</v>
      </c>
      <c r="E94" s="391" t="s">
        <v>18406</v>
      </c>
      <c r="F94" s="391" t="s">
        <v>18407</v>
      </c>
      <c r="G94" s="408">
        <v>46186</v>
      </c>
      <c r="H94" s="391" t="s">
        <v>15853</v>
      </c>
      <c r="I94" s="391" t="s">
        <v>1075</v>
      </c>
      <c r="J94" s="392" t="s">
        <v>18408</v>
      </c>
    </row>
    <row r="95" spans="1:10" x14ac:dyDescent="0.3">
      <c r="A95" s="390" t="s">
        <v>18399</v>
      </c>
      <c r="B95" s="391" t="s">
        <v>15744</v>
      </c>
      <c r="C95" s="391" t="s">
        <v>152</v>
      </c>
      <c r="D95" s="391" t="s">
        <v>15444</v>
      </c>
      <c r="E95" s="391" t="s">
        <v>18409</v>
      </c>
      <c r="F95" s="391" t="s">
        <v>18410</v>
      </c>
      <c r="G95" s="408">
        <v>46181</v>
      </c>
      <c r="H95" s="391" t="s">
        <v>15890</v>
      </c>
      <c r="I95" s="391" t="s">
        <v>1075</v>
      </c>
      <c r="J95" s="392" t="s">
        <v>18411</v>
      </c>
    </row>
    <row r="96" spans="1:10" x14ac:dyDescent="0.3">
      <c r="A96" s="390" t="s">
        <v>18399</v>
      </c>
      <c r="B96" s="391" t="s">
        <v>15744</v>
      </c>
      <c r="C96" s="391" t="s">
        <v>152</v>
      </c>
      <c r="D96" s="391" t="s">
        <v>15446</v>
      </c>
      <c r="E96" s="391" t="s">
        <v>18412</v>
      </c>
      <c r="F96" s="391" t="s">
        <v>18413</v>
      </c>
      <c r="G96" s="408">
        <v>46174</v>
      </c>
      <c r="H96" s="391" t="s">
        <v>15929</v>
      </c>
      <c r="I96" s="391" t="s">
        <v>1075</v>
      </c>
      <c r="J96" s="392" t="s">
        <v>18414</v>
      </c>
    </row>
    <row r="97" spans="1:10" x14ac:dyDescent="0.3">
      <c r="A97" s="390" t="s">
        <v>18399</v>
      </c>
      <c r="B97" s="391" t="s">
        <v>15744</v>
      </c>
      <c r="C97" s="391" t="s">
        <v>152</v>
      </c>
      <c r="D97" s="391" t="s">
        <v>1152</v>
      </c>
      <c r="E97" s="391" t="s">
        <v>18412</v>
      </c>
      <c r="F97" s="391" t="s">
        <v>18413</v>
      </c>
      <c r="G97" s="408">
        <v>46175</v>
      </c>
      <c r="H97" s="391" t="s">
        <v>15967</v>
      </c>
      <c r="I97" s="391" t="s">
        <v>1075</v>
      </c>
      <c r="J97" s="392" t="s">
        <v>18415</v>
      </c>
    </row>
    <row r="98" spans="1:10" x14ac:dyDescent="0.3">
      <c r="A98" s="390" t="s">
        <v>18416</v>
      </c>
      <c r="B98" s="391" t="s">
        <v>15560</v>
      </c>
      <c r="C98" s="391" t="s">
        <v>14994</v>
      </c>
      <c r="D98" s="391" t="s">
        <v>15437</v>
      </c>
      <c r="E98" s="391" t="s">
        <v>18417</v>
      </c>
      <c r="F98" s="391" t="s">
        <v>18418</v>
      </c>
      <c r="G98" s="408">
        <v>46194</v>
      </c>
      <c r="H98" s="391" t="s">
        <v>15782</v>
      </c>
      <c r="I98" s="391" t="s">
        <v>1075</v>
      </c>
      <c r="J98" s="392" t="s">
        <v>18419</v>
      </c>
    </row>
    <row r="99" spans="1:10" x14ac:dyDescent="0.3">
      <c r="A99" s="390" t="s">
        <v>18416</v>
      </c>
      <c r="B99" s="391" t="s">
        <v>15560</v>
      </c>
      <c r="C99" s="391" t="s">
        <v>14994</v>
      </c>
      <c r="D99" s="391" t="s">
        <v>15441</v>
      </c>
      <c r="E99" s="391" t="s">
        <v>18152</v>
      </c>
      <c r="F99" s="391" t="s">
        <v>18420</v>
      </c>
      <c r="G99" s="408">
        <v>46189</v>
      </c>
      <c r="H99" s="391" t="s">
        <v>15819</v>
      </c>
      <c r="I99" s="391" t="s">
        <v>1075</v>
      </c>
      <c r="J99" s="392" t="s">
        <v>18421</v>
      </c>
    </row>
    <row r="100" spans="1:10" x14ac:dyDescent="0.3">
      <c r="A100" s="390" t="s">
        <v>18416</v>
      </c>
      <c r="B100" s="391" t="s">
        <v>15560</v>
      </c>
      <c r="C100" s="391" t="s">
        <v>14994</v>
      </c>
      <c r="D100" s="391" t="s">
        <v>1081</v>
      </c>
      <c r="E100" s="391" t="s">
        <v>18422</v>
      </c>
      <c r="F100" s="391" t="s">
        <v>18423</v>
      </c>
      <c r="G100" s="408">
        <v>46184</v>
      </c>
      <c r="H100" s="391" t="s">
        <v>15856</v>
      </c>
      <c r="I100" s="391" t="s">
        <v>1075</v>
      </c>
      <c r="J100" s="392" t="s">
        <v>18424</v>
      </c>
    </row>
    <row r="101" spans="1:10" x14ac:dyDescent="0.3">
      <c r="A101" s="390" t="s">
        <v>18416</v>
      </c>
      <c r="B101" s="391" t="s">
        <v>15560</v>
      </c>
      <c r="C101" s="391" t="s">
        <v>14994</v>
      </c>
      <c r="D101" s="391" t="s">
        <v>15444</v>
      </c>
      <c r="E101" s="391" t="s">
        <v>18155</v>
      </c>
      <c r="F101" s="391" t="s">
        <v>18425</v>
      </c>
      <c r="G101" s="408">
        <v>46179</v>
      </c>
      <c r="H101" s="391" t="s">
        <v>15893</v>
      </c>
      <c r="I101" s="391" t="s">
        <v>1075</v>
      </c>
      <c r="J101" s="392" t="s">
        <v>18426</v>
      </c>
    </row>
    <row r="102" spans="1:10" x14ac:dyDescent="0.3">
      <c r="A102" s="390" t="s">
        <v>18416</v>
      </c>
      <c r="B102" s="391" t="s">
        <v>15560</v>
      </c>
      <c r="C102" s="391" t="s">
        <v>14994</v>
      </c>
      <c r="D102" s="391" t="s">
        <v>15446</v>
      </c>
      <c r="E102" s="391" t="s">
        <v>18427</v>
      </c>
      <c r="F102" s="391" t="s">
        <v>18428</v>
      </c>
      <c r="G102" s="408">
        <v>46172</v>
      </c>
      <c r="H102" s="391" t="s">
        <v>15932</v>
      </c>
      <c r="I102" s="391" t="s">
        <v>1075</v>
      </c>
      <c r="J102" s="392" t="s">
        <v>18429</v>
      </c>
    </row>
    <row r="103" spans="1:10" x14ac:dyDescent="0.3">
      <c r="A103" s="390" t="s">
        <v>18416</v>
      </c>
      <c r="B103" s="391" t="s">
        <v>15560</v>
      </c>
      <c r="C103" s="391" t="s">
        <v>14994</v>
      </c>
      <c r="D103" s="391" t="s">
        <v>1152</v>
      </c>
      <c r="E103" s="391" t="s">
        <v>18427</v>
      </c>
      <c r="F103" s="391" t="s">
        <v>18428</v>
      </c>
      <c r="G103" s="408">
        <v>46173</v>
      </c>
      <c r="H103" s="391" t="s">
        <v>15970</v>
      </c>
      <c r="I103" s="391" t="s">
        <v>1075</v>
      </c>
      <c r="J103" s="392" t="s">
        <v>18430</v>
      </c>
    </row>
    <row r="104" spans="1:10" x14ac:dyDescent="0.3">
      <c r="A104" s="390" t="s">
        <v>18431</v>
      </c>
      <c r="B104" s="391" t="s">
        <v>15670</v>
      </c>
      <c r="C104" s="391" t="s">
        <v>14991</v>
      </c>
      <c r="D104" s="391" t="s">
        <v>15437</v>
      </c>
      <c r="E104" s="391" t="s">
        <v>18432</v>
      </c>
      <c r="F104" s="391" t="s">
        <v>18433</v>
      </c>
      <c r="G104" s="408">
        <v>46197</v>
      </c>
      <c r="H104" s="391" t="s">
        <v>15785</v>
      </c>
      <c r="I104" s="391" t="s">
        <v>1075</v>
      </c>
      <c r="J104" s="392" t="s">
        <v>18434</v>
      </c>
    </row>
    <row r="105" spans="1:10" x14ac:dyDescent="0.3">
      <c r="A105" s="390" t="s">
        <v>18431</v>
      </c>
      <c r="B105" s="391" t="s">
        <v>15670</v>
      </c>
      <c r="C105" s="391" t="s">
        <v>14991</v>
      </c>
      <c r="D105" s="391" t="s">
        <v>15441</v>
      </c>
      <c r="E105" s="391" t="s">
        <v>18435</v>
      </c>
      <c r="F105" s="391" t="s">
        <v>18436</v>
      </c>
      <c r="G105" s="408">
        <v>46192</v>
      </c>
      <c r="H105" s="391" t="s">
        <v>15822</v>
      </c>
      <c r="I105" s="391" t="s">
        <v>1075</v>
      </c>
      <c r="J105" s="392" t="s">
        <v>18437</v>
      </c>
    </row>
    <row r="106" spans="1:10" x14ac:dyDescent="0.3">
      <c r="A106" s="390" t="s">
        <v>18431</v>
      </c>
      <c r="B106" s="391" t="s">
        <v>15670</v>
      </c>
      <c r="C106" s="391" t="s">
        <v>14991</v>
      </c>
      <c r="D106" s="391" t="s">
        <v>1081</v>
      </c>
      <c r="E106" s="391" t="s">
        <v>18438</v>
      </c>
      <c r="F106" s="391" t="s">
        <v>18439</v>
      </c>
      <c r="G106" s="408">
        <v>46187</v>
      </c>
      <c r="H106" s="391" t="s">
        <v>15859</v>
      </c>
      <c r="I106" s="391" t="s">
        <v>1075</v>
      </c>
      <c r="J106" s="392" t="s">
        <v>18440</v>
      </c>
    </row>
    <row r="107" spans="1:10" x14ac:dyDescent="0.3">
      <c r="A107" s="390" t="s">
        <v>18431</v>
      </c>
      <c r="B107" s="391" t="s">
        <v>15670</v>
      </c>
      <c r="C107" s="391" t="s">
        <v>14991</v>
      </c>
      <c r="D107" s="391" t="s">
        <v>15444</v>
      </c>
      <c r="E107" s="391" t="s">
        <v>18441</v>
      </c>
      <c r="F107" s="391" t="s">
        <v>18442</v>
      </c>
      <c r="G107" s="408">
        <v>46182</v>
      </c>
      <c r="H107" s="391" t="s">
        <v>15896</v>
      </c>
      <c r="I107" s="391" t="s">
        <v>1075</v>
      </c>
      <c r="J107" s="392" t="s">
        <v>18443</v>
      </c>
    </row>
    <row r="108" spans="1:10" x14ac:dyDescent="0.3">
      <c r="A108" s="390" t="s">
        <v>18431</v>
      </c>
      <c r="B108" s="391" t="s">
        <v>15670</v>
      </c>
      <c r="C108" s="391" t="s">
        <v>14991</v>
      </c>
      <c r="D108" s="391" t="s">
        <v>15446</v>
      </c>
      <c r="E108" s="391" t="s">
        <v>18444</v>
      </c>
      <c r="F108" s="391" t="s">
        <v>18445</v>
      </c>
      <c r="G108" s="408">
        <v>46175</v>
      </c>
      <c r="H108" s="391" t="s">
        <v>15935</v>
      </c>
      <c r="I108" s="391" t="s">
        <v>1075</v>
      </c>
      <c r="J108" s="392" t="s">
        <v>18446</v>
      </c>
    </row>
    <row r="109" spans="1:10" x14ac:dyDescent="0.3">
      <c r="A109" s="390" t="s">
        <v>18431</v>
      </c>
      <c r="B109" s="391" t="s">
        <v>15670</v>
      </c>
      <c r="C109" s="391" t="s">
        <v>14991</v>
      </c>
      <c r="D109" s="391" t="s">
        <v>1152</v>
      </c>
      <c r="E109" s="391" t="s">
        <v>18444</v>
      </c>
      <c r="F109" s="391" t="s">
        <v>18445</v>
      </c>
      <c r="G109" s="408">
        <v>46176</v>
      </c>
      <c r="H109" s="391" t="s">
        <v>15973</v>
      </c>
      <c r="I109" s="391" t="s">
        <v>1075</v>
      </c>
      <c r="J109" s="392" t="s">
        <v>18447</v>
      </c>
    </row>
    <row r="110" spans="1:10" x14ac:dyDescent="0.3">
      <c r="A110" s="390" t="s">
        <v>18448</v>
      </c>
      <c r="B110" s="391" t="s">
        <v>15458</v>
      </c>
      <c r="C110" s="391" t="s">
        <v>1158</v>
      </c>
      <c r="D110" s="391" t="s">
        <v>15437</v>
      </c>
      <c r="E110" s="391" t="s">
        <v>18449</v>
      </c>
      <c r="F110" s="391" t="s">
        <v>18450</v>
      </c>
      <c r="G110" s="408">
        <v>46193</v>
      </c>
      <c r="H110" s="391" t="s">
        <v>15788</v>
      </c>
      <c r="I110" s="391" t="s">
        <v>1075</v>
      </c>
      <c r="J110" s="392" t="s">
        <v>18451</v>
      </c>
    </row>
    <row r="111" spans="1:10" x14ac:dyDescent="0.3">
      <c r="A111" s="390" t="s">
        <v>18448</v>
      </c>
      <c r="B111" s="391" t="s">
        <v>15458</v>
      </c>
      <c r="C111" s="391" t="s">
        <v>1158</v>
      </c>
      <c r="D111" s="391" t="s">
        <v>15441</v>
      </c>
      <c r="E111" s="391" t="s">
        <v>18452</v>
      </c>
      <c r="F111" s="391" t="s">
        <v>18453</v>
      </c>
      <c r="G111" s="408">
        <v>46188</v>
      </c>
      <c r="H111" s="391" t="s">
        <v>15825</v>
      </c>
      <c r="I111" s="391" t="s">
        <v>1075</v>
      </c>
      <c r="J111" s="392" t="s">
        <v>18454</v>
      </c>
    </row>
    <row r="112" spans="1:10" x14ac:dyDescent="0.3">
      <c r="A112" s="390" t="s">
        <v>18448</v>
      </c>
      <c r="B112" s="391" t="s">
        <v>15458</v>
      </c>
      <c r="C112" s="391" t="s">
        <v>1158</v>
      </c>
      <c r="D112" s="391" t="s">
        <v>1081</v>
      </c>
      <c r="E112" s="391" t="s">
        <v>18455</v>
      </c>
      <c r="F112" s="391" t="s">
        <v>18456</v>
      </c>
      <c r="G112" s="408">
        <v>46183</v>
      </c>
      <c r="H112" s="391" t="s">
        <v>15862</v>
      </c>
      <c r="I112" s="391" t="s">
        <v>1075</v>
      </c>
      <c r="J112" s="392" t="s">
        <v>18457</v>
      </c>
    </row>
    <row r="113" spans="1:10" x14ac:dyDescent="0.3">
      <c r="A113" s="390" t="s">
        <v>18448</v>
      </c>
      <c r="B113" s="391" t="s">
        <v>15458</v>
      </c>
      <c r="C113" s="391" t="s">
        <v>1158</v>
      </c>
      <c r="D113" s="391" t="s">
        <v>15444</v>
      </c>
      <c r="E113" s="391" t="s">
        <v>18458</v>
      </c>
      <c r="F113" s="391" t="s">
        <v>18459</v>
      </c>
      <c r="G113" s="408">
        <v>46178</v>
      </c>
      <c r="H113" s="391" t="s">
        <v>15899</v>
      </c>
      <c r="I113" s="391" t="s">
        <v>1075</v>
      </c>
      <c r="J113" s="392" t="s">
        <v>18460</v>
      </c>
    </row>
    <row r="114" spans="1:10" x14ac:dyDescent="0.3">
      <c r="A114" s="390" t="s">
        <v>18448</v>
      </c>
      <c r="B114" s="391" t="s">
        <v>15458</v>
      </c>
      <c r="C114" s="391" t="s">
        <v>1158</v>
      </c>
      <c r="D114" s="391" t="s">
        <v>15446</v>
      </c>
      <c r="E114" s="391" t="s">
        <v>18461</v>
      </c>
      <c r="F114" s="391" t="s">
        <v>18462</v>
      </c>
      <c r="G114" s="408">
        <v>46170</v>
      </c>
      <c r="H114" s="391" t="s">
        <v>15938</v>
      </c>
      <c r="I114" s="391" t="s">
        <v>1075</v>
      </c>
      <c r="J114" s="392" t="s">
        <v>18463</v>
      </c>
    </row>
    <row r="115" spans="1:10" x14ac:dyDescent="0.3">
      <c r="A115" s="390" t="s">
        <v>18448</v>
      </c>
      <c r="B115" s="391" t="s">
        <v>15458</v>
      </c>
      <c r="C115" s="391" t="s">
        <v>1158</v>
      </c>
      <c r="D115" s="391" t="s">
        <v>1152</v>
      </c>
      <c r="E115" s="391" t="s">
        <v>18461</v>
      </c>
      <c r="F115" s="391" t="s">
        <v>18462</v>
      </c>
      <c r="G115" s="408">
        <v>46171</v>
      </c>
      <c r="H115" s="391" t="s">
        <v>15976</v>
      </c>
      <c r="I115" s="391" t="s">
        <v>1075</v>
      </c>
      <c r="J115" s="392" t="s">
        <v>18464</v>
      </c>
    </row>
    <row r="116" spans="1:10" x14ac:dyDescent="0.3">
      <c r="A116" s="390" t="s">
        <v>18465</v>
      </c>
      <c r="B116" s="391" t="s">
        <v>15596</v>
      </c>
      <c r="C116" s="391" t="s">
        <v>14993</v>
      </c>
      <c r="D116" s="391" t="s">
        <v>15437</v>
      </c>
      <c r="E116" s="391" t="s">
        <v>18466</v>
      </c>
      <c r="F116" s="391" t="s">
        <v>18467</v>
      </c>
      <c r="G116" s="408">
        <v>46196</v>
      </c>
      <c r="H116" s="391" t="s">
        <v>15791</v>
      </c>
      <c r="I116" s="391" t="s">
        <v>1075</v>
      </c>
      <c r="J116" s="392" t="s">
        <v>18468</v>
      </c>
    </row>
    <row r="117" spans="1:10" x14ac:dyDescent="0.3">
      <c r="A117" s="390" t="s">
        <v>18465</v>
      </c>
      <c r="B117" s="391" t="s">
        <v>15596</v>
      </c>
      <c r="C117" s="391" t="s">
        <v>14993</v>
      </c>
      <c r="D117" s="391" t="s">
        <v>15441</v>
      </c>
      <c r="E117" s="391" t="s">
        <v>18226</v>
      </c>
      <c r="F117" s="391" t="s">
        <v>18469</v>
      </c>
      <c r="G117" s="408">
        <v>46191</v>
      </c>
      <c r="H117" s="391" t="s">
        <v>15828</v>
      </c>
      <c r="I117" s="391" t="s">
        <v>1075</v>
      </c>
      <c r="J117" s="392" t="s">
        <v>18470</v>
      </c>
    </row>
    <row r="118" spans="1:10" x14ac:dyDescent="0.3">
      <c r="A118" s="390" t="s">
        <v>18465</v>
      </c>
      <c r="B118" s="391" t="s">
        <v>15596</v>
      </c>
      <c r="C118" s="391" t="s">
        <v>14993</v>
      </c>
      <c r="D118" s="391" t="s">
        <v>1081</v>
      </c>
      <c r="E118" s="391" t="s">
        <v>18471</v>
      </c>
      <c r="F118" s="391" t="s">
        <v>18472</v>
      </c>
      <c r="G118" s="408">
        <v>46186</v>
      </c>
      <c r="H118" s="391" t="s">
        <v>15865</v>
      </c>
      <c r="I118" s="391" t="s">
        <v>1075</v>
      </c>
      <c r="J118" s="392" t="s">
        <v>18473</v>
      </c>
    </row>
    <row r="119" spans="1:10" x14ac:dyDescent="0.3">
      <c r="A119" s="390" t="s">
        <v>18465</v>
      </c>
      <c r="B119" s="391" t="s">
        <v>15596</v>
      </c>
      <c r="C119" s="391" t="s">
        <v>14993</v>
      </c>
      <c r="D119" s="391" t="s">
        <v>15444</v>
      </c>
      <c r="E119" s="391" t="s">
        <v>18474</v>
      </c>
      <c r="F119" s="391" t="s">
        <v>18475</v>
      </c>
      <c r="G119" s="408">
        <v>46181</v>
      </c>
      <c r="H119" s="391" t="s">
        <v>15902</v>
      </c>
      <c r="I119" s="391" t="s">
        <v>1075</v>
      </c>
      <c r="J119" s="392" t="s">
        <v>18476</v>
      </c>
    </row>
    <row r="120" spans="1:10" x14ac:dyDescent="0.3">
      <c r="A120" s="390" t="s">
        <v>18465</v>
      </c>
      <c r="B120" s="391" t="s">
        <v>15596</v>
      </c>
      <c r="C120" s="391" t="s">
        <v>14993</v>
      </c>
      <c r="D120" s="391" t="s">
        <v>15446</v>
      </c>
      <c r="E120" s="391" t="s">
        <v>18477</v>
      </c>
      <c r="F120" s="391" t="s">
        <v>18478</v>
      </c>
      <c r="G120" s="408">
        <v>46174</v>
      </c>
      <c r="H120" s="391" t="s">
        <v>15941</v>
      </c>
      <c r="I120" s="391" t="s">
        <v>1075</v>
      </c>
      <c r="J120" s="392" t="s">
        <v>18479</v>
      </c>
    </row>
    <row r="121" spans="1:10" x14ac:dyDescent="0.3">
      <c r="A121" s="390" t="s">
        <v>18465</v>
      </c>
      <c r="B121" s="391" t="s">
        <v>15596</v>
      </c>
      <c r="C121" s="391" t="s">
        <v>14993</v>
      </c>
      <c r="D121" s="391" t="s">
        <v>1152</v>
      </c>
      <c r="E121" s="391" t="s">
        <v>18477</v>
      </c>
      <c r="F121" s="391" t="s">
        <v>18478</v>
      </c>
      <c r="G121" s="408">
        <v>46175</v>
      </c>
      <c r="H121" s="391" t="s">
        <v>15979</v>
      </c>
      <c r="I121" s="391" t="s">
        <v>1075</v>
      </c>
      <c r="J121" s="392" t="s">
        <v>18480</v>
      </c>
    </row>
    <row r="122" spans="1:10" x14ac:dyDescent="0.3">
      <c r="A122" s="390" t="s">
        <v>18481</v>
      </c>
      <c r="B122" s="391" t="s">
        <v>15649</v>
      </c>
      <c r="C122" s="391" t="s">
        <v>14991</v>
      </c>
      <c r="D122" s="391" t="s">
        <v>15437</v>
      </c>
      <c r="E122" s="391" t="s">
        <v>18482</v>
      </c>
      <c r="F122" s="391" t="s">
        <v>18483</v>
      </c>
      <c r="G122" s="408">
        <v>46195</v>
      </c>
      <c r="H122" s="391" t="s">
        <v>15794</v>
      </c>
      <c r="I122" s="391" t="s">
        <v>1075</v>
      </c>
      <c r="J122" s="392" t="s">
        <v>18484</v>
      </c>
    </row>
    <row r="123" spans="1:10" x14ac:dyDescent="0.3">
      <c r="A123" s="390" t="s">
        <v>18481</v>
      </c>
      <c r="B123" s="391" t="s">
        <v>15649</v>
      </c>
      <c r="C123" s="391" t="s">
        <v>14991</v>
      </c>
      <c r="D123" s="391" t="s">
        <v>15441</v>
      </c>
      <c r="E123" s="391" t="s">
        <v>18485</v>
      </c>
      <c r="F123" s="391" t="s">
        <v>18486</v>
      </c>
      <c r="G123" s="408">
        <v>46190</v>
      </c>
      <c r="H123" s="391" t="s">
        <v>15831</v>
      </c>
      <c r="I123" s="391" t="s">
        <v>1075</v>
      </c>
      <c r="J123" s="392" t="s">
        <v>18487</v>
      </c>
    </row>
    <row r="124" spans="1:10" x14ac:dyDescent="0.3">
      <c r="A124" s="390" t="s">
        <v>18481</v>
      </c>
      <c r="B124" s="391" t="s">
        <v>15649</v>
      </c>
      <c r="C124" s="391" t="s">
        <v>14991</v>
      </c>
      <c r="D124" s="391" t="s">
        <v>1081</v>
      </c>
      <c r="E124" s="391" t="s">
        <v>18488</v>
      </c>
      <c r="F124" s="391" t="s">
        <v>18489</v>
      </c>
      <c r="G124" s="408">
        <v>46185</v>
      </c>
      <c r="H124" s="391" t="s">
        <v>15868</v>
      </c>
      <c r="I124" s="391" t="s">
        <v>1075</v>
      </c>
      <c r="J124" s="392" t="s">
        <v>18490</v>
      </c>
    </row>
    <row r="125" spans="1:10" x14ac:dyDescent="0.3">
      <c r="A125" s="390" t="s">
        <v>18481</v>
      </c>
      <c r="B125" s="391" t="s">
        <v>15649</v>
      </c>
      <c r="C125" s="391" t="s">
        <v>14991</v>
      </c>
      <c r="D125" s="391" t="s">
        <v>15444</v>
      </c>
      <c r="E125" s="391" t="s">
        <v>18491</v>
      </c>
      <c r="F125" s="391" t="s">
        <v>18492</v>
      </c>
      <c r="G125" s="408">
        <v>46180</v>
      </c>
      <c r="H125" s="391" t="s">
        <v>15905</v>
      </c>
      <c r="I125" s="391" t="s">
        <v>1075</v>
      </c>
      <c r="J125" s="392" t="s">
        <v>18493</v>
      </c>
    </row>
    <row r="126" spans="1:10" x14ac:dyDescent="0.3">
      <c r="A126" s="390" t="s">
        <v>18481</v>
      </c>
      <c r="B126" s="391" t="s">
        <v>15649</v>
      </c>
      <c r="C126" s="391" t="s">
        <v>14991</v>
      </c>
      <c r="D126" s="391" t="s">
        <v>15446</v>
      </c>
      <c r="E126" s="391" t="s">
        <v>18494</v>
      </c>
      <c r="F126" s="391" t="s">
        <v>18495</v>
      </c>
      <c r="G126" s="408">
        <v>46173</v>
      </c>
      <c r="H126" s="391" t="s">
        <v>15944</v>
      </c>
      <c r="I126" s="391" t="s">
        <v>1075</v>
      </c>
      <c r="J126" s="392" t="s">
        <v>18496</v>
      </c>
    </row>
    <row r="127" spans="1:10" x14ac:dyDescent="0.3">
      <c r="A127" s="390" t="s">
        <v>18481</v>
      </c>
      <c r="B127" s="391" t="s">
        <v>15649</v>
      </c>
      <c r="C127" s="391" t="s">
        <v>14991</v>
      </c>
      <c r="D127" s="391" t="s">
        <v>1152</v>
      </c>
      <c r="E127" s="391" t="s">
        <v>18494</v>
      </c>
      <c r="F127" s="391" t="s">
        <v>18495</v>
      </c>
      <c r="G127" s="408">
        <v>46174</v>
      </c>
      <c r="H127" s="391" t="s">
        <v>15982</v>
      </c>
      <c r="I127" s="391" t="s">
        <v>1075</v>
      </c>
      <c r="J127" s="392" t="s">
        <v>18497</v>
      </c>
    </row>
    <row r="128" spans="1:10" x14ac:dyDescent="0.3">
      <c r="A128" s="390" t="s">
        <v>18498</v>
      </c>
      <c r="B128" s="391" t="s">
        <v>15735</v>
      </c>
      <c r="C128" s="391" t="s">
        <v>152</v>
      </c>
      <c r="D128" s="391" t="s">
        <v>15437</v>
      </c>
      <c r="E128" s="391" t="s">
        <v>18499</v>
      </c>
      <c r="F128" s="391" t="s">
        <v>18500</v>
      </c>
      <c r="G128" s="408">
        <v>46197</v>
      </c>
      <c r="H128" s="391" t="s">
        <v>15797</v>
      </c>
      <c r="I128" s="391" t="s">
        <v>1075</v>
      </c>
      <c r="J128" s="392" t="s">
        <v>18501</v>
      </c>
    </row>
    <row r="129" spans="1:10" x14ac:dyDescent="0.3">
      <c r="A129" s="390" t="s">
        <v>18498</v>
      </c>
      <c r="B129" s="391" t="s">
        <v>15735</v>
      </c>
      <c r="C129" s="391" t="s">
        <v>152</v>
      </c>
      <c r="D129" s="391" t="s">
        <v>15441</v>
      </c>
      <c r="E129" s="391" t="s">
        <v>18502</v>
      </c>
      <c r="F129" s="391" t="s">
        <v>18503</v>
      </c>
      <c r="G129" s="408">
        <v>46192</v>
      </c>
      <c r="H129" s="391" t="s">
        <v>15834</v>
      </c>
      <c r="I129" s="391" t="s">
        <v>1075</v>
      </c>
      <c r="J129" s="392" t="s">
        <v>18504</v>
      </c>
    </row>
    <row r="130" spans="1:10" x14ac:dyDescent="0.3">
      <c r="A130" s="390" t="s">
        <v>18498</v>
      </c>
      <c r="B130" s="391" t="s">
        <v>15735</v>
      </c>
      <c r="C130" s="391" t="s">
        <v>152</v>
      </c>
      <c r="D130" s="391" t="s">
        <v>1081</v>
      </c>
      <c r="E130" s="391" t="s">
        <v>18505</v>
      </c>
      <c r="F130" s="391" t="s">
        <v>18506</v>
      </c>
      <c r="G130" s="408">
        <v>46187</v>
      </c>
      <c r="H130" s="391" t="s">
        <v>15871</v>
      </c>
      <c r="I130" s="391" t="s">
        <v>1075</v>
      </c>
      <c r="J130" s="392" t="s">
        <v>18507</v>
      </c>
    </row>
    <row r="131" spans="1:10" x14ac:dyDescent="0.3">
      <c r="A131" s="390" t="s">
        <v>18498</v>
      </c>
      <c r="B131" s="391" t="s">
        <v>15735</v>
      </c>
      <c r="C131" s="391" t="s">
        <v>152</v>
      </c>
      <c r="D131" s="391" t="s">
        <v>15444</v>
      </c>
      <c r="E131" s="391" t="s">
        <v>18508</v>
      </c>
      <c r="F131" s="391" t="s">
        <v>18509</v>
      </c>
      <c r="G131" s="408">
        <v>46182</v>
      </c>
      <c r="H131" s="391" t="s">
        <v>15908</v>
      </c>
      <c r="I131" s="391" t="s">
        <v>1075</v>
      </c>
      <c r="J131" s="392" t="s">
        <v>18510</v>
      </c>
    </row>
    <row r="132" spans="1:10" x14ac:dyDescent="0.3">
      <c r="A132" s="390" t="s">
        <v>18498</v>
      </c>
      <c r="B132" s="391" t="s">
        <v>15735</v>
      </c>
      <c r="C132" s="391" t="s">
        <v>152</v>
      </c>
      <c r="D132" s="391" t="s">
        <v>15446</v>
      </c>
      <c r="E132" s="391" t="s">
        <v>18511</v>
      </c>
      <c r="F132" s="391" t="s">
        <v>18512</v>
      </c>
      <c r="G132" s="408">
        <v>46175</v>
      </c>
      <c r="H132" s="391" t="s">
        <v>15947</v>
      </c>
      <c r="I132" s="391" t="s">
        <v>1075</v>
      </c>
      <c r="J132" s="392" t="s">
        <v>18513</v>
      </c>
    </row>
    <row r="133" spans="1:10" x14ac:dyDescent="0.3">
      <c r="A133" s="390" t="s">
        <v>18498</v>
      </c>
      <c r="B133" s="391" t="s">
        <v>15735</v>
      </c>
      <c r="C133" s="391" t="s">
        <v>152</v>
      </c>
      <c r="D133" s="391" t="s">
        <v>1152</v>
      </c>
      <c r="E133" s="391" t="s">
        <v>18511</v>
      </c>
      <c r="F133" s="391" t="s">
        <v>18512</v>
      </c>
      <c r="G133" s="408">
        <v>46176</v>
      </c>
      <c r="H133" s="391" t="s">
        <v>15985</v>
      </c>
      <c r="I133" s="391" t="s">
        <v>1075</v>
      </c>
      <c r="J133" s="392" t="s">
        <v>18514</v>
      </c>
    </row>
    <row r="134" spans="1:10" x14ac:dyDescent="0.3">
      <c r="A134" s="390" t="s">
        <v>18515</v>
      </c>
      <c r="B134" s="391" t="s">
        <v>15678</v>
      </c>
      <c r="C134" s="391" t="s">
        <v>1159</v>
      </c>
      <c r="D134" s="391" t="s">
        <v>15437</v>
      </c>
      <c r="E134" s="391" t="s">
        <v>18516</v>
      </c>
      <c r="F134" s="391" t="s">
        <v>18517</v>
      </c>
      <c r="G134" s="408">
        <v>46194</v>
      </c>
      <c r="H134" s="391" t="s">
        <v>15800</v>
      </c>
      <c r="I134" s="391" t="s">
        <v>1075</v>
      </c>
      <c r="J134" s="392" t="s">
        <v>18518</v>
      </c>
    </row>
    <row r="135" spans="1:10" x14ac:dyDescent="0.3">
      <c r="A135" s="390" t="s">
        <v>18515</v>
      </c>
      <c r="B135" s="391" t="s">
        <v>15678</v>
      </c>
      <c r="C135" s="391" t="s">
        <v>1159</v>
      </c>
      <c r="D135" s="391" t="s">
        <v>15441</v>
      </c>
      <c r="E135" s="391" t="s">
        <v>18519</v>
      </c>
      <c r="F135" s="391" t="s">
        <v>18520</v>
      </c>
      <c r="G135" s="408">
        <v>46189</v>
      </c>
      <c r="H135" s="391" t="s">
        <v>15837</v>
      </c>
      <c r="I135" s="391" t="s">
        <v>1075</v>
      </c>
      <c r="J135" s="392" t="s">
        <v>18521</v>
      </c>
    </row>
    <row r="136" spans="1:10" x14ac:dyDescent="0.3">
      <c r="A136" s="390" t="s">
        <v>18515</v>
      </c>
      <c r="B136" s="391" t="s">
        <v>15678</v>
      </c>
      <c r="C136" s="391" t="s">
        <v>1159</v>
      </c>
      <c r="D136" s="391" t="s">
        <v>1081</v>
      </c>
      <c r="E136" s="391" t="s">
        <v>18522</v>
      </c>
      <c r="F136" s="391" t="s">
        <v>18523</v>
      </c>
      <c r="G136" s="408">
        <v>46184</v>
      </c>
      <c r="H136" s="391" t="s">
        <v>15874</v>
      </c>
      <c r="I136" s="391" t="s">
        <v>1075</v>
      </c>
      <c r="J136" s="392" t="s">
        <v>18524</v>
      </c>
    </row>
    <row r="137" spans="1:10" x14ac:dyDescent="0.3">
      <c r="A137" s="390" t="s">
        <v>18515</v>
      </c>
      <c r="B137" s="391" t="s">
        <v>15678</v>
      </c>
      <c r="C137" s="391" t="s">
        <v>1159</v>
      </c>
      <c r="D137" s="391" t="s">
        <v>15444</v>
      </c>
      <c r="E137" s="391" t="s">
        <v>18525</v>
      </c>
      <c r="F137" s="391" t="s">
        <v>18526</v>
      </c>
      <c r="G137" s="408">
        <v>46179</v>
      </c>
      <c r="H137" s="391" t="s">
        <v>15911</v>
      </c>
      <c r="I137" s="391" t="s">
        <v>1075</v>
      </c>
      <c r="J137" s="392" t="s">
        <v>18527</v>
      </c>
    </row>
    <row r="138" spans="1:10" x14ac:dyDescent="0.3">
      <c r="A138" s="390" t="s">
        <v>18515</v>
      </c>
      <c r="B138" s="391" t="s">
        <v>15678</v>
      </c>
      <c r="C138" s="391" t="s">
        <v>1159</v>
      </c>
      <c r="D138" s="391" t="s">
        <v>15446</v>
      </c>
      <c r="E138" s="391" t="s">
        <v>18528</v>
      </c>
      <c r="F138" s="391" t="s">
        <v>18529</v>
      </c>
      <c r="G138" s="408">
        <v>46172</v>
      </c>
      <c r="H138" s="391" t="s">
        <v>15950</v>
      </c>
      <c r="I138" s="391" t="s">
        <v>1075</v>
      </c>
      <c r="J138" s="392" t="s">
        <v>18530</v>
      </c>
    </row>
    <row r="139" spans="1:10" x14ac:dyDescent="0.3">
      <c r="A139" s="390" t="s">
        <v>18515</v>
      </c>
      <c r="B139" s="391" t="s">
        <v>15678</v>
      </c>
      <c r="C139" s="391" t="s">
        <v>1159</v>
      </c>
      <c r="D139" s="391" t="s">
        <v>1152</v>
      </c>
      <c r="E139" s="391" t="s">
        <v>18528</v>
      </c>
      <c r="F139" s="391" t="s">
        <v>18529</v>
      </c>
      <c r="G139" s="408">
        <v>46173</v>
      </c>
      <c r="H139" s="391" t="s">
        <v>15988</v>
      </c>
      <c r="I139" s="391" t="s">
        <v>1075</v>
      </c>
      <c r="J139" s="392" t="s">
        <v>18531</v>
      </c>
    </row>
    <row r="140" spans="1:10" x14ac:dyDescent="0.3">
      <c r="A140" s="390" t="s">
        <v>18532</v>
      </c>
      <c r="B140" s="391" t="s">
        <v>15619</v>
      </c>
      <c r="C140" s="391" t="s">
        <v>14992</v>
      </c>
      <c r="D140" s="391" t="s">
        <v>15437</v>
      </c>
      <c r="E140" s="391" t="s">
        <v>18533</v>
      </c>
      <c r="F140" s="391" t="s">
        <v>18534</v>
      </c>
      <c r="G140" s="408">
        <v>46196</v>
      </c>
      <c r="H140" s="391" t="s">
        <v>15803</v>
      </c>
      <c r="I140" s="391" t="s">
        <v>1075</v>
      </c>
      <c r="J140" s="392" t="s">
        <v>18535</v>
      </c>
    </row>
    <row r="141" spans="1:10" x14ac:dyDescent="0.3">
      <c r="A141" s="390" t="s">
        <v>18532</v>
      </c>
      <c r="B141" s="391" t="s">
        <v>15619</v>
      </c>
      <c r="C141" s="391" t="s">
        <v>14992</v>
      </c>
      <c r="D141" s="391" t="s">
        <v>15441</v>
      </c>
      <c r="E141" s="391" t="s">
        <v>18536</v>
      </c>
      <c r="F141" s="391" t="s">
        <v>18537</v>
      </c>
      <c r="G141" s="408">
        <v>46191</v>
      </c>
      <c r="H141" s="391" t="s">
        <v>15840</v>
      </c>
      <c r="I141" s="391" t="s">
        <v>1075</v>
      </c>
      <c r="J141" s="392" t="s">
        <v>18538</v>
      </c>
    </row>
    <row r="142" spans="1:10" x14ac:dyDescent="0.3">
      <c r="A142" s="390" t="s">
        <v>18532</v>
      </c>
      <c r="B142" s="391" t="s">
        <v>15619</v>
      </c>
      <c r="C142" s="391" t="s">
        <v>14992</v>
      </c>
      <c r="D142" s="391" t="s">
        <v>1081</v>
      </c>
      <c r="E142" s="391" t="s">
        <v>18539</v>
      </c>
      <c r="F142" s="391" t="s">
        <v>18540</v>
      </c>
      <c r="G142" s="408">
        <v>46186</v>
      </c>
      <c r="H142" s="391" t="s">
        <v>15877</v>
      </c>
      <c r="I142" s="391" t="s">
        <v>1075</v>
      </c>
      <c r="J142" s="392" t="s">
        <v>18541</v>
      </c>
    </row>
    <row r="143" spans="1:10" x14ac:dyDescent="0.3">
      <c r="A143" s="390" t="s">
        <v>18532</v>
      </c>
      <c r="B143" s="391" t="s">
        <v>15619</v>
      </c>
      <c r="C143" s="391" t="s">
        <v>14992</v>
      </c>
      <c r="D143" s="391" t="s">
        <v>15444</v>
      </c>
      <c r="E143" s="391" t="s">
        <v>18542</v>
      </c>
      <c r="F143" s="391" t="s">
        <v>18543</v>
      </c>
      <c r="G143" s="408">
        <v>46181</v>
      </c>
      <c r="H143" s="391" t="s">
        <v>15914</v>
      </c>
      <c r="I143" s="391" t="s">
        <v>1075</v>
      </c>
      <c r="J143" s="392" t="s">
        <v>18544</v>
      </c>
    </row>
    <row r="144" spans="1:10" x14ac:dyDescent="0.3">
      <c r="A144" s="390" t="s">
        <v>18532</v>
      </c>
      <c r="B144" s="391" t="s">
        <v>15619</v>
      </c>
      <c r="C144" s="391" t="s">
        <v>14992</v>
      </c>
      <c r="D144" s="391" t="s">
        <v>15446</v>
      </c>
      <c r="E144" s="391" t="s">
        <v>18545</v>
      </c>
      <c r="F144" s="391" t="s">
        <v>18546</v>
      </c>
      <c r="G144" s="408">
        <v>46174</v>
      </c>
      <c r="H144" s="391" t="s">
        <v>15953</v>
      </c>
      <c r="I144" s="391" t="s">
        <v>1075</v>
      </c>
      <c r="J144" s="392" t="s">
        <v>18547</v>
      </c>
    </row>
    <row r="145" spans="1:10" x14ac:dyDescent="0.3">
      <c r="A145" s="390" t="s">
        <v>18532</v>
      </c>
      <c r="B145" s="391" t="s">
        <v>15619</v>
      </c>
      <c r="C145" s="391" t="s">
        <v>14992</v>
      </c>
      <c r="D145" s="391" t="s">
        <v>1152</v>
      </c>
      <c r="E145" s="391" t="s">
        <v>18545</v>
      </c>
      <c r="F145" s="391" t="s">
        <v>18546</v>
      </c>
      <c r="G145" s="408">
        <v>46175</v>
      </c>
      <c r="H145" s="391" t="s">
        <v>15991</v>
      </c>
      <c r="I145" s="391" t="s">
        <v>1075</v>
      </c>
      <c r="J145" s="392" t="s">
        <v>18548</v>
      </c>
    </row>
    <row r="146" spans="1:10" x14ac:dyDescent="0.3">
      <c r="A146" s="390" t="s">
        <v>18549</v>
      </c>
      <c r="B146" s="391" t="s">
        <v>15702</v>
      </c>
      <c r="C146" s="391" t="s">
        <v>14990</v>
      </c>
      <c r="D146" s="391" t="s">
        <v>15437</v>
      </c>
      <c r="E146" s="391" t="s">
        <v>18417</v>
      </c>
      <c r="F146" s="391" t="s">
        <v>18550</v>
      </c>
      <c r="G146" s="408">
        <v>46195</v>
      </c>
      <c r="H146" s="391" t="s">
        <v>15769</v>
      </c>
      <c r="I146" s="391" t="s">
        <v>1075</v>
      </c>
      <c r="J146" s="392" t="s">
        <v>18551</v>
      </c>
    </row>
    <row r="147" spans="1:10" x14ac:dyDescent="0.3">
      <c r="A147" s="390" t="s">
        <v>18549</v>
      </c>
      <c r="B147" s="391" t="s">
        <v>15702</v>
      </c>
      <c r="C147" s="391" t="s">
        <v>14990</v>
      </c>
      <c r="D147" s="391" t="s">
        <v>15441</v>
      </c>
      <c r="E147" s="391" t="s">
        <v>18152</v>
      </c>
      <c r="F147" s="391" t="s">
        <v>18552</v>
      </c>
      <c r="G147" s="408">
        <v>46190</v>
      </c>
      <c r="H147" s="391" t="s">
        <v>15806</v>
      </c>
      <c r="I147" s="391" t="s">
        <v>1075</v>
      </c>
      <c r="J147" s="392" t="s">
        <v>18553</v>
      </c>
    </row>
    <row r="148" spans="1:10" x14ac:dyDescent="0.3">
      <c r="A148" s="390" t="s">
        <v>18549</v>
      </c>
      <c r="B148" s="391" t="s">
        <v>15702</v>
      </c>
      <c r="C148" s="391" t="s">
        <v>14990</v>
      </c>
      <c r="D148" s="391" t="s">
        <v>1081</v>
      </c>
      <c r="E148" s="391" t="s">
        <v>18422</v>
      </c>
      <c r="F148" s="391" t="s">
        <v>18554</v>
      </c>
      <c r="G148" s="408">
        <v>46185</v>
      </c>
      <c r="H148" s="391" t="s">
        <v>15531</v>
      </c>
      <c r="I148" s="391" t="s">
        <v>1075</v>
      </c>
      <c r="J148" s="392" t="s">
        <v>18276</v>
      </c>
    </row>
    <row r="149" spans="1:10" x14ac:dyDescent="0.3">
      <c r="A149" s="390" t="s">
        <v>18549</v>
      </c>
      <c r="B149" s="391" t="s">
        <v>15702</v>
      </c>
      <c r="C149" s="391" t="s">
        <v>14990</v>
      </c>
      <c r="D149" s="391" t="s">
        <v>15444</v>
      </c>
      <c r="E149" s="391" t="s">
        <v>18155</v>
      </c>
      <c r="F149" s="391" t="s">
        <v>18555</v>
      </c>
      <c r="G149" s="408">
        <v>46180</v>
      </c>
      <c r="H149" s="391" t="s">
        <v>15880</v>
      </c>
      <c r="I149" s="391" t="s">
        <v>1075</v>
      </c>
      <c r="J149" s="392" t="s">
        <v>18556</v>
      </c>
    </row>
    <row r="150" spans="1:10" x14ac:dyDescent="0.3">
      <c r="A150" s="390" t="s">
        <v>18549</v>
      </c>
      <c r="B150" s="391" t="s">
        <v>15702</v>
      </c>
      <c r="C150" s="391" t="s">
        <v>14990</v>
      </c>
      <c r="D150" s="391" t="s">
        <v>15446</v>
      </c>
      <c r="E150" s="391" t="s">
        <v>18427</v>
      </c>
      <c r="F150" s="391" t="s">
        <v>18557</v>
      </c>
      <c r="G150" s="408">
        <v>46173</v>
      </c>
      <c r="H150" s="391" t="s">
        <v>15917</v>
      </c>
      <c r="I150" s="391" t="s">
        <v>1075</v>
      </c>
      <c r="J150" s="392" t="s">
        <v>18558</v>
      </c>
    </row>
    <row r="151" spans="1:10" x14ac:dyDescent="0.3">
      <c r="A151" s="390" t="s">
        <v>18549</v>
      </c>
      <c r="B151" s="391" t="s">
        <v>15702</v>
      </c>
      <c r="C151" s="391" t="s">
        <v>14990</v>
      </c>
      <c r="D151" s="391" t="s">
        <v>1152</v>
      </c>
      <c r="E151" s="391" t="s">
        <v>18427</v>
      </c>
      <c r="F151" s="391" t="s">
        <v>18557</v>
      </c>
      <c r="G151" s="408">
        <v>46174</v>
      </c>
      <c r="H151" s="391" t="s">
        <v>15956</v>
      </c>
      <c r="I151" s="391" t="s">
        <v>1075</v>
      </c>
      <c r="J151" s="392" t="s">
        <v>18559</v>
      </c>
    </row>
    <row r="152" spans="1:10" x14ac:dyDescent="0.3">
      <c r="A152" s="390" t="s">
        <v>18560</v>
      </c>
      <c r="B152" s="391" t="s">
        <v>15563</v>
      </c>
      <c r="C152" s="391" t="s">
        <v>14994</v>
      </c>
      <c r="D152" s="391" t="s">
        <v>15437</v>
      </c>
      <c r="E152" s="391" t="s">
        <v>18352</v>
      </c>
      <c r="F152" s="391" t="s">
        <v>18561</v>
      </c>
      <c r="G152" s="408">
        <v>46197</v>
      </c>
      <c r="H152" s="391" t="s">
        <v>15773</v>
      </c>
      <c r="I152" s="391" t="s">
        <v>1075</v>
      </c>
      <c r="J152" s="392" t="s">
        <v>18562</v>
      </c>
    </row>
    <row r="153" spans="1:10" x14ac:dyDescent="0.3">
      <c r="A153" s="390" t="s">
        <v>18560</v>
      </c>
      <c r="B153" s="391" t="s">
        <v>15563</v>
      </c>
      <c r="C153" s="391" t="s">
        <v>14994</v>
      </c>
      <c r="D153" s="391" t="s">
        <v>15441</v>
      </c>
      <c r="E153" s="391" t="s">
        <v>18355</v>
      </c>
      <c r="F153" s="391" t="s">
        <v>18563</v>
      </c>
      <c r="G153" s="408">
        <v>46192</v>
      </c>
      <c r="H153" s="391" t="s">
        <v>15810</v>
      </c>
      <c r="I153" s="391" t="s">
        <v>1075</v>
      </c>
      <c r="J153" s="392" t="s">
        <v>18564</v>
      </c>
    </row>
    <row r="154" spans="1:10" x14ac:dyDescent="0.3">
      <c r="A154" s="390" t="s">
        <v>18560</v>
      </c>
      <c r="B154" s="391" t="s">
        <v>15563</v>
      </c>
      <c r="C154" s="391" t="s">
        <v>14994</v>
      </c>
      <c r="D154" s="391" t="s">
        <v>1081</v>
      </c>
      <c r="E154" s="391" t="s">
        <v>18357</v>
      </c>
      <c r="F154" s="391" t="s">
        <v>18565</v>
      </c>
      <c r="G154" s="408">
        <v>46187</v>
      </c>
      <c r="H154" s="391" t="s">
        <v>15847</v>
      </c>
      <c r="I154" s="391" t="s">
        <v>1075</v>
      </c>
      <c r="J154" s="392" t="s">
        <v>18566</v>
      </c>
    </row>
    <row r="155" spans="1:10" x14ac:dyDescent="0.3">
      <c r="A155" s="390" t="s">
        <v>18560</v>
      </c>
      <c r="B155" s="391" t="s">
        <v>15563</v>
      </c>
      <c r="C155" s="391" t="s">
        <v>14994</v>
      </c>
      <c r="D155" s="391" t="s">
        <v>15444</v>
      </c>
      <c r="E155" s="391" t="s">
        <v>18360</v>
      </c>
      <c r="F155" s="391" t="s">
        <v>18567</v>
      </c>
      <c r="G155" s="408">
        <v>46182</v>
      </c>
      <c r="H155" s="391" t="s">
        <v>15884</v>
      </c>
      <c r="I155" s="391" t="s">
        <v>1075</v>
      </c>
      <c r="J155" s="392" t="s">
        <v>18245</v>
      </c>
    </row>
    <row r="156" spans="1:10" x14ac:dyDescent="0.3">
      <c r="A156" s="390" t="s">
        <v>18560</v>
      </c>
      <c r="B156" s="391" t="s">
        <v>15563</v>
      </c>
      <c r="C156" s="391" t="s">
        <v>14994</v>
      </c>
      <c r="D156" s="391" t="s">
        <v>15446</v>
      </c>
      <c r="E156" s="391" t="s">
        <v>18362</v>
      </c>
      <c r="F156" s="391" t="s">
        <v>18568</v>
      </c>
      <c r="G156" s="408">
        <v>46175</v>
      </c>
      <c r="H156" s="391" t="s">
        <v>15923</v>
      </c>
      <c r="I156" s="391" t="s">
        <v>1075</v>
      </c>
      <c r="J156" s="392" t="s">
        <v>18569</v>
      </c>
    </row>
    <row r="157" spans="1:10" x14ac:dyDescent="0.3">
      <c r="A157" s="390" t="s">
        <v>18560</v>
      </c>
      <c r="B157" s="391" t="s">
        <v>15563</v>
      </c>
      <c r="C157" s="391" t="s">
        <v>14994</v>
      </c>
      <c r="D157" s="391" t="s">
        <v>1152</v>
      </c>
      <c r="E157" s="391" t="s">
        <v>18362</v>
      </c>
      <c r="F157" s="391" t="s">
        <v>18568</v>
      </c>
      <c r="G157" s="408">
        <v>46176</v>
      </c>
      <c r="H157" s="391" t="s">
        <v>15961</v>
      </c>
      <c r="I157" s="391" t="s">
        <v>1075</v>
      </c>
      <c r="J157" s="392" t="s">
        <v>18398</v>
      </c>
    </row>
    <row r="158" spans="1:10" x14ac:dyDescent="0.3">
      <c r="A158" s="390" t="s">
        <v>18570</v>
      </c>
      <c r="B158" s="391" t="s">
        <v>15521</v>
      </c>
      <c r="C158" s="391" t="s">
        <v>1158</v>
      </c>
      <c r="D158" s="391" t="s">
        <v>15437</v>
      </c>
      <c r="E158" s="391" t="s">
        <v>18571</v>
      </c>
      <c r="F158" s="391" t="s">
        <v>18572</v>
      </c>
      <c r="G158" s="408">
        <v>46194</v>
      </c>
      <c r="H158" s="391" t="s">
        <v>15776</v>
      </c>
      <c r="I158" s="391" t="s">
        <v>1075</v>
      </c>
      <c r="J158" s="392" t="s">
        <v>18573</v>
      </c>
    </row>
    <row r="159" spans="1:10" x14ac:dyDescent="0.3">
      <c r="A159" s="390" t="s">
        <v>18570</v>
      </c>
      <c r="B159" s="391" t="s">
        <v>15521</v>
      </c>
      <c r="C159" s="391" t="s">
        <v>1158</v>
      </c>
      <c r="D159" s="391" t="s">
        <v>15441</v>
      </c>
      <c r="E159" s="391" t="s">
        <v>18254</v>
      </c>
      <c r="F159" s="391" t="s">
        <v>18574</v>
      </c>
      <c r="G159" s="408">
        <v>46189</v>
      </c>
      <c r="H159" s="391" t="s">
        <v>15813</v>
      </c>
      <c r="I159" s="391" t="s">
        <v>1075</v>
      </c>
      <c r="J159" s="392" t="s">
        <v>18575</v>
      </c>
    </row>
    <row r="160" spans="1:10" x14ac:dyDescent="0.3">
      <c r="A160" s="390" t="s">
        <v>18570</v>
      </c>
      <c r="B160" s="391" t="s">
        <v>15521</v>
      </c>
      <c r="C160" s="391" t="s">
        <v>1158</v>
      </c>
      <c r="D160" s="391" t="s">
        <v>1081</v>
      </c>
      <c r="E160" s="391" t="s">
        <v>18257</v>
      </c>
      <c r="F160" s="391" t="s">
        <v>18576</v>
      </c>
      <c r="G160" s="408">
        <v>46184</v>
      </c>
      <c r="H160" s="391" t="s">
        <v>15850</v>
      </c>
      <c r="I160" s="391" t="s">
        <v>1075</v>
      </c>
      <c r="J160" s="392" t="s">
        <v>18577</v>
      </c>
    </row>
    <row r="161" spans="1:10" x14ac:dyDescent="0.3">
      <c r="A161" s="390" t="s">
        <v>18570</v>
      </c>
      <c r="B161" s="391" t="s">
        <v>15521</v>
      </c>
      <c r="C161" s="391" t="s">
        <v>1158</v>
      </c>
      <c r="D161" s="391" t="s">
        <v>15444</v>
      </c>
      <c r="E161" s="391" t="s">
        <v>18260</v>
      </c>
      <c r="F161" s="391" t="s">
        <v>18578</v>
      </c>
      <c r="G161" s="408">
        <v>46179</v>
      </c>
      <c r="H161" s="391" t="s">
        <v>15887</v>
      </c>
      <c r="I161" s="391" t="s">
        <v>1075</v>
      </c>
      <c r="J161" s="392" t="s">
        <v>18579</v>
      </c>
    </row>
    <row r="162" spans="1:10" x14ac:dyDescent="0.3">
      <c r="A162" s="390" t="s">
        <v>18570</v>
      </c>
      <c r="B162" s="391" t="s">
        <v>15521</v>
      </c>
      <c r="C162" s="391" t="s">
        <v>1158</v>
      </c>
      <c r="D162" s="391" t="s">
        <v>15446</v>
      </c>
      <c r="E162" s="391" t="s">
        <v>18263</v>
      </c>
      <c r="F162" s="391" t="s">
        <v>18580</v>
      </c>
      <c r="G162" s="408">
        <v>46172</v>
      </c>
      <c r="H162" s="391" t="s">
        <v>15926</v>
      </c>
      <c r="I162" s="391" t="s">
        <v>1075</v>
      </c>
      <c r="J162" s="392" t="s">
        <v>18581</v>
      </c>
    </row>
    <row r="163" spans="1:10" x14ac:dyDescent="0.3">
      <c r="A163" s="390" t="s">
        <v>18570</v>
      </c>
      <c r="B163" s="391" t="s">
        <v>15521</v>
      </c>
      <c r="C163" s="391" t="s">
        <v>1158</v>
      </c>
      <c r="D163" s="391" t="s">
        <v>1152</v>
      </c>
      <c r="E163" s="391" t="s">
        <v>18263</v>
      </c>
      <c r="F163" s="391" t="s">
        <v>18580</v>
      </c>
      <c r="G163" s="408">
        <v>46173</v>
      </c>
      <c r="H163" s="391" t="s">
        <v>15964</v>
      </c>
      <c r="I163" s="391" t="s">
        <v>1075</v>
      </c>
      <c r="J163" s="392" t="s">
        <v>18382</v>
      </c>
    </row>
    <row r="164" spans="1:10" x14ac:dyDescent="0.3">
      <c r="A164" s="390" t="s">
        <v>18582</v>
      </c>
      <c r="B164" s="391" t="s">
        <v>15738</v>
      </c>
      <c r="C164" s="391" t="s">
        <v>152</v>
      </c>
      <c r="D164" s="391" t="s">
        <v>15437</v>
      </c>
      <c r="E164" s="391" t="s">
        <v>18583</v>
      </c>
      <c r="F164" s="391" t="s">
        <v>18584</v>
      </c>
      <c r="G164" s="408">
        <v>46196</v>
      </c>
      <c r="H164" s="391" t="s">
        <v>15779</v>
      </c>
      <c r="I164" s="391" t="s">
        <v>1075</v>
      </c>
      <c r="J164" s="392" t="s">
        <v>18585</v>
      </c>
    </row>
    <row r="165" spans="1:10" x14ac:dyDescent="0.3">
      <c r="A165" s="390" t="s">
        <v>18582</v>
      </c>
      <c r="B165" s="391" t="s">
        <v>15738</v>
      </c>
      <c r="C165" s="391" t="s">
        <v>152</v>
      </c>
      <c r="D165" s="391" t="s">
        <v>15441</v>
      </c>
      <c r="E165" s="391" t="s">
        <v>18586</v>
      </c>
      <c r="F165" s="391" t="s">
        <v>18587</v>
      </c>
      <c r="G165" s="408">
        <v>46191</v>
      </c>
      <c r="H165" s="391" t="s">
        <v>15816</v>
      </c>
      <c r="I165" s="391" t="s">
        <v>1075</v>
      </c>
      <c r="J165" s="392" t="s">
        <v>18588</v>
      </c>
    </row>
    <row r="166" spans="1:10" x14ac:dyDescent="0.3">
      <c r="A166" s="390" t="s">
        <v>18582</v>
      </c>
      <c r="B166" s="391" t="s">
        <v>15738</v>
      </c>
      <c r="C166" s="391" t="s">
        <v>152</v>
      </c>
      <c r="D166" s="391" t="s">
        <v>1081</v>
      </c>
      <c r="E166" s="391" t="s">
        <v>18589</v>
      </c>
      <c r="F166" s="391" t="s">
        <v>18590</v>
      </c>
      <c r="G166" s="408">
        <v>46186</v>
      </c>
      <c r="H166" s="391" t="s">
        <v>15853</v>
      </c>
      <c r="I166" s="391" t="s">
        <v>1075</v>
      </c>
      <c r="J166" s="392" t="s">
        <v>18293</v>
      </c>
    </row>
    <row r="167" spans="1:10" x14ac:dyDescent="0.3">
      <c r="A167" s="390" t="s">
        <v>18582</v>
      </c>
      <c r="B167" s="391" t="s">
        <v>15738</v>
      </c>
      <c r="C167" s="391" t="s">
        <v>152</v>
      </c>
      <c r="D167" s="391" t="s">
        <v>15444</v>
      </c>
      <c r="E167" s="391" t="s">
        <v>18591</v>
      </c>
      <c r="F167" s="391" t="s">
        <v>18592</v>
      </c>
      <c r="G167" s="408">
        <v>46181</v>
      </c>
      <c r="H167" s="391" t="s">
        <v>15890</v>
      </c>
      <c r="I167" s="391" t="s">
        <v>1075</v>
      </c>
      <c r="J167" s="392" t="s">
        <v>18378</v>
      </c>
    </row>
    <row r="168" spans="1:10" x14ac:dyDescent="0.3">
      <c r="A168" s="390" t="s">
        <v>18582</v>
      </c>
      <c r="B168" s="391" t="s">
        <v>15738</v>
      </c>
      <c r="C168" s="391" t="s">
        <v>152</v>
      </c>
      <c r="D168" s="391" t="s">
        <v>15446</v>
      </c>
      <c r="E168" s="391" t="s">
        <v>18593</v>
      </c>
      <c r="F168" s="391" t="s">
        <v>18594</v>
      </c>
      <c r="G168" s="408">
        <v>46174</v>
      </c>
      <c r="H168" s="391" t="s">
        <v>15929</v>
      </c>
      <c r="I168" s="391" t="s">
        <v>1075</v>
      </c>
      <c r="J168" s="392" t="s">
        <v>18595</v>
      </c>
    </row>
    <row r="169" spans="1:10" x14ac:dyDescent="0.3">
      <c r="A169" s="390" t="s">
        <v>18582</v>
      </c>
      <c r="B169" s="391" t="s">
        <v>15738</v>
      </c>
      <c r="C169" s="391" t="s">
        <v>152</v>
      </c>
      <c r="D169" s="391" t="s">
        <v>1152</v>
      </c>
      <c r="E169" s="391" t="s">
        <v>18593</v>
      </c>
      <c r="F169" s="391" t="s">
        <v>18594</v>
      </c>
      <c r="G169" s="408">
        <v>46175</v>
      </c>
      <c r="H169" s="391" t="s">
        <v>15967</v>
      </c>
      <c r="I169" s="391" t="s">
        <v>1075</v>
      </c>
      <c r="J169" s="392" t="s">
        <v>18596</v>
      </c>
    </row>
    <row r="170" spans="1:10" x14ac:dyDescent="0.3">
      <c r="A170" s="390" t="s">
        <v>18597</v>
      </c>
      <c r="B170" s="391" t="s">
        <v>15628</v>
      </c>
      <c r="C170" s="391" t="s">
        <v>14992</v>
      </c>
      <c r="D170" s="391" t="s">
        <v>15437</v>
      </c>
      <c r="E170" s="391" t="s">
        <v>18598</v>
      </c>
      <c r="F170" s="391" t="s">
        <v>18599</v>
      </c>
      <c r="G170" s="408">
        <v>46195</v>
      </c>
      <c r="H170" s="391" t="s">
        <v>15782</v>
      </c>
      <c r="I170" s="391" t="s">
        <v>1075</v>
      </c>
      <c r="J170" s="392" t="s">
        <v>18600</v>
      </c>
    </row>
    <row r="171" spans="1:10" x14ac:dyDescent="0.3">
      <c r="A171" s="390" t="s">
        <v>18597</v>
      </c>
      <c r="B171" s="391" t="s">
        <v>15628</v>
      </c>
      <c r="C171" s="391" t="s">
        <v>14992</v>
      </c>
      <c r="D171" s="391" t="s">
        <v>15441</v>
      </c>
      <c r="E171" s="391" t="s">
        <v>18601</v>
      </c>
      <c r="F171" s="391" t="s">
        <v>18602</v>
      </c>
      <c r="G171" s="408">
        <v>46190</v>
      </c>
      <c r="H171" s="391" t="s">
        <v>15819</v>
      </c>
      <c r="I171" s="391" t="s">
        <v>1075</v>
      </c>
      <c r="J171" s="392" t="s">
        <v>18603</v>
      </c>
    </row>
    <row r="172" spans="1:10" x14ac:dyDescent="0.3">
      <c r="A172" s="390" t="s">
        <v>18597</v>
      </c>
      <c r="B172" s="391" t="s">
        <v>15628</v>
      </c>
      <c r="C172" s="391" t="s">
        <v>14992</v>
      </c>
      <c r="D172" s="391" t="s">
        <v>1081</v>
      </c>
      <c r="E172" s="391" t="s">
        <v>18519</v>
      </c>
      <c r="F172" s="391" t="s">
        <v>18604</v>
      </c>
      <c r="G172" s="408">
        <v>46185</v>
      </c>
      <c r="H172" s="391" t="s">
        <v>15856</v>
      </c>
      <c r="I172" s="391" t="s">
        <v>1075</v>
      </c>
      <c r="J172" s="392" t="s">
        <v>18605</v>
      </c>
    </row>
    <row r="173" spans="1:10" x14ac:dyDescent="0.3">
      <c r="A173" s="390" t="s">
        <v>18597</v>
      </c>
      <c r="B173" s="391" t="s">
        <v>15628</v>
      </c>
      <c r="C173" s="391" t="s">
        <v>14992</v>
      </c>
      <c r="D173" s="391" t="s">
        <v>15444</v>
      </c>
      <c r="E173" s="391" t="s">
        <v>18522</v>
      </c>
      <c r="F173" s="391" t="s">
        <v>18606</v>
      </c>
      <c r="G173" s="408">
        <v>46180</v>
      </c>
      <c r="H173" s="391" t="s">
        <v>15893</v>
      </c>
      <c r="I173" s="391" t="s">
        <v>1075</v>
      </c>
      <c r="J173" s="392" t="s">
        <v>18527</v>
      </c>
    </row>
    <row r="174" spans="1:10" x14ac:dyDescent="0.3">
      <c r="A174" s="390" t="s">
        <v>18597</v>
      </c>
      <c r="B174" s="391" t="s">
        <v>15628</v>
      </c>
      <c r="C174" s="391" t="s">
        <v>14992</v>
      </c>
      <c r="D174" s="391" t="s">
        <v>15446</v>
      </c>
      <c r="E174" s="391" t="s">
        <v>18607</v>
      </c>
      <c r="F174" s="391" t="s">
        <v>18608</v>
      </c>
      <c r="G174" s="408">
        <v>46173</v>
      </c>
      <c r="H174" s="391" t="s">
        <v>15932</v>
      </c>
      <c r="I174" s="391" t="s">
        <v>1075</v>
      </c>
      <c r="J174" s="392" t="s">
        <v>18609</v>
      </c>
    </row>
    <row r="175" spans="1:10" x14ac:dyDescent="0.3">
      <c r="A175" s="390" t="s">
        <v>18597</v>
      </c>
      <c r="B175" s="391" t="s">
        <v>15628</v>
      </c>
      <c r="C175" s="391" t="s">
        <v>14992</v>
      </c>
      <c r="D175" s="391" t="s">
        <v>1152</v>
      </c>
      <c r="E175" s="391" t="s">
        <v>18607</v>
      </c>
      <c r="F175" s="391" t="s">
        <v>18608</v>
      </c>
      <c r="G175" s="408">
        <v>46174</v>
      </c>
      <c r="H175" s="391" t="s">
        <v>15970</v>
      </c>
      <c r="I175" s="391" t="s">
        <v>1075</v>
      </c>
      <c r="J175" s="392" t="s">
        <v>18610</v>
      </c>
    </row>
    <row r="176" spans="1:10" x14ac:dyDescent="0.3">
      <c r="A176" s="390" t="s">
        <v>18611</v>
      </c>
      <c r="B176" s="391" t="s">
        <v>15664</v>
      </c>
      <c r="C176" s="391" t="s">
        <v>14991</v>
      </c>
      <c r="D176" s="391" t="s">
        <v>15437</v>
      </c>
      <c r="E176" s="391" t="s">
        <v>18612</v>
      </c>
      <c r="F176" s="391" t="s">
        <v>18613</v>
      </c>
      <c r="G176" s="408">
        <v>46197</v>
      </c>
      <c r="H176" s="391" t="s">
        <v>15785</v>
      </c>
      <c r="I176" s="391" t="s">
        <v>1075</v>
      </c>
      <c r="J176" s="392" t="s">
        <v>18614</v>
      </c>
    </row>
    <row r="177" spans="1:10" x14ac:dyDescent="0.3">
      <c r="A177" s="390" t="s">
        <v>18611</v>
      </c>
      <c r="B177" s="391" t="s">
        <v>15664</v>
      </c>
      <c r="C177" s="391" t="s">
        <v>14991</v>
      </c>
      <c r="D177" s="391" t="s">
        <v>15441</v>
      </c>
      <c r="E177" s="391" t="s">
        <v>18615</v>
      </c>
      <c r="F177" s="391" t="s">
        <v>18616</v>
      </c>
      <c r="G177" s="408">
        <v>46192</v>
      </c>
      <c r="H177" s="391" t="s">
        <v>15822</v>
      </c>
      <c r="I177" s="391" t="s">
        <v>1075</v>
      </c>
      <c r="J177" s="392" t="s">
        <v>18617</v>
      </c>
    </row>
    <row r="178" spans="1:10" x14ac:dyDescent="0.3">
      <c r="A178" s="390" t="s">
        <v>18611</v>
      </c>
      <c r="B178" s="391" t="s">
        <v>15664</v>
      </c>
      <c r="C178" s="391" t="s">
        <v>14991</v>
      </c>
      <c r="D178" s="391" t="s">
        <v>1081</v>
      </c>
      <c r="E178" s="391" t="s">
        <v>18618</v>
      </c>
      <c r="F178" s="391" t="s">
        <v>18619</v>
      </c>
      <c r="G178" s="408">
        <v>46187</v>
      </c>
      <c r="H178" s="391" t="s">
        <v>15859</v>
      </c>
      <c r="I178" s="391" t="s">
        <v>1075</v>
      </c>
      <c r="J178" s="392" t="s">
        <v>18310</v>
      </c>
    </row>
    <row r="179" spans="1:10" x14ac:dyDescent="0.3">
      <c r="A179" s="390" t="s">
        <v>18611</v>
      </c>
      <c r="B179" s="391" t="s">
        <v>15664</v>
      </c>
      <c r="C179" s="391" t="s">
        <v>14991</v>
      </c>
      <c r="D179" s="391" t="s">
        <v>15444</v>
      </c>
      <c r="E179" s="391" t="s">
        <v>18620</v>
      </c>
      <c r="F179" s="391" t="s">
        <v>18621</v>
      </c>
      <c r="G179" s="408">
        <v>46182</v>
      </c>
      <c r="H179" s="391" t="s">
        <v>15896</v>
      </c>
      <c r="I179" s="391" t="s">
        <v>1075</v>
      </c>
      <c r="J179" s="392" t="s">
        <v>18378</v>
      </c>
    </row>
    <row r="180" spans="1:10" x14ac:dyDescent="0.3">
      <c r="A180" s="390" t="s">
        <v>18611</v>
      </c>
      <c r="B180" s="391" t="s">
        <v>15664</v>
      </c>
      <c r="C180" s="391" t="s">
        <v>14991</v>
      </c>
      <c r="D180" s="391" t="s">
        <v>15446</v>
      </c>
      <c r="E180" s="391" t="s">
        <v>18622</v>
      </c>
      <c r="F180" s="391" t="s">
        <v>18623</v>
      </c>
      <c r="G180" s="408">
        <v>46175</v>
      </c>
      <c r="H180" s="391" t="s">
        <v>15935</v>
      </c>
      <c r="I180" s="391" t="s">
        <v>1075</v>
      </c>
      <c r="J180" s="392" t="s">
        <v>18624</v>
      </c>
    </row>
    <row r="181" spans="1:10" x14ac:dyDescent="0.3">
      <c r="A181" s="393" t="s">
        <v>18611</v>
      </c>
      <c r="B181" s="394" t="s">
        <v>15664</v>
      </c>
      <c r="C181" s="394" t="s">
        <v>14991</v>
      </c>
      <c r="D181" s="394" t="s">
        <v>1152</v>
      </c>
      <c r="E181" s="394" t="s">
        <v>18622</v>
      </c>
      <c r="F181" s="394" t="s">
        <v>18623</v>
      </c>
      <c r="G181" s="409">
        <v>46176</v>
      </c>
      <c r="H181" s="394" t="s">
        <v>15973</v>
      </c>
      <c r="I181" s="394" t="s">
        <v>1075</v>
      </c>
      <c r="J181" s="395" t="s">
        <v>18349</v>
      </c>
    </row>
    <row r="184" spans="1:10" ht="15.6" x14ac:dyDescent="0.3">
      <c r="A184" s="378" t="s">
        <v>18625</v>
      </c>
      <c r="B184" s="378"/>
      <c r="C184" s="378"/>
      <c r="D184" s="378"/>
      <c r="E184" s="378"/>
      <c r="F184" s="378"/>
      <c r="G184" s="378"/>
      <c r="H184" s="378"/>
      <c r="I184" s="378"/>
      <c r="J184" s="378"/>
    </row>
    <row r="185" spans="1:10" x14ac:dyDescent="0.3">
      <c r="A185" s="379"/>
      <c r="B185" s="379"/>
      <c r="C185" s="379"/>
      <c r="D185" s="379"/>
      <c r="E185" s="379"/>
      <c r="F185" s="379"/>
      <c r="G185" s="379"/>
      <c r="H185" s="379"/>
      <c r="I185" s="379"/>
      <c r="J185" s="379"/>
    </row>
    <row r="186" spans="1:10" x14ac:dyDescent="0.3">
      <c r="A186" s="379" t="s">
        <v>18626</v>
      </c>
      <c r="B186" s="379"/>
      <c r="C186" s="379"/>
      <c r="D186" s="379"/>
      <c r="E186" s="379"/>
      <c r="F186" s="379"/>
      <c r="G186" s="379"/>
      <c r="H186" s="379"/>
      <c r="I186" s="379"/>
      <c r="J186" s="379"/>
    </row>
    <row r="187" spans="1:10" x14ac:dyDescent="0.3">
      <c r="A187" s="379"/>
      <c r="B187" s="379"/>
      <c r="C187" s="379"/>
      <c r="D187" s="379"/>
      <c r="E187" s="379"/>
      <c r="F187" s="379"/>
      <c r="G187" s="379"/>
      <c r="H187" s="379"/>
      <c r="I187" s="379"/>
      <c r="J187" s="379"/>
    </row>
    <row r="188" spans="1:10" x14ac:dyDescent="0.3">
      <c r="A188" s="379" t="s">
        <v>18627</v>
      </c>
      <c r="B188" s="379"/>
      <c r="C188" s="379"/>
      <c r="D188" s="379"/>
      <c r="E188" s="379"/>
      <c r="F188" s="379"/>
      <c r="G188" s="379"/>
      <c r="H188" s="379"/>
      <c r="I188" s="379"/>
      <c r="J188" s="379"/>
    </row>
    <row r="189" spans="1:10" x14ac:dyDescent="0.3">
      <c r="A189" s="379"/>
      <c r="B189" s="379"/>
      <c r="C189" s="379"/>
      <c r="D189" s="379"/>
      <c r="E189" s="379"/>
      <c r="F189" s="379"/>
      <c r="G189" s="379"/>
      <c r="H189" s="379"/>
      <c r="I189" s="379"/>
      <c r="J189" s="379"/>
    </row>
    <row r="190" spans="1:10" x14ac:dyDescent="0.3">
      <c r="A190" s="379" t="s">
        <v>18628</v>
      </c>
      <c r="B190" s="379"/>
      <c r="C190" s="379"/>
      <c r="D190" s="379"/>
      <c r="E190" s="379"/>
      <c r="F190" s="379"/>
      <c r="G190" s="379"/>
      <c r="H190" s="379"/>
      <c r="I190" s="379"/>
      <c r="J190" s="379"/>
    </row>
    <row r="191" spans="1:10" x14ac:dyDescent="0.3">
      <c r="A191" s="379"/>
      <c r="B191" s="379"/>
      <c r="C191" s="379"/>
      <c r="D191" s="379"/>
      <c r="E191" s="379"/>
      <c r="F191" s="379"/>
      <c r="G191" s="379"/>
      <c r="H191" s="379"/>
      <c r="I191" s="379"/>
      <c r="J191" s="379"/>
    </row>
    <row r="192" spans="1:10" x14ac:dyDescent="0.3">
      <c r="A192" s="379" t="s">
        <v>17502</v>
      </c>
      <c r="B192" s="379"/>
      <c r="C192" s="379"/>
      <c r="D192" s="379"/>
      <c r="E192" s="379"/>
      <c r="F192" s="379"/>
      <c r="G192" s="379"/>
      <c r="H192" s="379"/>
      <c r="I192" s="379"/>
      <c r="J192" s="379"/>
    </row>
    <row r="194" spans="1:10" ht="18" x14ac:dyDescent="0.35">
      <c r="A194" s="358" t="s">
        <v>18629</v>
      </c>
      <c r="B194" s="358"/>
      <c r="C194" s="358"/>
      <c r="D194" s="358"/>
      <c r="E194" s="358"/>
      <c r="F194" s="358"/>
      <c r="G194" s="358"/>
      <c r="H194" s="358"/>
      <c r="I194" s="358"/>
      <c r="J194" s="358"/>
    </row>
    <row r="196" spans="1:10" ht="15.6" x14ac:dyDescent="0.3">
      <c r="A196" s="380" t="s">
        <v>18630</v>
      </c>
      <c r="B196" s="381"/>
      <c r="C196" s="381"/>
      <c r="D196" s="381"/>
      <c r="E196" s="381"/>
      <c r="F196" s="381"/>
      <c r="G196" s="381"/>
      <c r="H196" s="381"/>
      <c r="I196" s="381"/>
      <c r="J196" s="381"/>
    </row>
    <row r="197" spans="1:10" x14ac:dyDescent="0.3">
      <c r="A197" s="381" t="s">
        <v>18631</v>
      </c>
      <c r="B197" s="381"/>
      <c r="C197" s="381"/>
      <c r="D197" s="381"/>
      <c r="E197" s="381"/>
      <c r="F197" s="381"/>
      <c r="G197" s="381"/>
      <c r="H197" s="381"/>
      <c r="I197" s="381"/>
      <c r="J197" s="381"/>
    </row>
    <row r="198" spans="1:10" x14ac:dyDescent="0.3">
      <c r="A198" s="381" t="s">
        <v>18632</v>
      </c>
      <c r="B198" s="381"/>
      <c r="C198" s="381"/>
      <c r="D198" s="381"/>
      <c r="E198" s="381"/>
      <c r="F198" s="381"/>
      <c r="G198" s="381"/>
      <c r="H198" s="381"/>
      <c r="I198" s="381"/>
      <c r="J198" s="381"/>
    </row>
    <row r="199" spans="1:10" x14ac:dyDescent="0.3">
      <c r="A199" s="381"/>
      <c r="B199" s="381"/>
      <c r="C199" s="381"/>
      <c r="D199" s="381"/>
      <c r="E199" s="381"/>
      <c r="F199" s="381"/>
      <c r="G199" s="381"/>
      <c r="H199" s="381"/>
      <c r="I199" s="381"/>
      <c r="J199" s="381"/>
    </row>
    <row r="200" spans="1:10" x14ac:dyDescent="0.3">
      <c r="A200" s="381" t="s">
        <v>18633</v>
      </c>
      <c r="B200" s="381"/>
      <c r="C200" s="381"/>
      <c r="D200" s="381"/>
      <c r="E200" s="381"/>
      <c r="F200" s="381"/>
      <c r="G200" s="381"/>
      <c r="H200" s="381"/>
      <c r="I200" s="381"/>
      <c r="J200" s="381"/>
    </row>
    <row r="201" spans="1:10" x14ac:dyDescent="0.3">
      <c r="A201" s="381" t="s">
        <v>18634</v>
      </c>
      <c r="B201" s="381"/>
      <c r="C201" s="381"/>
      <c r="D201" s="381"/>
      <c r="E201" s="381"/>
      <c r="F201" s="381"/>
      <c r="G201" s="381"/>
      <c r="H201" s="381"/>
      <c r="I201" s="381"/>
      <c r="J201" s="381"/>
    </row>
    <row r="202" spans="1:10" x14ac:dyDescent="0.3">
      <c r="A202" s="381" t="s">
        <v>18635</v>
      </c>
      <c r="B202" s="381"/>
      <c r="C202" s="381"/>
      <c r="D202" s="381"/>
      <c r="E202" s="381"/>
      <c r="F202" s="381"/>
      <c r="G202" s="381"/>
      <c r="H202" s="381"/>
      <c r="I202" s="381"/>
      <c r="J202" s="381"/>
    </row>
    <row r="203" spans="1:10" x14ac:dyDescent="0.3">
      <c r="A203" s="381" t="s">
        <v>18636</v>
      </c>
      <c r="B203" s="381"/>
      <c r="C203" s="381"/>
      <c r="D203" s="381"/>
      <c r="E203" s="381"/>
      <c r="F203" s="381"/>
      <c r="G203" s="381"/>
      <c r="H203" s="381"/>
      <c r="I203" s="381"/>
      <c r="J203" s="381"/>
    </row>
    <row r="204" spans="1:10" x14ac:dyDescent="0.3">
      <c r="A204" s="381" t="s">
        <v>18637</v>
      </c>
      <c r="B204" s="381"/>
      <c r="C204" s="381"/>
      <c r="D204" s="381"/>
      <c r="E204" s="381"/>
      <c r="F204" s="381"/>
      <c r="G204" s="381"/>
      <c r="H204" s="381"/>
      <c r="I204" s="381"/>
      <c r="J204" s="381"/>
    </row>
    <row r="205" spans="1:10" x14ac:dyDescent="0.3">
      <c r="A205" s="381"/>
      <c r="B205" s="381"/>
      <c r="C205" s="381"/>
      <c r="D205" s="381"/>
      <c r="E205" s="381"/>
      <c r="F205" s="381"/>
      <c r="G205" s="381"/>
      <c r="H205" s="381"/>
      <c r="I205" s="381"/>
      <c r="J205" s="381"/>
    </row>
    <row r="206" spans="1:10" ht="15.6" x14ac:dyDescent="0.3">
      <c r="A206" s="380" t="s">
        <v>18638</v>
      </c>
      <c r="B206" s="381"/>
      <c r="C206" s="381"/>
      <c r="D206" s="381"/>
      <c r="E206" s="381"/>
      <c r="F206" s="381"/>
      <c r="G206" s="381"/>
      <c r="H206" s="381"/>
      <c r="I206" s="381"/>
      <c r="J206" s="381"/>
    </row>
    <row r="207" spans="1:10" x14ac:dyDescent="0.3">
      <c r="A207" s="381"/>
      <c r="B207" s="381"/>
      <c r="C207" s="381"/>
      <c r="D207" s="381"/>
      <c r="E207" s="381"/>
      <c r="F207" s="381"/>
      <c r="G207" s="381"/>
      <c r="H207" s="381"/>
      <c r="I207" s="381"/>
      <c r="J207" s="381"/>
    </row>
    <row r="208" spans="1:10" x14ac:dyDescent="0.3">
      <c r="A208" s="381" t="s">
        <v>18639</v>
      </c>
      <c r="B208" s="381"/>
      <c r="C208" s="381"/>
      <c r="D208" s="381"/>
      <c r="E208" s="381"/>
      <c r="F208" s="381"/>
      <c r="G208" s="381"/>
      <c r="H208" s="381"/>
      <c r="I208" s="381"/>
      <c r="J208" s="381"/>
    </row>
    <row r="209" spans="1:10" x14ac:dyDescent="0.3">
      <c r="A209" s="381"/>
      <c r="B209" s="381"/>
      <c r="C209" s="381"/>
      <c r="D209" s="381"/>
      <c r="E209" s="381"/>
      <c r="F209" s="381"/>
      <c r="G209" s="381"/>
      <c r="H209" s="381"/>
      <c r="I209" s="381"/>
      <c r="J209" s="381"/>
    </row>
    <row r="210" spans="1:10" x14ac:dyDescent="0.3">
      <c r="A210" s="381" t="s">
        <v>18640</v>
      </c>
      <c r="B210" s="381"/>
      <c r="C210" s="381"/>
      <c r="D210" s="381"/>
      <c r="E210" s="381"/>
      <c r="F210" s="381"/>
      <c r="G210" s="381"/>
      <c r="H210" s="381"/>
      <c r="I210" s="381"/>
      <c r="J210" s="381"/>
    </row>
    <row r="211" spans="1:10" x14ac:dyDescent="0.3">
      <c r="A211" s="381" t="s">
        <v>18641</v>
      </c>
      <c r="B211" s="381"/>
      <c r="C211" s="381"/>
      <c r="D211" s="381"/>
      <c r="E211" s="381"/>
      <c r="F211" s="381"/>
      <c r="G211" s="381"/>
      <c r="H211" s="381"/>
      <c r="I211" s="381"/>
      <c r="J211" s="381"/>
    </row>
    <row r="212" spans="1:10" x14ac:dyDescent="0.3">
      <c r="A212" s="381" t="s">
        <v>18642</v>
      </c>
      <c r="B212" s="381"/>
      <c r="C212" s="381"/>
      <c r="D212" s="381"/>
      <c r="E212" s="381"/>
      <c r="F212" s="381"/>
      <c r="G212" s="381"/>
      <c r="H212" s="381"/>
      <c r="I212" s="381"/>
      <c r="J212" s="381"/>
    </row>
    <row r="213" spans="1:10" x14ac:dyDescent="0.3">
      <c r="A213" s="381" t="s">
        <v>18643</v>
      </c>
      <c r="B213" s="381"/>
      <c r="C213" s="381"/>
      <c r="D213" s="381"/>
      <c r="E213" s="381"/>
      <c r="F213" s="381"/>
      <c r="G213" s="381"/>
      <c r="H213" s="381"/>
      <c r="I213" s="381"/>
      <c r="J213" s="381"/>
    </row>
    <row r="214" spans="1:10" x14ac:dyDescent="0.3">
      <c r="A214" s="381" t="s">
        <v>18644</v>
      </c>
      <c r="B214" s="381"/>
      <c r="C214" s="381"/>
      <c r="D214" s="381"/>
      <c r="E214" s="381"/>
      <c r="F214" s="381"/>
      <c r="G214" s="381"/>
      <c r="H214" s="381"/>
      <c r="I214" s="381"/>
      <c r="J214" s="381"/>
    </row>
    <row r="215" spans="1:10" x14ac:dyDescent="0.3">
      <c r="A215" s="381" t="s">
        <v>18645</v>
      </c>
      <c r="B215" s="381"/>
      <c r="C215" s="381"/>
      <c r="D215" s="381"/>
      <c r="E215" s="381"/>
      <c r="F215" s="381"/>
      <c r="G215" s="381"/>
      <c r="H215" s="381"/>
      <c r="I215" s="381"/>
      <c r="J215" s="381"/>
    </row>
    <row r="216" spans="1:10" x14ac:dyDescent="0.3">
      <c r="A216" s="381"/>
      <c r="B216" s="381"/>
      <c r="C216" s="381"/>
      <c r="D216" s="381"/>
      <c r="E216" s="381"/>
      <c r="F216" s="381"/>
      <c r="G216" s="381"/>
      <c r="H216" s="381"/>
      <c r="I216" s="381"/>
      <c r="J216" s="381"/>
    </row>
    <row r="217" spans="1:10" ht="15.6" x14ac:dyDescent="0.3">
      <c r="A217" s="380" t="s">
        <v>17629</v>
      </c>
      <c r="B217" s="381"/>
      <c r="C217" s="381"/>
      <c r="D217" s="381"/>
      <c r="E217" s="381"/>
      <c r="F217" s="381"/>
      <c r="G217" s="381"/>
      <c r="H217" s="381"/>
      <c r="I217" s="381"/>
      <c r="J217" s="381"/>
    </row>
    <row r="218" spans="1:10" x14ac:dyDescent="0.3">
      <c r="A218" s="381"/>
      <c r="B218" s="381"/>
      <c r="C218" s="381"/>
      <c r="D218" s="381"/>
      <c r="E218" s="381"/>
      <c r="F218" s="381"/>
      <c r="G218" s="381"/>
      <c r="H218" s="381"/>
      <c r="I218" s="381"/>
      <c r="J218" s="381"/>
    </row>
    <row r="219" spans="1:10" x14ac:dyDescent="0.3">
      <c r="A219" s="381" t="s">
        <v>18646</v>
      </c>
      <c r="B219" s="381"/>
      <c r="C219" s="381"/>
      <c r="D219" s="381"/>
      <c r="E219" s="381"/>
      <c r="F219" s="381"/>
      <c r="G219" s="381"/>
      <c r="H219" s="381"/>
      <c r="I219" s="381"/>
      <c r="J219" s="381"/>
    </row>
    <row r="220" spans="1:10" x14ac:dyDescent="0.3">
      <c r="A220" s="381" t="s">
        <v>18647</v>
      </c>
      <c r="B220" s="381"/>
      <c r="C220" s="381"/>
      <c r="D220" s="381"/>
      <c r="E220" s="381"/>
      <c r="F220" s="381"/>
      <c r="G220" s="381"/>
      <c r="H220" s="381"/>
      <c r="I220" s="381"/>
      <c r="J220" s="381"/>
    </row>
    <row r="221" spans="1:10" x14ac:dyDescent="0.3">
      <c r="A221" s="381" t="s">
        <v>18648</v>
      </c>
      <c r="B221" s="381"/>
      <c r="C221" s="381"/>
      <c r="D221" s="381"/>
      <c r="E221" s="381"/>
      <c r="F221" s="381"/>
      <c r="G221" s="381"/>
      <c r="H221" s="381"/>
      <c r="I221" s="381"/>
      <c r="J221" s="381"/>
    </row>
    <row r="222" spans="1:10" x14ac:dyDescent="0.3">
      <c r="A222" s="381" t="s">
        <v>18649</v>
      </c>
      <c r="B222" s="381"/>
      <c r="C222" s="381"/>
      <c r="D222" s="381"/>
      <c r="E222" s="381"/>
      <c r="F222" s="381"/>
      <c r="G222" s="381"/>
      <c r="H222" s="381"/>
      <c r="I222" s="381"/>
      <c r="J222" s="381"/>
    </row>
    <row r="223" spans="1:10" x14ac:dyDescent="0.3">
      <c r="A223" s="381"/>
      <c r="B223" s="381"/>
      <c r="C223" s="381"/>
      <c r="D223" s="381"/>
      <c r="E223" s="381"/>
      <c r="F223" s="381"/>
      <c r="G223" s="381"/>
      <c r="H223" s="381"/>
      <c r="I223" s="381"/>
      <c r="J223" s="381"/>
    </row>
    <row r="224" spans="1:10" x14ac:dyDescent="0.3">
      <c r="A224" s="381" t="s">
        <v>18650</v>
      </c>
      <c r="B224" s="381"/>
      <c r="C224" s="381"/>
      <c r="D224" s="381"/>
      <c r="E224" s="381"/>
      <c r="F224" s="381"/>
      <c r="G224" s="381"/>
      <c r="H224" s="381"/>
      <c r="I224" s="381"/>
      <c r="J224" s="381"/>
    </row>
    <row r="225" spans="1:10" x14ac:dyDescent="0.3">
      <c r="A225" s="381" t="s">
        <v>18651</v>
      </c>
      <c r="B225" s="381"/>
      <c r="C225" s="381"/>
      <c r="D225" s="381"/>
      <c r="E225" s="381"/>
      <c r="F225" s="381"/>
      <c r="G225" s="381"/>
      <c r="H225" s="381"/>
      <c r="I225" s="381"/>
      <c r="J225" s="381"/>
    </row>
    <row r="226" spans="1:10" x14ac:dyDescent="0.3">
      <c r="A226" s="381" t="s">
        <v>18652</v>
      </c>
      <c r="B226" s="381"/>
      <c r="C226" s="381"/>
      <c r="D226" s="381"/>
      <c r="E226" s="381"/>
      <c r="F226" s="381"/>
      <c r="G226" s="381"/>
      <c r="H226" s="381"/>
      <c r="I226" s="381"/>
      <c r="J226" s="381"/>
    </row>
    <row r="227" spans="1:10" x14ac:dyDescent="0.3">
      <c r="A227" s="381" t="s">
        <v>18653</v>
      </c>
      <c r="B227" s="381"/>
      <c r="C227" s="381"/>
      <c r="D227" s="381"/>
      <c r="E227" s="381"/>
      <c r="F227" s="381"/>
      <c r="G227" s="381"/>
      <c r="H227" s="381"/>
      <c r="I227" s="381"/>
      <c r="J227" s="381"/>
    </row>
    <row r="228" spans="1:10" x14ac:dyDescent="0.3">
      <c r="A228" s="381"/>
      <c r="B228" s="381"/>
      <c r="C228" s="381"/>
      <c r="D228" s="381"/>
      <c r="E228" s="381"/>
      <c r="F228" s="381"/>
      <c r="G228" s="381"/>
      <c r="H228" s="381"/>
      <c r="I228" s="381"/>
      <c r="J228" s="381"/>
    </row>
    <row r="229" spans="1:10" x14ac:dyDescent="0.3">
      <c r="A229" s="381" t="s">
        <v>18654</v>
      </c>
      <c r="B229" s="381"/>
      <c r="C229" s="381"/>
      <c r="D229" s="381"/>
      <c r="E229" s="381"/>
      <c r="F229" s="381"/>
      <c r="G229" s="381"/>
      <c r="H229" s="381"/>
      <c r="I229" s="381"/>
      <c r="J229" s="381"/>
    </row>
    <row r="230" spans="1:10" x14ac:dyDescent="0.3">
      <c r="A230" s="381" t="s">
        <v>18655</v>
      </c>
      <c r="B230" s="381"/>
      <c r="C230" s="381"/>
      <c r="D230" s="381"/>
      <c r="E230" s="381"/>
      <c r="F230" s="381"/>
      <c r="G230" s="381"/>
      <c r="H230" s="381"/>
      <c r="I230" s="381"/>
      <c r="J230" s="381"/>
    </row>
    <row r="231" spans="1:10" x14ac:dyDescent="0.3">
      <c r="A231" s="381" t="s">
        <v>18656</v>
      </c>
      <c r="B231" s="381"/>
      <c r="C231" s="381"/>
      <c r="D231" s="381"/>
      <c r="E231" s="381"/>
      <c r="F231" s="381"/>
      <c r="G231" s="381"/>
      <c r="H231" s="381"/>
      <c r="I231" s="381"/>
      <c r="J231" s="381"/>
    </row>
    <row r="232" spans="1:10" x14ac:dyDescent="0.3">
      <c r="A232" s="381" t="s">
        <v>18657</v>
      </c>
      <c r="B232" s="381"/>
      <c r="C232" s="381"/>
      <c r="D232" s="381"/>
      <c r="E232" s="381"/>
      <c r="F232" s="381"/>
      <c r="G232" s="381"/>
      <c r="H232" s="381"/>
      <c r="I232" s="381"/>
      <c r="J232" s="381"/>
    </row>
    <row r="233" spans="1:10" x14ac:dyDescent="0.3">
      <c r="A233" s="381"/>
      <c r="B233" s="381"/>
      <c r="C233" s="381"/>
      <c r="D233" s="381"/>
      <c r="E233" s="381"/>
      <c r="F233" s="381"/>
      <c r="G233" s="381"/>
      <c r="H233" s="381"/>
      <c r="I233" s="381"/>
      <c r="J233" s="381"/>
    </row>
    <row r="234" spans="1:10" x14ac:dyDescent="0.3">
      <c r="A234" s="458" t="s">
        <v>17541</v>
      </c>
      <c r="B234" s="381"/>
      <c r="C234" s="381"/>
      <c r="D234" s="381"/>
      <c r="E234" s="381"/>
      <c r="F234" s="381"/>
      <c r="G234" s="381"/>
      <c r="H234" s="381"/>
      <c r="I234" s="381"/>
      <c r="J234" s="381"/>
    </row>
    <row r="235" spans="1:10" x14ac:dyDescent="0.3">
      <c r="A235" s="381"/>
      <c r="B235" s="381"/>
      <c r="C235" s="381"/>
      <c r="D235" s="381"/>
      <c r="E235" s="381"/>
      <c r="F235" s="381"/>
      <c r="G235" s="381"/>
      <c r="H235" s="381"/>
      <c r="I235" s="381"/>
      <c r="J235" s="381"/>
    </row>
    <row r="236" spans="1:10" x14ac:dyDescent="0.3">
      <c r="A236" s="381" t="s">
        <v>18658</v>
      </c>
      <c r="B236" s="381"/>
      <c r="C236" s="381"/>
      <c r="D236" s="381"/>
      <c r="E236" s="381"/>
      <c r="F236" s="381"/>
      <c r="G236" s="381"/>
      <c r="H236" s="381"/>
      <c r="I236" s="381"/>
      <c r="J236" s="381"/>
    </row>
    <row r="237" spans="1:10" x14ac:dyDescent="0.3">
      <c r="A237" s="381" t="s">
        <v>18659</v>
      </c>
      <c r="B237" s="381"/>
      <c r="C237" s="381"/>
      <c r="D237" s="381"/>
      <c r="E237" s="381"/>
      <c r="F237" s="381"/>
      <c r="G237" s="381"/>
      <c r="H237" s="381"/>
      <c r="I237" s="381"/>
      <c r="J237" s="381"/>
    </row>
    <row r="238" spans="1:10" x14ac:dyDescent="0.3">
      <c r="A238" s="381" t="s">
        <v>18660</v>
      </c>
      <c r="B238" s="381"/>
      <c r="C238" s="381"/>
      <c r="D238" s="381"/>
      <c r="E238" s="381"/>
      <c r="F238" s="381"/>
      <c r="G238" s="381"/>
      <c r="H238" s="381"/>
      <c r="I238" s="381"/>
      <c r="J238" s="381"/>
    </row>
    <row r="239" spans="1:10" x14ac:dyDescent="0.3">
      <c r="A239" s="381" t="s">
        <v>18661</v>
      </c>
      <c r="B239" s="381"/>
      <c r="C239" s="381"/>
      <c r="D239" s="381"/>
      <c r="E239" s="381"/>
      <c r="F239" s="381"/>
      <c r="G239" s="381"/>
      <c r="H239" s="381"/>
      <c r="I239" s="381"/>
      <c r="J239" s="381"/>
    </row>
    <row r="240" spans="1:10" x14ac:dyDescent="0.3">
      <c r="A240" s="381" t="s">
        <v>18662</v>
      </c>
      <c r="B240" s="381"/>
      <c r="C240" s="381"/>
      <c r="D240" s="381"/>
      <c r="E240" s="381"/>
      <c r="F240" s="381"/>
      <c r="G240" s="381"/>
      <c r="H240" s="381"/>
      <c r="I240" s="381"/>
      <c r="J240" s="381"/>
    </row>
    <row r="241" spans="1:10" x14ac:dyDescent="0.3">
      <c r="A241" s="381" t="s">
        <v>18663</v>
      </c>
      <c r="B241" s="381"/>
      <c r="C241" s="381"/>
      <c r="D241" s="381"/>
      <c r="E241" s="381"/>
      <c r="F241" s="381"/>
      <c r="G241" s="381"/>
      <c r="H241" s="381"/>
      <c r="I241" s="381"/>
      <c r="J241" s="381"/>
    </row>
    <row r="242" spans="1:10" x14ac:dyDescent="0.3">
      <c r="A242" s="381"/>
      <c r="B242" s="381"/>
      <c r="C242" s="381"/>
      <c r="D242" s="381"/>
      <c r="E242" s="381"/>
      <c r="F242" s="381"/>
      <c r="G242" s="381"/>
      <c r="H242" s="381"/>
      <c r="I242" s="381"/>
      <c r="J242" s="381"/>
    </row>
  </sheetData>
  <mergeCells count="2">
    <mergeCell ref="A184:J184"/>
    <mergeCell ref="A194:J19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96EE-67CC-420C-88AF-1089DE9EA0EB}">
  <dimension ref="A1:K360"/>
  <sheetViews>
    <sheetView topLeftCell="H1" workbookViewId="0">
      <pane ySplit="1" topLeftCell="A2" activePane="bottomLeft" state="frozen"/>
      <selection pane="bottomLeft" activeCell="K353" sqref="K353"/>
    </sheetView>
  </sheetViews>
  <sheetFormatPr defaultRowHeight="14.4" x14ac:dyDescent="0.3"/>
  <cols>
    <col min="1" max="1" width="18.5546875" customWidth="1"/>
    <col min="2" max="2" width="33.33203125" customWidth="1"/>
    <col min="3" max="3" width="55.5546875" customWidth="1"/>
    <col min="4" max="4" width="9.21875" customWidth="1"/>
    <col min="5" max="5" width="18.5546875" customWidth="1"/>
    <col min="6" max="8" width="64.77734375" customWidth="1"/>
    <col min="9" max="9" width="55.5546875" customWidth="1"/>
    <col min="10" max="10" width="14.77734375" customWidth="1"/>
    <col min="11" max="11" width="55.5546875" customWidth="1"/>
  </cols>
  <sheetData>
    <row r="1" spans="1:11" ht="30" customHeight="1" x14ac:dyDescent="0.3">
      <c r="A1" s="51" t="s">
        <v>0</v>
      </c>
      <c r="B1" s="52" t="s">
        <v>9</v>
      </c>
      <c r="C1" s="52" t="s">
        <v>1840</v>
      </c>
      <c r="D1" s="52" t="s">
        <v>2</v>
      </c>
      <c r="E1" s="52" t="s">
        <v>1841</v>
      </c>
      <c r="F1" s="52" t="s">
        <v>4</v>
      </c>
      <c r="G1" s="52" t="s">
        <v>1842</v>
      </c>
      <c r="H1" s="52" t="s">
        <v>6</v>
      </c>
      <c r="I1" s="52" t="s">
        <v>1843</v>
      </c>
      <c r="J1" s="53" t="s">
        <v>1131</v>
      </c>
      <c r="K1" s="163" t="s">
        <v>12827</v>
      </c>
    </row>
    <row r="2" spans="1:11" ht="57.6" x14ac:dyDescent="0.3">
      <c r="A2" s="54" t="s">
        <v>1844</v>
      </c>
      <c r="B2" s="55" t="s">
        <v>1845</v>
      </c>
      <c r="C2" s="55" t="s">
        <v>1846</v>
      </c>
      <c r="D2" s="55" t="s">
        <v>13</v>
      </c>
      <c r="E2" s="56" t="s">
        <v>1847</v>
      </c>
      <c r="F2" s="56" t="s">
        <v>1848</v>
      </c>
      <c r="G2" s="56" t="s">
        <v>1849</v>
      </c>
      <c r="H2" s="56" t="s">
        <v>1850</v>
      </c>
      <c r="I2" s="55" t="s">
        <v>1851</v>
      </c>
      <c r="J2" s="57" t="s">
        <v>1852</v>
      </c>
      <c r="K2" s="153"/>
    </row>
    <row r="3" spans="1:11" ht="57.6" x14ac:dyDescent="0.3">
      <c r="A3" s="54" t="s">
        <v>1853</v>
      </c>
      <c r="B3" s="55" t="s">
        <v>1845</v>
      </c>
      <c r="C3" s="55" t="s">
        <v>1854</v>
      </c>
      <c r="D3" s="55" t="s">
        <v>10</v>
      </c>
      <c r="E3" s="56" t="s">
        <v>1847</v>
      </c>
      <c r="F3" s="56" t="s">
        <v>1855</v>
      </c>
      <c r="G3" s="56" t="s">
        <v>1856</v>
      </c>
      <c r="H3" s="56" t="s">
        <v>1857</v>
      </c>
      <c r="I3" s="55" t="s">
        <v>1858</v>
      </c>
      <c r="J3" s="57" t="s">
        <v>1852</v>
      </c>
      <c r="K3" s="153"/>
    </row>
    <row r="4" spans="1:11" ht="57.6" x14ac:dyDescent="0.3">
      <c r="A4" s="54" t="s">
        <v>1859</v>
      </c>
      <c r="B4" s="55" t="s">
        <v>1845</v>
      </c>
      <c r="C4" s="55" t="s">
        <v>1860</v>
      </c>
      <c r="D4" s="55" t="s">
        <v>10</v>
      </c>
      <c r="E4" s="56" t="s">
        <v>513</v>
      </c>
      <c r="F4" s="56" t="s">
        <v>1855</v>
      </c>
      <c r="G4" s="56" t="s">
        <v>1861</v>
      </c>
      <c r="H4" s="56" t="s">
        <v>1862</v>
      </c>
      <c r="I4" s="55"/>
      <c r="J4" s="57" t="s">
        <v>1852</v>
      </c>
      <c r="K4" s="153"/>
    </row>
    <row r="5" spans="1:11" ht="57.6" x14ac:dyDescent="0.3">
      <c r="A5" s="54" t="s">
        <v>1863</v>
      </c>
      <c r="B5" s="55" t="s">
        <v>1845</v>
      </c>
      <c r="C5" s="55" t="s">
        <v>1864</v>
      </c>
      <c r="D5" s="55" t="s">
        <v>13</v>
      </c>
      <c r="E5" s="56" t="s">
        <v>559</v>
      </c>
      <c r="F5" s="56" t="s">
        <v>1855</v>
      </c>
      <c r="G5" s="56" t="s">
        <v>1865</v>
      </c>
      <c r="H5" s="56" t="s">
        <v>1866</v>
      </c>
      <c r="I5" s="55" t="s">
        <v>1867</v>
      </c>
      <c r="J5" s="57" t="s">
        <v>1868</v>
      </c>
      <c r="K5" s="153"/>
    </row>
    <row r="6" spans="1:11" ht="57.6" x14ac:dyDescent="0.3">
      <c r="A6" s="54" t="s">
        <v>1869</v>
      </c>
      <c r="B6" s="55" t="s">
        <v>1845</v>
      </c>
      <c r="C6" s="55" t="s">
        <v>1870</v>
      </c>
      <c r="D6" s="55" t="s">
        <v>13</v>
      </c>
      <c r="E6" s="56" t="s">
        <v>559</v>
      </c>
      <c r="F6" s="56" t="s">
        <v>1855</v>
      </c>
      <c r="G6" s="56" t="s">
        <v>1871</v>
      </c>
      <c r="H6" s="56" t="s">
        <v>1872</v>
      </c>
      <c r="I6" s="55"/>
      <c r="J6" s="57" t="s">
        <v>1873</v>
      </c>
      <c r="K6" s="153"/>
    </row>
    <row r="7" spans="1:11" ht="57.6" x14ac:dyDescent="0.3">
      <c r="A7" s="54" t="s">
        <v>1874</v>
      </c>
      <c r="B7" s="55" t="s">
        <v>1845</v>
      </c>
      <c r="C7" s="55" t="s">
        <v>1875</v>
      </c>
      <c r="D7" s="55" t="s">
        <v>10</v>
      </c>
      <c r="E7" s="56" t="s">
        <v>28</v>
      </c>
      <c r="F7" s="56" t="s">
        <v>1876</v>
      </c>
      <c r="G7" s="56" t="s">
        <v>1877</v>
      </c>
      <c r="H7" s="56" t="s">
        <v>1878</v>
      </c>
      <c r="I7" s="55" t="s">
        <v>1879</v>
      </c>
      <c r="J7" s="57" t="s">
        <v>1852</v>
      </c>
      <c r="K7" s="153"/>
    </row>
    <row r="8" spans="1:11" ht="57.6" x14ac:dyDescent="0.3">
      <c r="A8" s="54" t="s">
        <v>1880</v>
      </c>
      <c r="B8" s="55" t="s">
        <v>1845</v>
      </c>
      <c r="C8" s="55" t="s">
        <v>1881</v>
      </c>
      <c r="D8" s="55" t="s">
        <v>13</v>
      </c>
      <c r="E8" s="56" t="s">
        <v>28</v>
      </c>
      <c r="F8" s="56" t="s">
        <v>1876</v>
      </c>
      <c r="G8" s="56" t="s">
        <v>1882</v>
      </c>
      <c r="H8" s="56" t="s">
        <v>1883</v>
      </c>
      <c r="I8" s="55" t="s">
        <v>1884</v>
      </c>
      <c r="J8" s="57" t="s">
        <v>1868</v>
      </c>
      <c r="K8" s="153"/>
    </row>
    <row r="9" spans="1:11" ht="28.8" x14ac:dyDescent="0.3">
      <c r="A9" s="54" t="s">
        <v>1885</v>
      </c>
      <c r="B9" s="55" t="s">
        <v>1845</v>
      </c>
      <c r="C9" s="55" t="s">
        <v>1886</v>
      </c>
      <c r="D9" s="55" t="s">
        <v>13</v>
      </c>
      <c r="E9" s="56" t="s">
        <v>13424</v>
      </c>
      <c r="F9" s="56" t="s">
        <v>1887</v>
      </c>
      <c r="G9" s="56" t="s">
        <v>1888</v>
      </c>
      <c r="H9" s="56" t="s">
        <v>1889</v>
      </c>
      <c r="I9" s="55" t="s">
        <v>1890</v>
      </c>
      <c r="J9" s="57" t="s">
        <v>1852</v>
      </c>
      <c r="K9" s="153" t="s">
        <v>13408</v>
      </c>
    </row>
    <row r="10" spans="1:11" ht="43.2" x14ac:dyDescent="0.3">
      <c r="A10" s="54" t="s">
        <v>1891</v>
      </c>
      <c r="B10" s="55" t="s">
        <v>1845</v>
      </c>
      <c r="C10" s="55" t="s">
        <v>1892</v>
      </c>
      <c r="D10" s="55" t="s">
        <v>13</v>
      </c>
      <c r="E10" s="56" t="s">
        <v>576</v>
      </c>
      <c r="F10" s="56" t="s">
        <v>1887</v>
      </c>
      <c r="G10" s="56" t="s">
        <v>1893</v>
      </c>
      <c r="H10" s="56" t="s">
        <v>1894</v>
      </c>
      <c r="I10" s="55" t="s">
        <v>1895</v>
      </c>
      <c r="J10" s="57" t="s">
        <v>1852</v>
      </c>
      <c r="K10" s="153"/>
    </row>
    <row r="11" spans="1:11" ht="43.2" x14ac:dyDescent="0.3">
      <c r="A11" s="54" t="s">
        <v>1896</v>
      </c>
      <c r="B11" s="55" t="s">
        <v>1845</v>
      </c>
      <c r="C11" s="55" t="s">
        <v>1897</v>
      </c>
      <c r="D11" s="55" t="s">
        <v>13</v>
      </c>
      <c r="E11" s="56" t="s">
        <v>580</v>
      </c>
      <c r="F11" s="56" t="s">
        <v>1898</v>
      </c>
      <c r="G11" s="56" t="s">
        <v>1899</v>
      </c>
      <c r="H11" s="56" t="s">
        <v>1900</v>
      </c>
      <c r="I11" s="55"/>
      <c r="J11" s="57" t="s">
        <v>1852</v>
      </c>
      <c r="K11" s="153"/>
    </row>
    <row r="12" spans="1:11" ht="28.8" x14ac:dyDescent="0.3">
      <c r="A12" s="54" t="s">
        <v>1901</v>
      </c>
      <c r="B12" s="55" t="s">
        <v>1845</v>
      </c>
      <c r="C12" s="55" t="s">
        <v>1902</v>
      </c>
      <c r="D12" s="55" t="s">
        <v>10</v>
      </c>
      <c r="E12" s="56" t="s">
        <v>13399</v>
      </c>
      <c r="F12" s="56" t="s">
        <v>1903</v>
      </c>
      <c r="G12" s="56" t="s">
        <v>1904</v>
      </c>
      <c r="H12" s="56" t="s">
        <v>1905</v>
      </c>
      <c r="I12" s="55" t="s">
        <v>1906</v>
      </c>
      <c r="J12" s="57" t="s">
        <v>1868</v>
      </c>
      <c r="K12" s="153"/>
    </row>
    <row r="13" spans="1:11" ht="28.8" x14ac:dyDescent="0.3">
      <c r="A13" s="54" t="s">
        <v>1907</v>
      </c>
      <c r="B13" s="55" t="s">
        <v>1845</v>
      </c>
      <c r="C13" s="55" t="s">
        <v>1908</v>
      </c>
      <c r="D13" s="55" t="s">
        <v>10</v>
      </c>
      <c r="E13" s="56" t="s">
        <v>526</v>
      </c>
      <c r="F13" s="56" t="s">
        <v>1903</v>
      </c>
      <c r="G13" s="56" t="s">
        <v>1909</v>
      </c>
      <c r="H13" s="56" t="s">
        <v>1910</v>
      </c>
      <c r="I13" s="55"/>
      <c r="J13" s="57" t="s">
        <v>1868</v>
      </c>
      <c r="K13" s="153"/>
    </row>
    <row r="14" spans="1:11" ht="43.2" x14ac:dyDescent="0.3">
      <c r="A14" s="54" t="s">
        <v>1911</v>
      </c>
      <c r="B14" s="55" t="s">
        <v>1845</v>
      </c>
      <c r="C14" s="55" t="s">
        <v>1912</v>
      </c>
      <c r="D14" s="55" t="s">
        <v>13</v>
      </c>
      <c r="E14" s="56" t="s">
        <v>573</v>
      </c>
      <c r="F14" s="56" t="s">
        <v>1913</v>
      </c>
      <c r="G14" s="56" t="s">
        <v>1914</v>
      </c>
      <c r="H14" s="56" t="s">
        <v>1915</v>
      </c>
      <c r="I14" s="55" t="s">
        <v>1916</v>
      </c>
      <c r="J14" s="57" t="s">
        <v>1868</v>
      </c>
      <c r="K14" s="153"/>
    </row>
    <row r="15" spans="1:11" ht="57.6" x14ac:dyDescent="0.3">
      <c r="A15" s="54" t="s">
        <v>1917</v>
      </c>
      <c r="B15" s="55" t="s">
        <v>1845</v>
      </c>
      <c r="C15" s="55" t="s">
        <v>1918</v>
      </c>
      <c r="D15" s="55" t="s">
        <v>13</v>
      </c>
      <c r="E15" s="56" t="s">
        <v>583</v>
      </c>
      <c r="F15" s="56" t="s">
        <v>1919</v>
      </c>
      <c r="G15" s="56" t="s">
        <v>1920</v>
      </c>
      <c r="H15" s="56" t="s">
        <v>1921</v>
      </c>
      <c r="I15" s="55"/>
      <c r="J15" s="57" t="s">
        <v>1852</v>
      </c>
      <c r="K15" s="153"/>
    </row>
    <row r="16" spans="1:11" ht="57.6" x14ac:dyDescent="0.3">
      <c r="A16" s="58" t="s">
        <v>1922</v>
      </c>
      <c r="B16" s="59" t="s">
        <v>1923</v>
      </c>
      <c r="C16" s="59" t="s">
        <v>1924</v>
      </c>
      <c r="D16" s="59" t="s">
        <v>13</v>
      </c>
      <c r="E16" s="60" t="s">
        <v>277</v>
      </c>
      <c r="F16" s="60" t="s">
        <v>1925</v>
      </c>
      <c r="G16" s="60" t="s">
        <v>1926</v>
      </c>
      <c r="H16" s="60" t="s">
        <v>1927</v>
      </c>
      <c r="I16" s="59" t="s">
        <v>1928</v>
      </c>
      <c r="J16" s="61" t="s">
        <v>1852</v>
      </c>
      <c r="K16" s="153"/>
    </row>
    <row r="17" spans="1:11" ht="43.2" x14ac:dyDescent="0.3">
      <c r="A17" s="58" t="s">
        <v>1929</v>
      </c>
      <c r="B17" s="59" t="s">
        <v>1923</v>
      </c>
      <c r="C17" s="59" t="s">
        <v>1930</v>
      </c>
      <c r="D17" s="59" t="s">
        <v>13</v>
      </c>
      <c r="E17" s="60" t="s">
        <v>282</v>
      </c>
      <c r="F17" s="60" t="s">
        <v>1931</v>
      </c>
      <c r="G17" s="60" t="s">
        <v>1932</v>
      </c>
      <c r="H17" s="60" t="s">
        <v>1933</v>
      </c>
      <c r="I17" s="59" t="s">
        <v>1934</v>
      </c>
      <c r="J17" s="61" t="s">
        <v>1852</v>
      </c>
      <c r="K17" s="153"/>
    </row>
    <row r="18" spans="1:11" ht="43.2" x14ac:dyDescent="0.3">
      <c r="A18" s="58" t="s">
        <v>1935</v>
      </c>
      <c r="B18" s="59" t="s">
        <v>1923</v>
      </c>
      <c r="C18" s="59" t="s">
        <v>1936</v>
      </c>
      <c r="D18" s="59" t="s">
        <v>13</v>
      </c>
      <c r="E18" s="60" t="s">
        <v>286</v>
      </c>
      <c r="F18" s="60" t="s">
        <v>1937</v>
      </c>
      <c r="G18" s="60" t="s">
        <v>1938</v>
      </c>
      <c r="H18" s="60" t="s">
        <v>1939</v>
      </c>
      <c r="I18" s="59" t="s">
        <v>1940</v>
      </c>
      <c r="J18" s="61" t="s">
        <v>1852</v>
      </c>
      <c r="K18" s="153"/>
    </row>
    <row r="19" spans="1:11" ht="72" x14ac:dyDescent="0.3">
      <c r="A19" s="58" t="s">
        <v>1941</v>
      </c>
      <c r="B19" s="59" t="s">
        <v>1923</v>
      </c>
      <c r="C19" s="59" t="s">
        <v>1942</v>
      </c>
      <c r="D19" s="59" t="s">
        <v>13</v>
      </c>
      <c r="E19" s="60" t="s">
        <v>1943</v>
      </c>
      <c r="F19" s="60" t="s">
        <v>1944</v>
      </c>
      <c r="G19" s="60" t="s">
        <v>1945</v>
      </c>
      <c r="H19" s="60" t="s">
        <v>1946</v>
      </c>
      <c r="I19" s="59" t="s">
        <v>1947</v>
      </c>
      <c r="J19" s="61" t="s">
        <v>1852</v>
      </c>
      <c r="K19" s="153"/>
    </row>
    <row r="20" spans="1:11" ht="57.6" x14ac:dyDescent="0.3">
      <c r="A20" s="58" t="s">
        <v>1948</v>
      </c>
      <c r="B20" s="59" t="s">
        <v>1923</v>
      </c>
      <c r="C20" s="59" t="s">
        <v>1949</v>
      </c>
      <c r="D20" s="59" t="s">
        <v>13</v>
      </c>
      <c r="E20" s="60" t="s">
        <v>293</v>
      </c>
      <c r="F20" s="60" t="s">
        <v>1950</v>
      </c>
      <c r="G20" s="60" t="s">
        <v>1951</v>
      </c>
      <c r="H20" s="60" t="s">
        <v>1952</v>
      </c>
      <c r="I20" s="59" t="s">
        <v>1953</v>
      </c>
      <c r="J20" s="61" t="s">
        <v>1852</v>
      </c>
      <c r="K20" s="153"/>
    </row>
    <row r="21" spans="1:11" ht="57.6" x14ac:dyDescent="0.3">
      <c r="A21" s="58" t="s">
        <v>1954</v>
      </c>
      <c r="B21" s="59" t="s">
        <v>1923</v>
      </c>
      <c r="C21" s="59" t="s">
        <v>1955</v>
      </c>
      <c r="D21" s="59" t="s">
        <v>13</v>
      </c>
      <c r="E21" s="60" t="s">
        <v>1956</v>
      </c>
      <c r="F21" s="60" t="s">
        <v>1957</v>
      </c>
      <c r="G21" s="60" t="s">
        <v>1958</v>
      </c>
      <c r="H21" s="60" t="s">
        <v>1959</v>
      </c>
      <c r="I21" s="59" t="s">
        <v>1960</v>
      </c>
      <c r="J21" s="61" t="s">
        <v>1852</v>
      </c>
      <c r="K21" s="153"/>
    </row>
    <row r="22" spans="1:11" ht="43.2" x14ac:dyDescent="0.3">
      <c r="A22" s="58" t="s">
        <v>1961</v>
      </c>
      <c r="B22" s="59" t="s">
        <v>1923</v>
      </c>
      <c r="C22" s="59" t="s">
        <v>1962</v>
      </c>
      <c r="D22" s="59" t="s">
        <v>13</v>
      </c>
      <c r="E22" s="60" t="s">
        <v>1963</v>
      </c>
      <c r="F22" s="60" t="s">
        <v>1964</v>
      </c>
      <c r="G22" s="60" t="s">
        <v>1965</v>
      </c>
      <c r="H22" s="60" t="s">
        <v>1966</v>
      </c>
      <c r="I22" s="59" t="s">
        <v>1967</v>
      </c>
      <c r="J22" s="61" t="s">
        <v>1852</v>
      </c>
      <c r="K22" s="153"/>
    </row>
    <row r="23" spans="1:11" ht="43.2" x14ac:dyDescent="0.3">
      <c r="A23" s="58" t="s">
        <v>1968</v>
      </c>
      <c r="B23" s="59" t="s">
        <v>1923</v>
      </c>
      <c r="C23" s="59" t="s">
        <v>1969</v>
      </c>
      <c r="D23" s="59" t="s">
        <v>13</v>
      </c>
      <c r="E23" s="60" t="s">
        <v>301</v>
      </c>
      <c r="F23" s="60" t="s">
        <v>1970</v>
      </c>
      <c r="G23" s="60" t="s">
        <v>1971</v>
      </c>
      <c r="H23" s="60" t="s">
        <v>1972</v>
      </c>
      <c r="I23" s="59"/>
      <c r="J23" s="61" t="s">
        <v>1852</v>
      </c>
      <c r="K23" s="153"/>
    </row>
    <row r="24" spans="1:11" ht="43.2" x14ac:dyDescent="0.3">
      <c r="A24" s="58" t="s">
        <v>1973</v>
      </c>
      <c r="B24" s="59" t="s">
        <v>1923</v>
      </c>
      <c r="C24" s="59" t="s">
        <v>1974</v>
      </c>
      <c r="D24" s="59" t="s">
        <v>13</v>
      </c>
      <c r="E24" s="60" t="s">
        <v>305</v>
      </c>
      <c r="F24" s="60" t="s">
        <v>1975</v>
      </c>
      <c r="G24" s="60" t="s">
        <v>1976</v>
      </c>
      <c r="H24" s="60" t="s">
        <v>1977</v>
      </c>
      <c r="I24" s="59" t="s">
        <v>1978</v>
      </c>
      <c r="J24" s="61" t="s">
        <v>1852</v>
      </c>
      <c r="K24" s="153"/>
    </row>
    <row r="25" spans="1:11" ht="57.6" x14ac:dyDescent="0.3">
      <c r="A25" s="58" t="s">
        <v>1979</v>
      </c>
      <c r="B25" s="59" t="s">
        <v>1923</v>
      </c>
      <c r="C25" s="59" t="s">
        <v>1980</v>
      </c>
      <c r="D25" s="59" t="s">
        <v>13</v>
      </c>
      <c r="E25" s="60" t="s">
        <v>13400</v>
      </c>
      <c r="F25" s="60" t="s">
        <v>1981</v>
      </c>
      <c r="G25" s="60" t="s">
        <v>1982</v>
      </c>
      <c r="H25" s="60" t="s">
        <v>1983</v>
      </c>
      <c r="I25" s="59" t="s">
        <v>1984</v>
      </c>
      <c r="J25" s="61" t="s">
        <v>1852</v>
      </c>
      <c r="K25" s="153"/>
    </row>
    <row r="26" spans="1:11" ht="43.2" x14ac:dyDescent="0.3">
      <c r="A26" s="58" t="s">
        <v>1985</v>
      </c>
      <c r="B26" s="59" t="s">
        <v>1923</v>
      </c>
      <c r="C26" s="59" t="s">
        <v>1986</v>
      </c>
      <c r="D26" s="59" t="s">
        <v>13</v>
      </c>
      <c r="E26" s="60" t="s">
        <v>13401</v>
      </c>
      <c r="F26" s="60" t="s">
        <v>1987</v>
      </c>
      <c r="G26" s="60" t="s">
        <v>1988</v>
      </c>
      <c r="H26" s="60" t="s">
        <v>13031</v>
      </c>
      <c r="I26" s="59" t="s">
        <v>13032</v>
      </c>
      <c r="J26" s="61" t="s">
        <v>1852</v>
      </c>
      <c r="K26" s="153"/>
    </row>
    <row r="27" spans="1:11" ht="43.2" x14ac:dyDescent="0.3">
      <c r="A27" s="58" t="s">
        <v>1989</v>
      </c>
      <c r="B27" s="59" t="s">
        <v>1923</v>
      </c>
      <c r="C27" s="59" t="s">
        <v>1990</v>
      </c>
      <c r="D27" s="59" t="s">
        <v>13</v>
      </c>
      <c r="E27" s="60" t="s">
        <v>333</v>
      </c>
      <c r="F27" s="60" t="s">
        <v>1991</v>
      </c>
      <c r="G27" s="60" t="s">
        <v>1992</v>
      </c>
      <c r="H27" s="60" t="s">
        <v>1993</v>
      </c>
      <c r="I27" s="59"/>
      <c r="J27" s="61" t="s">
        <v>1852</v>
      </c>
      <c r="K27" s="153"/>
    </row>
    <row r="28" spans="1:11" ht="43.2" x14ac:dyDescent="0.3">
      <c r="A28" s="58" t="s">
        <v>1994</v>
      </c>
      <c r="B28" s="59" t="s">
        <v>1923</v>
      </c>
      <c r="C28" s="59" t="s">
        <v>1995</v>
      </c>
      <c r="D28" s="59" t="s">
        <v>13</v>
      </c>
      <c r="E28" s="60" t="s">
        <v>293</v>
      </c>
      <c r="F28" s="60" t="s">
        <v>1950</v>
      </c>
      <c r="G28" s="60" t="s">
        <v>1996</v>
      </c>
      <c r="H28" s="60" t="s">
        <v>1997</v>
      </c>
      <c r="I28" s="59"/>
      <c r="J28" s="61" t="s">
        <v>1868</v>
      </c>
      <c r="K28" s="153"/>
    </row>
    <row r="29" spans="1:11" ht="28.8" x14ac:dyDescent="0.3">
      <c r="A29" s="58" t="s">
        <v>1998</v>
      </c>
      <c r="B29" s="59" t="s">
        <v>1923</v>
      </c>
      <c r="C29" s="59" t="s">
        <v>1999</v>
      </c>
      <c r="D29" s="59" t="s">
        <v>13</v>
      </c>
      <c r="E29" s="60" t="s">
        <v>313</v>
      </c>
      <c r="F29" s="60" t="s">
        <v>2000</v>
      </c>
      <c r="G29" s="60" t="s">
        <v>2001</v>
      </c>
      <c r="H29" s="60" t="s">
        <v>2002</v>
      </c>
      <c r="I29" s="59"/>
      <c r="J29" s="61" t="s">
        <v>1868</v>
      </c>
      <c r="K29" s="153"/>
    </row>
    <row r="30" spans="1:11" ht="144" x14ac:dyDescent="0.3">
      <c r="A30" s="58" t="s">
        <v>2003</v>
      </c>
      <c r="B30" s="59" t="s">
        <v>1923</v>
      </c>
      <c r="C30" s="59" t="s">
        <v>2004</v>
      </c>
      <c r="D30" s="59" t="s">
        <v>13</v>
      </c>
      <c r="E30" s="60" t="s">
        <v>2005</v>
      </c>
      <c r="F30" s="60" t="s">
        <v>2006</v>
      </c>
      <c r="G30" s="60" t="s">
        <v>2007</v>
      </c>
      <c r="H30" s="60" t="s">
        <v>2008</v>
      </c>
      <c r="I30" s="59" t="s">
        <v>2009</v>
      </c>
      <c r="J30" s="61" t="s">
        <v>1852</v>
      </c>
      <c r="K30" s="153"/>
    </row>
    <row r="31" spans="1:11" ht="43.2" x14ac:dyDescent="0.3">
      <c r="A31" s="62" t="s">
        <v>2010</v>
      </c>
      <c r="B31" s="63" t="s">
        <v>2011</v>
      </c>
      <c r="C31" s="63" t="s">
        <v>2012</v>
      </c>
      <c r="D31" s="63" t="s">
        <v>10</v>
      </c>
      <c r="E31" s="64" t="s">
        <v>517</v>
      </c>
      <c r="F31" s="64" t="s">
        <v>2013</v>
      </c>
      <c r="G31" s="64" t="s">
        <v>2014</v>
      </c>
      <c r="H31" s="64" t="s">
        <v>2015</v>
      </c>
      <c r="I31" s="63"/>
      <c r="J31" s="65" t="s">
        <v>1852</v>
      </c>
      <c r="K31" s="153"/>
    </row>
    <row r="32" spans="1:11" ht="43.2" x14ac:dyDescent="0.3">
      <c r="A32" s="62" t="s">
        <v>2016</v>
      </c>
      <c r="B32" s="63" t="s">
        <v>2011</v>
      </c>
      <c r="C32" s="63" t="s">
        <v>2017</v>
      </c>
      <c r="D32" s="63" t="s">
        <v>10</v>
      </c>
      <c r="E32" s="64" t="s">
        <v>526</v>
      </c>
      <c r="F32" s="64" t="s">
        <v>2018</v>
      </c>
      <c r="G32" s="64" t="s">
        <v>2019</v>
      </c>
      <c r="H32" s="64" t="s">
        <v>2020</v>
      </c>
      <c r="I32" s="63"/>
      <c r="J32" s="65" t="s">
        <v>1852</v>
      </c>
      <c r="K32" s="153"/>
    </row>
    <row r="33" spans="1:11" ht="43.2" x14ac:dyDescent="0.3">
      <c r="A33" s="62" t="s">
        <v>2021</v>
      </c>
      <c r="B33" s="63" t="s">
        <v>2011</v>
      </c>
      <c r="C33" s="63" t="s">
        <v>2022</v>
      </c>
      <c r="D33" s="63" t="s">
        <v>10</v>
      </c>
      <c r="E33" s="64" t="s">
        <v>521</v>
      </c>
      <c r="F33" s="64" t="s">
        <v>2023</v>
      </c>
      <c r="G33" s="64" t="s">
        <v>2024</v>
      </c>
      <c r="H33" s="64" t="s">
        <v>2025</v>
      </c>
      <c r="I33" s="63"/>
      <c r="J33" s="65" t="s">
        <v>1852</v>
      </c>
      <c r="K33" s="153"/>
    </row>
    <row r="34" spans="1:11" ht="43.2" x14ac:dyDescent="0.3">
      <c r="A34" s="62" t="s">
        <v>2026</v>
      </c>
      <c r="B34" s="63" t="s">
        <v>2011</v>
      </c>
      <c r="C34" s="63" t="s">
        <v>2027</v>
      </c>
      <c r="D34" s="63" t="s">
        <v>10</v>
      </c>
      <c r="E34" s="64" t="s">
        <v>513</v>
      </c>
      <c r="F34" s="64" t="s">
        <v>2028</v>
      </c>
      <c r="G34" s="64" t="s">
        <v>2029</v>
      </c>
      <c r="H34" s="64" t="s">
        <v>2030</v>
      </c>
      <c r="I34" s="63"/>
      <c r="J34" s="65" t="s">
        <v>1852</v>
      </c>
      <c r="K34" s="153"/>
    </row>
    <row r="35" spans="1:11" ht="43.2" x14ac:dyDescent="0.3">
      <c r="A35" s="62" t="s">
        <v>2031</v>
      </c>
      <c r="B35" s="63" t="s">
        <v>2011</v>
      </c>
      <c r="C35" s="63" t="s">
        <v>2032</v>
      </c>
      <c r="D35" s="63" t="s">
        <v>10</v>
      </c>
      <c r="E35" s="64" t="s">
        <v>1798</v>
      </c>
      <c r="F35" s="64" t="s">
        <v>2033</v>
      </c>
      <c r="G35" s="64" t="s">
        <v>2034</v>
      </c>
      <c r="H35" s="64" t="s">
        <v>13725</v>
      </c>
      <c r="I35" s="63"/>
      <c r="J35" s="65" t="s">
        <v>1852</v>
      </c>
      <c r="K35" s="153"/>
    </row>
    <row r="36" spans="1:11" ht="43.2" x14ac:dyDescent="0.3">
      <c r="A36" s="62" t="s">
        <v>2035</v>
      </c>
      <c r="B36" s="63" t="s">
        <v>2011</v>
      </c>
      <c r="C36" s="63" t="s">
        <v>2036</v>
      </c>
      <c r="D36" s="63" t="s">
        <v>10</v>
      </c>
      <c r="E36" s="64" t="s">
        <v>39</v>
      </c>
      <c r="F36" s="64" t="s">
        <v>2037</v>
      </c>
      <c r="G36" s="64" t="s">
        <v>2038</v>
      </c>
      <c r="H36" s="64" t="s">
        <v>2039</v>
      </c>
      <c r="I36" s="63"/>
      <c r="J36" s="65" t="s">
        <v>1852</v>
      </c>
      <c r="K36" s="153"/>
    </row>
    <row r="37" spans="1:11" ht="43.2" x14ac:dyDescent="0.3">
      <c r="A37" s="62" t="s">
        <v>2040</v>
      </c>
      <c r="B37" s="63" t="s">
        <v>2011</v>
      </c>
      <c r="C37" s="63" t="s">
        <v>2041</v>
      </c>
      <c r="D37" s="63" t="s">
        <v>10</v>
      </c>
      <c r="E37" s="64" t="s">
        <v>26</v>
      </c>
      <c r="F37" s="64" t="s">
        <v>2042</v>
      </c>
      <c r="G37" s="64" t="s">
        <v>2043</v>
      </c>
      <c r="H37" s="64" t="s">
        <v>13726</v>
      </c>
      <c r="I37" s="63"/>
      <c r="J37" s="65" t="s">
        <v>1852</v>
      </c>
      <c r="K37" s="153"/>
    </row>
    <row r="38" spans="1:11" ht="43.2" x14ac:dyDescent="0.3">
      <c r="A38" s="62" t="s">
        <v>2044</v>
      </c>
      <c r="B38" s="63" t="s">
        <v>2011</v>
      </c>
      <c r="C38" s="63" t="s">
        <v>2045</v>
      </c>
      <c r="D38" s="63" t="s">
        <v>10</v>
      </c>
      <c r="E38" s="64" t="s">
        <v>26</v>
      </c>
      <c r="F38" s="64" t="s">
        <v>2046</v>
      </c>
      <c r="G38" s="64" t="s">
        <v>2047</v>
      </c>
      <c r="H38" s="64" t="s">
        <v>13727</v>
      </c>
      <c r="I38" s="63"/>
      <c r="J38" s="65" t="s">
        <v>1852</v>
      </c>
      <c r="K38" s="153"/>
    </row>
    <row r="39" spans="1:11" ht="43.2" x14ac:dyDescent="0.3">
      <c r="A39" s="62" t="s">
        <v>2048</v>
      </c>
      <c r="B39" s="63" t="s">
        <v>2011</v>
      </c>
      <c r="C39" s="63" t="s">
        <v>2049</v>
      </c>
      <c r="D39" s="63" t="s">
        <v>10</v>
      </c>
      <c r="E39" s="64" t="s">
        <v>530</v>
      </c>
      <c r="F39" s="64" t="s">
        <v>2050</v>
      </c>
      <c r="G39" s="64" t="s">
        <v>2051</v>
      </c>
      <c r="H39" s="64" t="s">
        <v>2052</v>
      </c>
      <c r="I39" s="63"/>
      <c r="J39" s="65" t="s">
        <v>1852</v>
      </c>
      <c r="K39" s="153"/>
    </row>
    <row r="40" spans="1:11" ht="57.6" x14ac:dyDescent="0.3">
      <c r="A40" s="62" t="s">
        <v>2053</v>
      </c>
      <c r="B40" s="63" t="s">
        <v>2011</v>
      </c>
      <c r="C40" s="63" t="s">
        <v>2054</v>
      </c>
      <c r="D40" s="63" t="s">
        <v>10</v>
      </c>
      <c r="E40" s="64" t="s">
        <v>16</v>
      </c>
      <c r="F40" s="64" t="s">
        <v>2055</v>
      </c>
      <c r="G40" s="64" t="s">
        <v>2056</v>
      </c>
      <c r="H40" s="64" t="s">
        <v>13728</v>
      </c>
      <c r="I40" s="63"/>
      <c r="J40" s="65" t="s">
        <v>1852</v>
      </c>
      <c r="K40" s="153"/>
    </row>
    <row r="41" spans="1:11" ht="43.2" x14ac:dyDescent="0.3">
      <c r="A41" s="62" t="s">
        <v>2057</v>
      </c>
      <c r="B41" s="63" t="s">
        <v>2011</v>
      </c>
      <c r="C41" s="63" t="s">
        <v>2058</v>
      </c>
      <c r="D41" s="63" t="s">
        <v>10</v>
      </c>
      <c r="E41" s="64" t="s">
        <v>16</v>
      </c>
      <c r="F41" s="64" t="s">
        <v>2059</v>
      </c>
      <c r="G41" s="64" t="s">
        <v>2060</v>
      </c>
      <c r="H41" s="64" t="s">
        <v>13729</v>
      </c>
      <c r="I41" s="63"/>
      <c r="J41" s="65" t="s">
        <v>1852</v>
      </c>
      <c r="K41" s="153"/>
    </row>
    <row r="42" spans="1:11" ht="43.2" x14ac:dyDescent="0.3">
      <c r="A42" s="62" t="s">
        <v>2061</v>
      </c>
      <c r="B42" s="63" t="s">
        <v>2011</v>
      </c>
      <c r="C42" s="63" t="s">
        <v>2062</v>
      </c>
      <c r="D42" s="63" t="s">
        <v>10</v>
      </c>
      <c r="E42" s="64" t="s">
        <v>16</v>
      </c>
      <c r="F42" s="64" t="s">
        <v>2063</v>
      </c>
      <c r="G42" s="64" t="s">
        <v>2064</v>
      </c>
      <c r="H42" s="64" t="s">
        <v>13730</v>
      </c>
      <c r="I42" s="63"/>
      <c r="J42" s="65" t="s">
        <v>1852</v>
      </c>
      <c r="K42" s="153"/>
    </row>
    <row r="43" spans="1:11" ht="43.2" x14ac:dyDescent="0.3">
      <c r="A43" s="62" t="s">
        <v>2065</v>
      </c>
      <c r="B43" s="63" t="s">
        <v>2011</v>
      </c>
      <c r="C43" s="63" t="s">
        <v>2066</v>
      </c>
      <c r="D43" s="63" t="s">
        <v>10</v>
      </c>
      <c r="E43" s="64" t="s">
        <v>37</v>
      </c>
      <c r="F43" s="64" t="s">
        <v>2067</v>
      </c>
      <c r="G43" s="64" t="s">
        <v>2068</v>
      </c>
      <c r="H43" s="64" t="s">
        <v>13731</v>
      </c>
      <c r="I43" s="63" t="s">
        <v>2069</v>
      </c>
      <c r="J43" s="65" t="s">
        <v>1852</v>
      </c>
      <c r="K43" s="153"/>
    </row>
    <row r="44" spans="1:11" ht="43.2" x14ac:dyDescent="0.3">
      <c r="A44" s="62" t="s">
        <v>2070</v>
      </c>
      <c r="B44" s="63" t="s">
        <v>2011</v>
      </c>
      <c r="C44" s="63" t="s">
        <v>2071</v>
      </c>
      <c r="D44" s="63" t="s">
        <v>10</v>
      </c>
      <c r="E44" s="64" t="s">
        <v>34</v>
      </c>
      <c r="F44" s="64" t="s">
        <v>2072</v>
      </c>
      <c r="G44" s="64" t="s">
        <v>2073</v>
      </c>
      <c r="H44" s="64" t="s">
        <v>13732</v>
      </c>
      <c r="I44" s="63"/>
      <c r="J44" s="65" t="s">
        <v>1852</v>
      </c>
      <c r="K44" s="153"/>
    </row>
    <row r="45" spans="1:11" ht="28.8" x14ac:dyDescent="0.3">
      <c r="A45" s="62" t="s">
        <v>2074</v>
      </c>
      <c r="B45" s="63" t="s">
        <v>2011</v>
      </c>
      <c r="C45" s="63" t="s">
        <v>2075</v>
      </c>
      <c r="D45" s="63" t="s">
        <v>10</v>
      </c>
      <c r="E45" s="64" t="s">
        <v>15</v>
      </c>
      <c r="F45" s="64" t="s">
        <v>2076</v>
      </c>
      <c r="G45" s="64" t="s">
        <v>2077</v>
      </c>
      <c r="H45" s="64" t="s">
        <v>13733</v>
      </c>
      <c r="I45" s="63"/>
      <c r="J45" s="65" t="s">
        <v>1852</v>
      </c>
      <c r="K45" s="153"/>
    </row>
    <row r="46" spans="1:11" ht="28.8" x14ac:dyDescent="0.3">
      <c r="A46" s="62" t="s">
        <v>2078</v>
      </c>
      <c r="B46" s="63" t="s">
        <v>2011</v>
      </c>
      <c r="C46" s="63" t="s">
        <v>2079</v>
      </c>
      <c r="D46" s="63" t="s">
        <v>10</v>
      </c>
      <c r="E46" s="64" t="s">
        <v>15</v>
      </c>
      <c r="F46" s="64" t="s">
        <v>2080</v>
      </c>
      <c r="G46" s="64" t="s">
        <v>2081</v>
      </c>
      <c r="H46" s="64" t="s">
        <v>13734</v>
      </c>
      <c r="I46" s="63"/>
      <c r="J46" s="65" t="s">
        <v>1852</v>
      </c>
      <c r="K46" s="153"/>
    </row>
    <row r="47" spans="1:11" ht="43.2" x14ac:dyDescent="0.3">
      <c r="A47" s="62" t="s">
        <v>2082</v>
      </c>
      <c r="B47" s="63" t="s">
        <v>2011</v>
      </c>
      <c r="C47" s="63" t="s">
        <v>2083</v>
      </c>
      <c r="D47" s="63" t="s">
        <v>10</v>
      </c>
      <c r="E47" s="64" t="s">
        <v>1802</v>
      </c>
      <c r="F47" s="64" t="s">
        <v>2084</v>
      </c>
      <c r="G47" s="64" t="s">
        <v>2085</v>
      </c>
      <c r="H47" s="64" t="s">
        <v>13735</v>
      </c>
      <c r="I47" s="63"/>
      <c r="J47" s="65" t="s">
        <v>1852</v>
      </c>
      <c r="K47" s="153"/>
    </row>
    <row r="48" spans="1:11" ht="43.2" x14ac:dyDescent="0.3">
      <c r="A48" s="62" t="s">
        <v>2086</v>
      </c>
      <c r="B48" s="63" t="s">
        <v>2011</v>
      </c>
      <c r="C48" s="63" t="s">
        <v>2087</v>
      </c>
      <c r="D48" s="63" t="s">
        <v>10</v>
      </c>
      <c r="E48" s="64" t="s">
        <v>35</v>
      </c>
      <c r="F48" s="64" t="s">
        <v>2088</v>
      </c>
      <c r="G48" s="64" t="s">
        <v>2089</v>
      </c>
      <c r="H48" s="64" t="s">
        <v>13736</v>
      </c>
      <c r="I48" s="63"/>
      <c r="J48" s="65" t="s">
        <v>1852</v>
      </c>
      <c r="K48" s="153"/>
    </row>
    <row r="49" spans="1:11" ht="43.2" x14ac:dyDescent="0.3">
      <c r="A49" s="62" t="s">
        <v>2090</v>
      </c>
      <c r="B49" s="63" t="s">
        <v>2011</v>
      </c>
      <c r="C49" s="63" t="s">
        <v>2091</v>
      </c>
      <c r="D49" s="63" t="s">
        <v>10</v>
      </c>
      <c r="E49" s="64" t="s">
        <v>1805</v>
      </c>
      <c r="F49" s="64" t="s">
        <v>2092</v>
      </c>
      <c r="G49" s="64" t="s">
        <v>2093</v>
      </c>
      <c r="H49" s="64" t="s">
        <v>13737</v>
      </c>
      <c r="I49" s="63"/>
      <c r="J49" s="65" t="s">
        <v>1852</v>
      </c>
      <c r="K49" s="153"/>
    </row>
    <row r="50" spans="1:11" ht="28.8" x14ac:dyDescent="0.3">
      <c r="A50" s="62" t="s">
        <v>2094</v>
      </c>
      <c r="B50" s="63" t="s">
        <v>2011</v>
      </c>
      <c r="C50" s="63" t="s">
        <v>2095</v>
      </c>
      <c r="D50" s="63" t="s">
        <v>10</v>
      </c>
      <c r="E50" s="64" t="s">
        <v>36</v>
      </c>
      <c r="F50" s="64" t="s">
        <v>2096</v>
      </c>
      <c r="G50" s="64" t="s">
        <v>2097</v>
      </c>
      <c r="H50" s="64" t="s">
        <v>2098</v>
      </c>
      <c r="I50" s="63"/>
      <c r="J50" s="65" t="s">
        <v>1852</v>
      </c>
      <c r="K50" s="153"/>
    </row>
    <row r="51" spans="1:11" ht="28.8" x14ac:dyDescent="0.3">
      <c r="A51" s="62" t="s">
        <v>2099</v>
      </c>
      <c r="B51" s="63" t="s">
        <v>2011</v>
      </c>
      <c r="C51" s="63" t="s">
        <v>2100</v>
      </c>
      <c r="D51" s="63" t="s">
        <v>10</v>
      </c>
      <c r="E51" s="64" t="s">
        <v>40</v>
      </c>
      <c r="F51" s="64" t="s">
        <v>2101</v>
      </c>
      <c r="G51" s="64" t="s">
        <v>2102</v>
      </c>
      <c r="H51" s="64" t="s">
        <v>2103</v>
      </c>
      <c r="I51" s="63"/>
      <c r="J51" s="65" t="s">
        <v>1852</v>
      </c>
      <c r="K51" s="153"/>
    </row>
    <row r="52" spans="1:11" ht="28.8" x14ac:dyDescent="0.3">
      <c r="A52" s="62" t="s">
        <v>2104</v>
      </c>
      <c r="B52" s="63" t="s">
        <v>2011</v>
      </c>
      <c r="C52" s="63" t="s">
        <v>2105</v>
      </c>
      <c r="D52" s="63" t="s">
        <v>10</v>
      </c>
      <c r="E52" s="64" t="s">
        <v>35</v>
      </c>
      <c r="F52" s="64" t="s">
        <v>2106</v>
      </c>
      <c r="G52" s="64" t="s">
        <v>2107</v>
      </c>
      <c r="H52" s="64" t="s">
        <v>13738</v>
      </c>
      <c r="I52" s="63"/>
      <c r="J52" s="65" t="s">
        <v>1852</v>
      </c>
      <c r="K52" s="153"/>
    </row>
    <row r="53" spans="1:11" ht="43.2" x14ac:dyDescent="0.3">
      <c r="A53" s="62" t="s">
        <v>2108</v>
      </c>
      <c r="B53" s="63" t="s">
        <v>2011</v>
      </c>
      <c r="C53" s="63" t="s">
        <v>2109</v>
      </c>
      <c r="D53" s="63" t="s">
        <v>10</v>
      </c>
      <c r="E53" s="64" t="s">
        <v>22</v>
      </c>
      <c r="F53" s="64" t="s">
        <v>2110</v>
      </c>
      <c r="G53" s="64" t="s">
        <v>2111</v>
      </c>
      <c r="H53" s="64" t="s">
        <v>2112</v>
      </c>
      <c r="I53" s="63" t="s">
        <v>2113</v>
      </c>
      <c r="J53" s="65" t="s">
        <v>1852</v>
      </c>
      <c r="K53" s="153"/>
    </row>
    <row r="54" spans="1:11" ht="43.2" x14ac:dyDescent="0.3">
      <c r="A54" s="62" t="s">
        <v>2114</v>
      </c>
      <c r="B54" s="63" t="s">
        <v>2011</v>
      </c>
      <c r="C54" s="63" t="s">
        <v>2115</v>
      </c>
      <c r="D54" s="63" t="s">
        <v>10</v>
      </c>
      <c r="E54" s="64" t="s">
        <v>1795</v>
      </c>
      <c r="F54" s="64" t="s">
        <v>2116</v>
      </c>
      <c r="G54" s="64" t="s">
        <v>2117</v>
      </c>
      <c r="H54" s="64" t="s">
        <v>13739</v>
      </c>
      <c r="I54" s="63"/>
      <c r="J54" s="65" t="s">
        <v>1868</v>
      </c>
      <c r="K54" s="153"/>
    </row>
    <row r="55" spans="1:11" ht="43.2" x14ac:dyDescent="0.3">
      <c r="A55" s="62" t="s">
        <v>2118</v>
      </c>
      <c r="B55" s="63" t="s">
        <v>2011</v>
      </c>
      <c r="C55" s="63" t="s">
        <v>2119</v>
      </c>
      <c r="D55" s="63" t="s">
        <v>10</v>
      </c>
      <c r="E55" s="64" t="s">
        <v>54</v>
      </c>
      <c r="F55" s="64" t="s">
        <v>2120</v>
      </c>
      <c r="G55" s="64" t="s">
        <v>2121</v>
      </c>
      <c r="H55" s="64" t="s">
        <v>2122</v>
      </c>
      <c r="I55" s="63"/>
      <c r="J55" s="65" t="s">
        <v>1852</v>
      </c>
      <c r="K55" s="153"/>
    </row>
    <row r="56" spans="1:11" ht="43.2" x14ac:dyDescent="0.3">
      <c r="A56" s="62" t="s">
        <v>2123</v>
      </c>
      <c r="B56" s="63" t="s">
        <v>2011</v>
      </c>
      <c r="C56" s="63" t="s">
        <v>2124</v>
      </c>
      <c r="D56" s="63" t="s">
        <v>10</v>
      </c>
      <c r="E56" s="64" t="s">
        <v>1806</v>
      </c>
      <c r="F56" s="64" t="s">
        <v>2125</v>
      </c>
      <c r="G56" s="64" t="s">
        <v>2126</v>
      </c>
      <c r="H56" s="64" t="s">
        <v>13740</v>
      </c>
      <c r="I56" s="63"/>
      <c r="J56" s="65" t="s">
        <v>1852</v>
      </c>
      <c r="K56" s="153"/>
    </row>
    <row r="57" spans="1:11" ht="43.2" x14ac:dyDescent="0.3">
      <c r="A57" s="66" t="s">
        <v>2127</v>
      </c>
      <c r="B57" s="67" t="s">
        <v>2128</v>
      </c>
      <c r="C57" s="67" t="s">
        <v>2129</v>
      </c>
      <c r="D57" s="67" t="s">
        <v>10</v>
      </c>
      <c r="E57" s="68" t="s">
        <v>606</v>
      </c>
      <c r="F57" s="68" t="s">
        <v>2130</v>
      </c>
      <c r="G57" s="68" t="s">
        <v>2131</v>
      </c>
      <c r="H57" s="68" t="s">
        <v>2132</v>
      </c>
      <c r="I57" s="67" t="s">
        <v>2133</v>
      </c>
      <c r="J57" s="69" t="s">
        <v>1852</v>
      </c>
      <c r="K57" s="153"/>
    </row>
    <row r="58" spans="1:11" ht="43.2" x14ac:dyDescent="0.3">
      <c r="A58" s="66" t="s">
        <v>2134</v>
      </c>
      <c r="B58" s="67" t="s">
        <v>2128</v>
      </c>
      <c r="C58" s="67" t="s">
        <v>2135</v>
      </c>
      <c r="D58" s="67" t="s">
        <v>10</v>
      </c>
      <c r="E58" s="68" t="s">
        <v>611</v>
      </c>
      <c r="F58" s="68" t="s">
        <v>2136</v>
      </c>
      <c r="G58" s="68" t="s">
        <v>2137</v>
      </c>
      <c r="H58" s="68" t="s">
        <v>2138</v>
      </c>
      <c r="I58" s="67" t="s">
        <v>2133</v>
      </c>
      <c r="J58" s="69" t="s">
        <v>1852</v>
      </c>
      <c r="K58" s="153"/>
    </row>
    <row r="59" spans="1:11" ht="28.8" x14ac:dyDescent="0.3">
      <c r="A59" s="66" t="s">
        <v>2139</v>
      </c>
      <c r="B59" s="67" t="s">
        <v>2128</v>
      </c>
      <c r="C59" s="67" t="s">
        <v>2140</v>
      </c>
      <c r="D59" s="67" t="s">
        <v>10</v>
      </c>
      <c r="E59" s="68" t="s">
        <v>1733</v>
      </c>
      <c r="F59" s="68" t="s">
        <v>2141</v>
      </c>
      <c r="G59" s="68" t="s">
        <v>2142</v>
      </c>
      <c r="H59" s="68" t="s">
        <v>2143</v>
      </c>
      <c r="I59" s="67" t="s">
        <v>2144</v>
      </c>
      <c r="J59" s="69" t="s">
        <v>1852</v>
      </c>
      <c r="K59" s="153"/>
    </row>
    <row r="60" spans="1:11" ht="28.8" x14ac:dyDescent="0.3">
      <c r="A60" s="66" t="s">
        <v>2145</v>
      </c>
      <c r="B60" s="67" t="s">
        <v>2128</v>
      </c>
      <c r="C60" s="67" t="s">
        <v>2146</v>
      </c>
      <c r="D60" s="67" t="s">
        <v>10</v>
      </c>
      <c r="E60" s="68" t="s">
        <v>1738</v>
      </c>
      <c r="F60" s="68" t="s">
        <v>2147</v>
      </c>
      <c r="G60" s="68" t="s">
        <v>2148</v>
      </c>
      <c r="H60" s="68" t="s">
        <v>2149</v>
      </c>
      <c r="I60" s="67"/>
      <c r="J60" s="69" t="s">
        <v>1852</v>
      </c>
      <c r="K60" s="153"/>
    </row>
    <row r="61" spans="1:11" ht="28.8" x14ac:dyDescent="0.3">
      <c r="A61" s="66" t="s">
        <v>2150</v>
      </c>
      <c r="B61" s="67" t="s">
        <v>2128</v>
      </c>
      <c r="C61" s="67" t="s">
        <v>2151</v>
      </c>
      <c r="D61" s="67" t="s">
        <v>10</v>
      </c>
      <c r="E61" s="68" t="s">
        <v>1743</v>
      </c>
      <c r="F61" s="68" t="s">
        <v>2152</v>
      </c>
      <c r="G61" s="68" t="s">
        <v>2153</v>
      </c>
      <c r="H61" s="68" t="s">
        <v>2154</v>
      </c>
      <c r="I61" s="67"/>
      <c r="J61" s="69" t="s">
        <v>1852</v>
      </c>
      <c r="K61" s="153"/>
    </row>
    <row r="62" spans="1:11" ht="28.8" x14ac:dyDescent="0.3">
      <c r="A62" s="66" t="s">
        <v>2155</v>
      </c>
      <c r="B62" s="67" t="s">
        <v>2128</v>
      </c>
      <c r="C62" s="67" t="s">
        <v>2156</v>
      </c>
      <c r="D62" s="67" t="s">
        <v>10</v>
      </c>
      <c r="E62" s="68" t="s">
        <v>1748</v>
      </c>
      <c r="F62" s="68" t="s">
        <v>2157</v>
      </c>
      <c r="G62" s="68" t="s">
        <v>2158</v>
      </c>
      <c r="H62" s="68" t="s">
        <v>2159</v>
      </c>
      <c r="I62" s="67"/>
      <c r="J62" s="69" t="s">
        <v>1852</v>
      </c>
      <c r="K62" s="153"/>
    </row>
    <row r="63" spans="1:11" ht="28.8" x14ac:dyDescent="0.3">
      <c r="A63" s="66" t="s">
        <v>2160</v>
      </c>
      <c r="B63" s="67" t="s">
        <v>2128</v>
      </c>
      <c r="C63" s="67" t="s">
        <v>2161</v>
      </c>
      <c r="D63" s="67" t="s">
        <v>10</v>
      </c>
      <c r="E63" s="68" t="s">
        <v>1753</v>
      </c>
      <c r="F63" s="68" t="s">
        <v>2141</v>
      </c>
      <c r="G63" s="68" t="s">
        <v>2162</v>
      </c>
      <c r="H63" s="68" t="s">
        <v>2163</v>
      </c>
      <c r="I63" s="67"/>
      <c r="J63" s="69" t="s">
        <v>1868</v>
      </c>
      <c r="K63" s="153"/>
    </row>
    <row r="64" spans="1:11" ht="28.8" x14ac:dyDescent="0.3">
      <c r="A64" s="66" t="s">
        <v>2164</v>
      </c>
      <c r="B64" s="67" t="s">
        <v>2128</v>
      </c>
      <c r="C64" s="67" t="s">
        <v>2165</v>
      </c>
      <c r="D64" s="67" t="s">
        <v>10</v>
      </c>
      <c r="E64" s="68" t="s">
        <v>614</v>
      </c>
      <c r="F64" s="68" t="s">
        <v>2166</v>
      </c>
      <c r="G64" s="68" t="s">
        <v>2167</v>
      </c>
      <c r="H64" s="68" t="s">
        <v>2168</v>
      </c>
      <c r="I64" s="67" t="s">
        <v>2169</v>
      </c>
      <c r="J64" s="69" t="s">
        <v>1852</v>
      </c>
      <c r="K64" s="153"/>
    </row>
    <row r="65" spans="1:11" ht="28.8" x14ac:dyDescent="0.3">
      <c r="A65" s="66" t="s">
        <v>2170</v>
      </c>
      <c r="B65" s="67" t="s">
        <v>2128</v>
      </c>
      <c r="C65" s="67" t="s">
        <v>2171</v>
      </c>
      <c r="D65" s="67" t="s">
        <v>10</v>
      </c>
      <c r="E65" s="68" t="s">
        <v>624</v>
      </c>
      <c r="F65" s="68" t="s">
        <v>2172</v>
      </c>
      <c r="G65" s="68" t="s">
        <v>2173</v>
      </c>
      <c r="H65" s="68" t="s">
        <v>2174</v>
      </c>
      <c r="I65" s="67" t="s">
        <v>2175</v>
      </c>
      <c r="J65" s="69" t="s">
        <v>1852</v>
      </c>
      <c r="K65" s="153"/>
    </row>
    <row r="66" spans="1:11" ht="43.2" x14ac:dyDescent="0.3">
      <c r="A66" s="66" t="s">
        <v>2176</v>
      </c>
      <c r="B66" s="67" t="s">
        <v>2128</v>
      </c>
      <c r="C66" s="67" t="s">
        <v>2177</v>
      </c>
      <c r="D66" s="67" t="s">
        <v>13</v>
      </c>
      <c r="E66" s="68" t="s">
        <v>1550</v>
      </c>
      <c r="F66" s="68" t="s">
        <v>2178</v>
      </c>
      <c r="G66" s="68" t="s">
        <v>2179</v>
      </c>
      <c r="H66" s="68" t="s">
        <v>2180</v>
      </c>
      <c r="I66" s="67" t="s">
        <v>2181</v>
      </c>
      <c r="J66" s="69" t="s">
        <v>1852</v>
      </c>
      <c r="K66" s="153"/>
    </row>
    <row r="67" spans="1:11" ht="43.2" x14ac:dyDescent="0.3">
      <c r="A67" s="66" t="s">
        <v>2182</v>
      </c>
      <c r="B67" s="67" t="s">
        <v>2128</v>
      </c>
      <c r="C67" s="67" t="s">
        <v>2183</v>
      </c>
      <c r="D67" s="67" t="s">
        <v>13</v>
      </c>
      <c r="E67" s="68" t="s">
        <v>1550</v>
      </c>
      <c r="F67" s="68" t="s">
        <v>2184</v>
      </c>
      <c r="G67" s="68" t="s">
        <v>2185</v>
      </c>
      <c r="H67" s="68" t="s">
        <v>2186</v>
      </c>
      <c r="I67" s="67"/>
      <c r="J67" s="69" t="s">
        <v>1852</v>
      </c>
      <c r="K67" s="153"/>
    </row>
    <row r="68" spans="1:11" ht="43.2" x14ac:dyDescent="0.3">
      <c r="A68" s="66" t="s">
        <v>2187</v>
      </c>
      <c r="B68" s="67" t="s">
        <v>2128</v>
      </c>
      <c r="C68" s="67" t="s">
        <v>2188</v>
      </c>
      <c r="D68" s="67" t="s">
        <v>13</v>
      </c>
      <c r="E68" s="68" t="s">
        <v>1550</v>
      </c>
      <c r="F68" s="68" t="s">
        <v>2189</v>
      </c>
      <c r="G68" s="68" t="s">
        <v>2190</v>
      </c>
      <c r="H68" s="68" t="s">
        <v>71</v>
      </c>
      <c r="I68" s="67"/>
      <c r="J68" s="69" t="s">
        <v>1852</v>
      </c>
      <c r="K68" s="153"/>
    </row>
    <row r="69" spans="1:11" ht="28.8" x14ac:dyDescent="0.3">
      <c r="A69" s="66" t="s">
        <v>2191</v>
      </c>
      <c r="B69" s="67" t="s">
        <v>2128</v>
      </c>
      <c r="C69" s="67" t="s">
        <v>2192</v>
      </c>
      <c r="D69" s="67" t="s">
        <v>10</v>
      </c>
      <c r="E69" s="68" t="s">
        <v>614</v>
      </c>
      <c r="F69" s="68" t="s">
        <v>2193</v>
      </c>
      <c r="G69" s="68" t="s">
        <v>2194</v>
      </c>
      <c r="H69" s="68" t="s">
        <v>2195</v>
      </c>
      <c r="I69" s="67"/>
      <c r="J69" s="69" t="s">
        <v>1852</v>
      </c>
      <c r="K69" s="153"/>
    </row>
    <row r="70" spans="1:11" ht="28.8" x14ac:dyDescent="0.3">
      <c r="A70" s="66" t="s">
        <v>2196</v>
      </c>
      <c r="B70" s="67" t="s">
        <v>2128</v>
      </c>
      <c r="C70" s="67" t="s">
        <v>2197</v>
      </c>
      <c r="D70" s="67" t="s">
        <v>10</v>
      </c>
      <c r="E70" s="68" t="s">
        <v>619</v>
      </c>
      <c r="F70" s="68" t="s">
        <v>2193</v>
      </c>
      <c r="G70" s="68" t="s">
        <v>2198</v>
      </c>
      <c r="H70" s="68" t="s">
        <v>2199</v>
      </c>
      <c r="I70" s="67"/>
      <c r="J70" s="69" t="s">
        <v>1852</v>
      </c>
      <c r="K70" s="153"/>
    </row>
    <row r="71" spans="1:11" ht="28.8" x14ac:dyDescent="0.3">
      <c r="A71" s="66" t="s">
        <v>2200</v>
      </c>
      <c r="B71" s="67" t="s">
        <v>2128</v>
      </c>
      <c r="C71" s="67" t="s">
        <v>2201</v>
      </c>
      <c r="D71" s="67" t="s">
        <v>10</v>
      </c>
      <c r="E71" s="68" t="s">
        <v>629</v>
      </c>
      <c r="F71" s="68" t="s">
        <v>2202</v>
      </c>
      <c r="G71" s="68" t="s">
        <v>2203</v>
      </c>
      <c r="H71" s="68" t="s">
        <v>2204</v>
      </c>
      <c r="I71" s="67"/>
      <c r="J71" s="69" t="s">
        <v>1852</v>
      </c>
      <c r="K71" s="153"/>
    </row>
    <row r="72" spans="1:11" ht="28.8" x14ac:dyDescent="0.3">
      <c r="A72" s="66" t="s">
        <v>2205</v>
      </c>
      <c r="B72" s="67" t="s">
        <v>2128</v>
      </c>
      <c r="C72" s="67" t="s">
        <v>2206</v>
      </c>
      <c r="D72" s="67" t="s">
        <v>10</v>
      </c>
      <c r="E72" s="68" t="s">
        <v>634</v>
      </c>
      <c r="F72" s="68" t="s">
        <v>2207</v>
      </c>
      <c r="G72" s="68" t="s">
        <v>2208</v>
      </c>
      <c r="H72" s="68" t="s">
        <v>2209</v>
      </c>
      <c r="I72" s="67" t="s">
        <v>2210</v>
      </c>
      <c r="J72" s="69" t="s">
        <v>1852</v>
      </c>
      <c r="K72" s="153"/>
    </row>
    <row r="73" spans="1:11" ht="28.8" x14ac:dyDescent="0.3">
      <c r="A73" s="66" t="s">
        <v>2211</v>
      </c>
      <c r="B73" s="67" t="s">
        <v>2128</v>
      </c>
      <c r="C73" s="67" t="s">
        <v>2212</v>
      </c>
      <c r="D73" s="67" t="s">
        <v>10</v>
      </c>
      <c r="E73" s="68" t="s">
        <v>1763</v>
      </c>
      <c r="F73" s="68" t="s">
        <v>2213</v>
      </c>
      <c r="G73" s="68" t="s">
        <v>2214</v>
      </c>
      <c r="H73" s="68" t="s">
        <v>2215</v>
      </c>
      <c r="I73" s="67"/>
      <c r="J73" s="69" t="s">
        <v>1868</v>
      </c>
      <c r="K73" s="153"/>
    </row>
    <row r="74" spans="1:11" ht="28.8" x14ac:dyDescent="0.3">
      <c r="A74" s="66" t="s">
        <v>2216</v>
      </c>
      <c r="B74" s="67" t="s">
        <v>2128</v>
      </c>
      <c r="C74" s="67" t="s">
        <v>2217</v>
      </c>
      <c r="D74" s="67" t="s">
        <v>10</v>
      </c>
      <c r="E74" s="68" t="s">
        <v>1773</v>
      </c>
      <c r="F74" s="68" t="s">
        <v>2141</v>
      </c>
      <c r="G74" s="68" t="s">
        <v>2218</v>
      </c>
      <c r="H74" s="68" t="s">
        <v>2219</v>
      </c>
      <c r="I74" s="67"/>
      <c r="J74" s="69" t="s">
        <v>1868</v>
      </c>
      <c r="K74" s="153"/>
    </row>
    <row r="75" spans="1:11" ht="28.8" x14ac:dyDescent="0.3">
      <c r="A75" s="66" t="s">
        <v>2220</v>
      </c>
      <c r="B75" s="67" t="s">
        <v>2128</v>
      </c>
      <c r="C75" s="67" t="s">
        <v>2221</v>
      </c>
      <c r="D75" s="67" t="s">
        <v>10</v>
      </c>
      <c r="E75" s="68" t="s">
        <v>1768</v>
      </c>
      <c r="F75" s="68" t="s">
        <v>2193</v>
      </c>
      <c r="G75" s="68" t="s">
        <v>2222</v>
      </c>
      <c r="H75" s="68" t="s">
        <v>2223</v>
      </c>
      <c r="I75" s="67"/>
      <c r="J75" s="69" t="s">
        <v>1868</v>
      </c>
      <c r="K75" s="153"/>
    </row>
    <row r="76" spans="1:11" ht="28.8" x14ac:dyDescent="0.3">
      <c r="A76" s="66" t="s">
        <v>2224</v>
      </c>
      <c r="B76" s="67" t="s">
        <v>2128</v>
      </c>
      <c r="C76" s="67" t="s">
        <v>2225</v>
      </c>
      <c r="D76" s="67" t="s">
        <v>10</v>
      </c>
      <c r="E76" s="68" t="s">
        <v>1778</v>
      </c>
      <c r="F76" s="68" t="s">
        <v>2157</v>
      </c>
      <c r="G76" s="68" t="s">
        <v>2226</v>
      </c>
      <c r="H76" s="68" t="s">
        <v>2227</v>
      </c>
      <c r="I76" s="67"/>
      <c r="J76" s="69" t="s">
        <v>1868</v>
      </c>
      <c r="K76" s="153"/>
    </row>
    <row r="77" spans="1:11" ht="43.2" x14ac:dyDescent="0.3">
      <c r="A77" s="66" t="s">
        <v>2228</v>
      </c>
      <c r="B77" s="67" t="s">
        <v>2128</v>
      </c>
      <c r="C77" s="67" t="s">
        <v>2229</v>
      </c>
      <c r="D77" s="67" t="s">
        <v>13</v>
      </c>
      <c r="E77" s="68" t="s">
        <v>2230</v>
      </c>
      <c r="F77" s="68" t="s">
        <v>2231</v>
      </c>
      <c r="G77" s="68" t="s">
        <v>2232</v>
      </c>
      <c r="H77" s="68" t="s">
        <v>2233</v>
      </c>
      <c r="I77" s="67" t="s">
        <v>2234</v>
      </c>
      <c r="J77" s="69" t="s">
        <v>1852</v>
      </c>
      <c r="K77" s="153"/>
    </row>
    <row r="78" spans="1:11" ht="28.8" x14ac:dyDescent="0.3">
      <c r="A78" s="66" t="s">
        <v>2235</v>
      </c>
      <c r="B78" s="67" t="s">
        <v>2128</v>
      </c>
      <c r="C78" s="67" t="s">
        <v>2236</v>
      </c>
      <c r="D78" s="67" t="s">
        <v>10</v>
      </c>
      <c r="E78" s="68" t="s">
        <v>1748</v>
      </c>
      <c r="F78" s="68" t="s">
        <v>2193</v>
      </c>
      <c r="G78" s="68" t="s">
        <v>2237</v>
      </c>
      <c r="H78" s="68" t="s">
        <v>2238</v>
      </c>
      <c r="I78" s="67"/>
      <c r="J78" s="69" t="s">
        <v>1868</v>
      </c>
      <c r="K78" s="153"/>
    </row>
    <row r="79" spans="1:11" ht="28.8" x14ac:dyDescent="0.3">
      <c r="A79" s="66" t="s">
        <v>2239</v>
      </c>
      <c r="B79" s="67" t="s">
        <v>2128</v>
      </c>
      <c r="C79" s="67" t="s">
        <v>2240</v>
      </c>
      <c r="D79" s="67" t="s">
        <v>10</v>
      </c>
      <c r="E79" s="68" t="s">
        <v>1758</v>
      </c>
      <c r="F79" s="68" t="s">
        <v>2141</v>
      </c>
      <c r="G79" s="68" t="s">
        <v>2241</v>
      </c>
      <c r="H79" s="68" t="s">
        <v>2242</v>
      </c>
      <c r="I79" s="67"/>
      <c r="J79" s="69" t="s">
        <v>1868</v>
      </c>
      <c r="K79" s="153"/>
    </row>
    <row r="80" spans="1:11" ht="28.8" x14ac:dyDescent="0.3">
      <c r="A80" s="66" t="s">
        <v>2243</v>
      </c>
      <c r="B80" s="67" t="s">
        <v>2128</v>
      </c>
      <c r="C80" s="67" t="s">
        <v>2244</v>
      </c>
      <c r="D80" s="67" t="s">
        <v>10</v>
      </c>
      <c r="E80" s="68" t="s">
        <v>1758</v>
      </c>
      <c r="F80" s="68" t="s">
        <v>2141</v>
      </c>
      <c r="G80" s="68" t="s">
        <v>2245</v>
      </c>
      <c r="H80" s="68" t="s">
        <v>2246</v>
      </c>
      <c r="I80" s="67"/>
      <c r="J80" s="69" t="s">
        <v>1868</v>
      </c>
      <c r="K80" s="153"/>
    </row>
    <row r="81" spans="1:11" ht="43.2" x14ac:dyDescent="0.3">
      <c r="A81" s="66" t="s">
        <v>2247</v>
      </c>
      <c r="B81" s="67" t="s">
        <v>2128</v>
      </c>
      <c r="C81" s="67" t="s">
        <v>2248</v>
      </c>
      <c r="D81" s="67" t="s">
        <v>10</v>
      </c>
      <c r="E81" s="68" t="s">
        <v>2249</v>
      </c>
      <c r="F81" s="68" t="s">
        <v>2250</v>
      </c>
      <c r="G81" s="68" t="s">
        <v>2251</v>
      </c>
      <c r="H81" s="68" t="s">
        <v>2252</v>
      </c>
      <c r="I81" s="67" t="s">
        <v>2253</v>
      </c>
      <c r="J81" s="69" t="s">
        <v>1852</v>
      </c>
      <c r="K81" s="153"/>
    </row>
    <row r="82" spans="1:11" ht="28.8" x14ac:dyDescent="0.3">
      <c r="A82" s="66" t="s">
        <v>2254</v>
      </c>
      <c r="B82" s="67" t="s">
        <v>2128</v>
      </c>
      <c r="C82" s="67" t="s">
        <v>2255</v>
      </c>
      <c r="D82" s="67" t="s">
        <v>10</v>
      </c>
      <c r="E82" s="68" t="s">
        <v>2256</v>
      </c>
      <c r="F82" s="68" t="s">
        <v>2257</v>
      </c>
      <c r="G82" s="68" t="s">
        <v>2258</v>
      </c>
      <c r="H82" s="68" t="s">
        <v>2259</v>
      </c>
      <c r="I82" s="67"/>
      <c r="J82" s="69" t="s">
        <v>1852</v>
      </c>
      <c r="K82" s="153"/>
    </row>
    <row r="83" spans="1:11" ht="43.2" x14ac:dyDescent="0.3">
      <c r="A83" s="66" t="s">
        <v>2260</v>
      </c>
      <c r="B83" s="67" t="s">
        <v>2128</v>
      </c>
      <c r="C83" s="67" t="s">
        <v>2261</v>
      </c>
      <c r="D83" s="67" t="s">
        <v>13</v>
      </c>
      <c r="E83" s="68" t="s">
        <v>614</v>
      </c>
      <c r="F83" s="68" t="s">
        <v>2157</v>
      </c>
      <c r="G83" s="68" t="s">
        <v>2262</v>
      </c>
      <c r="H83" s="68" t="s">
        <v>2263</v>
      </c>
      <c r="I83" s="67"/>
      <c r="J83" s="69" t="s">
        <v>1868</v>
      </c>
      <c r="K83" s="153"/>
    </row>
    <row r="84" spans="1:11" ht="43.2" x14ac:dyDescent="0.3">
      <c r="A84" s="66" t="s">
        <v>2264</v>
      </c>
      <c r="B84" s="67" t="s">
        <v>2128</v>
      </c>
      <c r="C84" s="67" t="s">
        <v>2265</v>
      </c>
      <c r="D84" s="67" t="s">
        <v>13</v>
      </c>
      <c r="E84" s="68" t="s">
        <v>1748</v>
      </c>
      <c r="F84" s="68" t="s">
        <v>2266</v>
      </c>
      <c r="G84" s="68" t="s">
        <v>2267</v>
      </c>
      <c r="H84" s="68" t="s">
        <v>2268</v>
      </c>
      <c r="I84" s="67" t="s">
        <v>2269</v>
      </c>
      <c r="J84" s="69" t="s">
        <v>1868</v>
      </c>
      <c r="K84" s="153"/>
    </row>
    <row r="85" spans="1:11" ht="28.8" x14ac:dyDescent="0.3">
      <c r="A85" s="70" t="s">
        <v>2270</v>
      </c>
      <c r="B85" s="71" t="s">
        <v>2271</v>
      </c>
      <c r="C85" s="71" t="s">
        <v>2272</v>
      </c>
      <c r="D85" s="71" t="s">
        <v>10</v>
      </c>
      <c r="E85" s="72" t="s">
        <v>654</v>
      </c>
      <c r="F85" s="72" t="s">
        <v>2273</v>
      </c>
      <c r="G85" s="72" t="s">
        <v>2274</v>
      </c>
      <c r="H85" s="72" t="s">
        <v>2275</v>
      </c>
      <c r="I85" s="71"/>
      <c r="J85" s="73" t="s">
        <v>1852</v>
      </c>
      <c r="K85" s="153"/>
    </row>
    <row r="86" spans="1:11" ht="43.2" x14ac:dyDescent="0.3">
      <c r="A86" s="70" t="s">
        <v>2276</v>
      </c>
      <c r="B86" s="71" t="s">
        <v>2271</v>
      </c>
      <c r="C86" s="71" t="s">
        <v>2277</v>
      </c>
      <c r="D86" s="71" t="s">
        <v>13</v>
      </c>
      <c r="E86" s="72" t="s">
        <v>654</v>
      </c>
      <c r="F86" s="72" t="s">
        <v>2278</v>
      </c>
      <c r="G86" s="72" t="s">
        <v>2279</v>
      </c>
      <c r="H86" s="72" t="s">
        <v>2280</v>
      </c>
      <c r="I86" s="71"/>
      <c r="J86" s="73" t="s">
        <v>1852</v>
      </c>
      <c r="K86" s="153"/>
    </row>
    <row r="87" spans="1:11" ht="28.8" x14ac:dyDescent="0.3">
      <c r="A87" s="70" t="s">
        <v>2281</v>
      </c>
      <c r="B87" s="71" t="s">
        <v>2271</v>
      </c>
      <c r="C87" s="71" t="s">
        <v>2282</v>
      </c>
      <c r="D87" s="71" t="s">
        <v>10</v>
      </c>
      <c r="E87" s="72" t="s">
        <v>1783</v>
      </c>
      <c r="F87" s="72" t="s">
        <v>2283</v>
      </c>
      <c r="G87" s="72" t="s">
        <v>2284</v>
      </c>
      <c r="H87" s="72" t="s">
        <v>2285</v>
      </c>
      <c r="I87" s="71"/>
      <c r="J87" s="73" t="s">
        <v>1852</v>
      </c>
      <c r="K87" s="153"/>
    </row>
    <row r="88" spans="1:11" ht="57.6" x14ac:dyDescent="0.3">
      <c r="A88" s="70" t="s">
        <v>2286</v>
      </c>
      <c r="B88" s="71" t="s">
        <v>2271</v>
      </c>
      <c r="C88" s="71" t="s">
        <v>13874</v>
      </c>
      <c r="D88" s="71" t="s">
        <v>10</v>
      </c>
      <c r="E88" s="72" t="s">
        <v>13875</v>
      </c>
      <c r="F88" s="72" t="s">
        <v>2288</v>
      </c>
      <c r="G88" s="72" t="s">
        <v>2289</v>
      </c>
      <c r="H88" s="72" t="s">
        <v>13876</v>
      </c>
      <c r="I88" s="71" t="s">
        <v>2290</v>
      </c>
      <c r="J88" s="73" t="s">
        <v>1852</v>
      </c>
      <c r="K88" s="164" t="s">
        <v>12861</v>
      </c>
    </row>
    <row r="89" spans="1:11" ht="28.8" x14ac:dyDescent="0.3">
      <c r="A89" s="70" t="s">
        <v>2291</v>
      </c>
      <c r="B89" s="71" t="s">
        <v>2271</v>
      </c>
      <c r="C89" s="71" t="s">
        <v>2292</v>
      </c>
      <c r="D89" s="71" t="s">
        <v>10</v>
      </c>
      <c r="E89" s="72" t="s">
        <v>659</v>
      </c>
      <c r="F89" s="72" t="s">
        <v>2293</v>
      </c>
      <c r="G89" s="72" t="s">
        <v>2294</v>
      </c>
      <c r="H89" s="72" t="s">
        <v>2295</v>
      </c>
      <c r="I89" s="71"/>
      <c r="J89" s="73" t="s">
        <v>1852</v>
      </c>
      <c r="K89" s="153"/>
    </row>
    <row r="90" spans="1:11" ht="43.2" x14ac:dyDescent="0.3">
      <c r="A90" s="70" t="s">
        <v>2296</v>
      </c>
      <c r="B90" s="71" t="s">
        <v>2271</v>
      </c>
      <c r="C90" s="71" t="s">
        <v>2297</v>
      </c>
      <c r="D90" s="71" t="s">
        <v>13</v>
      </c>
      <c r="E90" s="72" t="s">
        <v>659</v>
      </c>
      <c r="F90" s="72" t="s">
        <v>2298</v>
      </c>
      <c r="G90" s="72" t="s">
        <v>2299</v>
      </c>
      <c r="H90" s="72" t="s">
        <v>2300</v>
      </c>
      <c r="I90" s="71"/>
      <c r="J90" s="73" t="s">
        <v>1852</v>
      </c>
      <c r="K90" s="153"/>
    </row>
    <row r="91" spans="1:11" ht="43.2" x14ac:dyDescent="0.3">
      <c r="A91" s="70" t="s">
        <v>2301</v>
      </c>
      <c r="B91" s="71" t="s">
        <v>2271</v>
      </c>
      <c r="C91" s="71" t="s">
        <v>2302</v>
      </c>
      <c r="D91" s="71" t="s">
        <v>13</v>
      </c>
      <c r="E91" s="72" t="s">
        <v>659</v>
      </c>
      <c r="F91" s="72" t="s">
        <v>2298</v>
      </c>
      <c r="G91" s="72" t="s">
        <v>2303</v>
      </c>
      <c r="H91" s="72" t="s">
        <v>2304</v>
      </c>
      <c r="I91" s="71" t="s">
        <v>2305</v>
      </c>
      <c r="J91" s="73" t="s">
        <v>1852</v>
      </c>
      <c r="K91" s="153"/>
    </row>
    <row r="92" spans="1:11" ht="43.2" x14ac:dyDescent="0.3">
      <c r="A92" s="70" t="s">
        <v>2306</v>
      </c>
      <c r="B92" s="71" t="s">
        <v>2271</v>
      </c>
      <c r="C92" s="71" t="s">
        <v>2307</v>
      </c>
      <c r="D92" s="71" t="s">
        <v>13</v>
      </c>
      <c r="E92" s="72" t="s">
        <v>659</v>
      </c>
      <c r="F92" s="72" t="s">
        <v>2298</v>
      </c>
      <c r="G92" s="72" t="s">
        <v>2308</v>
      </c>
      <c r="H92" s="72" t="s">
        <v>2309</v>
      </c>
      <c r="I92" s="71"/>
      <c r="J92" s="73" t="s">
        <v>1852</v>
      </c>
      <c r="K92" s="153"/>
    </row>
    <row r="93" spans="1:11" ht="28.8" x14ac:dyDescent="0.3">
      <c r="A93" s="70" t="s">
        <v>2310</v>
      </c>
      <c r="B93" s="71" t="s">
        <v>2271</v>
      </c>
      <c r="C93" s="71" t="s">
        <v>2311</v>
      </c>
      <c r="D93" s="71" t="s">
        <v>10</v>
      </c>
      <c r="E93" s="72" t="s">
        <v>648</v>
      </c>
      <c r="F93" s="72" t="s">
        <v>2312</v>
      </c>
      <c r="G93" s="72" t="s">
        <v>2313</v>
      </c>
      <c r="H93" s="72" t="s">
        <v>2314</v>
      </c>
      <c r="I93" s="71" t="s">
        <v>2315</v>
      </c>
      <c r="J93" s="73" t="s">
        <v>1852</v>
      </c>
      <c r="K93" s="153"/>
    </row>
    <row r="94" spans="1:11" ht="28.8" x14ac:dyDescent="0.3">
      <c r="A94" s="70" t="s">
        <v>2316</v>
      </c>
      <c r="B94" s="71" t="s">
        <v>2271</v>
      </c>
      <c r="C94" s="71" t="s">
        <v>2317</v>
      </c>
      <c r="D94" s="71" t="s">
        <v>13</v>
      </c>
      <c r="E94" s="72" t="s">
        <v>486</v>
      </c>
      <c r="F94" s="72" t="s">
        <v>2318</v>
      </c>
      <c r="G94" s="72" t="s">
        <v>2319</v>
      </c>
      <c r="H94" s="72" t="s">
        <v>2320</v>
      </c>
      <c r="I94" s="71" t="s">
        <v>2321</v>
      </c>
      <c r="J94" s="73" t="s">
        <v>1868</v>
      </c>
      <c r="K94" s="153"/>
    </row>
    <row r="95" spans="1:11" ht="43.2" x14ac:dyDescent="0.3">
      <c r="A95" s="70" t="s">
        <v>2322</v>
      </c>
      <c r="B95" s="71" t="s">
        <v>2271</v>
      </c>
      <c r="C95" s="71" t="s">
        <v>2323</v>
      </c>
      <c r="D95" s="71" t="s">
        <v>13</v>
      </c>
      <c r="E95" s="72" t="s">
        <v>694</v>
      </c>
      <c r="F95" s="72" t="s">
        <v>2324</v>
      </c>
      <c r="G95" s="72" t="s">
        <v>2325</v>
      </c>
      <c r="H95" s="72" t="s">
        <v>2326</v>
      </c>
      <c r="I95" s="71" t="s">
        <v>2327</v>
      </c>
      <c r="J95" s="73" t="s">
        <v>1868</v>
      </c>
      <c r="K95" s="153"/>
    </row>
    <row r="96" spans="1:11" ht="28.8" x14ac:dyDescent="0.3">
      <c r="A96" s="70" t="s">
        <v>2328</v>
      </c>
      <c r="B96" s="71" t="s">
        <v>2271</v>
      </c>
      <c r="C96" s="71" t="s">
        <v>2329</v>
      </c>
      <c r="D96" s="71" t="s">
        <v>10</v>
      </c>
      <c r="E96" s="72" t="s">
        <v>1802</v>
      </c>
      <c r="F96" s="72" t="s">
        <v>2330</v>
      </c>
      <c r="G96" s="72" t="s">
        <v>2331</v>
      </c>
      <c r="H96" s="72" t="s">
        <v>13741</v>
      </c>
      <c r="I96" s="71"/>
      <c r="J96" s="73" t="s">
        <v>1852</v>
      </c>
      <c r="K96" s="153"/>
    </row>
    <row r="97" spans="1:11" ht="28.8" x14ac:dyDescent="0.3">
      <c r="A97" s="70" t="s">
        <v>2332</v>
      </c>
      <c r="B97" s="71" t="s">
        <v>2271</v>
      </c>
      <c r="C97" s="71" t="s">
        <v>2333</v>
      </c>
      <c r="D97" s="71" t="s">
        <v>10</v>
      </c>
      <c r="E97" s="72" t="s">
        <v>1823</v>
      </c>
      <c r="F97" s="72" t="s">
        <v>2334</v>
      </c>
      <c r="G97" s="72" t="s">
        <v>2335</v>
      </c>
      <c r="H97" s="72" t="s">
        <v>2336</v>
      </c>
      <c r="I97" s="71" t="s">
        <v>2337</v>
      </c>
      <c r="J97" s="73" t="s">
        <v>1852</v>
      </c>
      <c r="K97" s="153"/>
    </row>
    <row r="98" spans="1:11" ht="43.2" x14ac:dyDescent="0.3">
      <c r="A98" s="70" t="s">
        <v>2338</v>
      </c>
      <c r="B98" s="71" t="s">
        <v>2271</v>
      </c>
      <c r="C98" s="71" t="s">
        <v>2339</v>
      </c>
      <c r="D98" s="71" t="s">
        <v>13</v>
      </c>
      <c r="E98" s="72" t="s">
        <v>1392</v>
      </c>
      <c r="F98" s="72" t="s">
        <v>2340</v>
      </c>
      <c r="G98" s="72" t="s">
        <v>2341</v>
      </c>
      <c r="H98" s="72" t="s">
        <v>2342</v>
      </c>
      <c r="I98" s="71" t="s">
        <v>1273</v>
      </c>
      <c r="J98" s="73" t="s">
        <v>1868</v>
      </c>
      <c r="K98" s="153"/>
    </row>
    <row r="99" spans="1:11" ht="43.2" x14ac:dyDescent="0.3">
      <c r="A99" s="70" t="s">
        <v>2343</v>
      </c>
      <c r="B99" s="71" t="s">
        <v>2271</v>
      </c>
      <c r="C99" s="71" t="s">
        <v>2344</v>
      </c>
      <c r="D99" s="71" t="s">
        <v>13</v>
      </c>
      <c r="E99" s="72" t="s">
        <v>1392</v>
      </c>
      <c r="F99" s="72" t="s">
        <v>2345</v>
      </c>
      <c r="G99" s="72" t="s">
        <v>2346</v>
      </c>
      <c r="H99" s="72" t="s">
        <v>2347</v>
      </c>
      <c r="I99" s="71"/>
      <c r="J99" s="73" t="s">
        <v>1873</v>
      </c>
      <c r="K99" s="153"/>
    </row>
    <row r="100" spans="1:11" ht="28.8" x14ac:dyDescent="0.3">
      <c r="A100" s="70" t="s">
        <v>2348</v>
      </c>
      <c r="B100" s="71" t="s">
        <v>2271</v>
      </c>
      <c r="C100" s="71" t="s">
        <v>2349</v>
      </c>
      <c r="D100" s="71" t="s">
        <v>10</v>
      </c>
      <c r="E100" s="72" t="s">
        <v>1392</v>
      </c>
      <c r="F100" s="72" t="s">
        <v>2350</v>
      </c>
      <c r="G100" s="72" t="s">
        <v>2351</v>
      </c>
      <c r="H100" s="72" t="s">
        <v>2352</v>
      </c>
      <c r="I100" s="71"/>
      <c r="J100" s="73" t="s">
        <v>1852</v>
      </c>
      <c r="K100" s="153"/>
    </row>
    <row r="101" spans="1:11" ht="28.8" x14ac:dyDescent="0.3">
      <c r="A101" s="70" t="s">
        <v>2353</v>
      </c>
      <c r="B101" s="71" t="s">
        <v>2271</v>
      </c>
      <c r="C101" s="71" t="s">
        <v>2354</v>
      </c>
      <c r="D101" s="71" t="s">
        <v>13</v>
      </c>
      <c r="E101" s="72" t="s">
        <v>17</v>
      </c>
      <c r="F101" s="72" t="s">
        <v>2355</v>
      </c>
      <c r="G101" s="72" t="s">
        <v>2356</v>
      </c>
      <c r="H101" s="72" t="s">
        <v>2357</v>
      </c>
      <c r="I101" s="71" t="s">
        <v>2358</v>
      </c>
      <c r="J101" s="73" t="s">
        <v>1868</v>
      </c>
      <c r="K101" s="153"/>
    </row>
    <row r="102" spans="1:11" ht="28.8" x14ac:dyDescent="0.3">
      <c r="A102" s="70" t="s">
        <v>2359</v>
      </c>
      <c r="B102" s="71" t="s">
        <v>2271</v>
      </c>
      <c r="C102" s="71" t="s">
        <v>2360</v>
      </c>
      <c r="D102" s="71" t="s">
        <v>10</v>
      </c>
      <c r="E102" s="72" t="s">
        <v>20</v>
      </c>
      <c r="F102" s="72" t="s">
        <v>2361</v>
      </c>
      <c r="G102" s="72" t="s">
        <v>2362</v>
      </c>
      <c r="H102" s="72" t="s">
        <v>13742</v>
      </c>
      <c r="I102" s="71" t="s">
        <v>2363</v>
      </c>
      <c r="J102" s="73" t="s">
        <v>1852</v>
      </c>
      <c r="K102" s="153"/>
    </row>
    <row r="103" spans="1:11" ht="28.8" x14ac:dyDescent="0.3">
      <c r="A103" s="70" t="s">
        <v>2364</v>
      </c>
      <c r="B103" s="71" t="s">
        <v>2271</v>
      </c>
      <c r="C103" s="71" t="s">
        <v>2365</v>
      </c>
      <c r="D103" s="71" t="s">
        <v>10</v>
      </c>
      <c r="E103" s="72" t="s">
        <v>20</v>
      </c>
      <c r="F103" s="72" t="s">
        <v>2366</v>
      </c>
      <c r="G103" s="72" t="s">
        <v>2367</v>
      </c>
      <c r="H103" s="72" t="s">
        <v>13743</v>
      </c>
      <c r="I103" s="71" t="s">
        <v>2368</v>
      </c>
      <c r="J103" s="73" t="s">
        <v>1852</v>
      </c>
      <c r="K103" s="153"/>
    </row>
    <row r="104" spans="1:11" x14ac:dyDescent="0.3">
      <c r="A104" s="70" t="s">
        <v>2369</v>
      </c>
      <c r="B104" s="71" t="s">
        <v>2271</v>
      </c>
      <c r="C104" s="71" t="s">
        <v>2370</v>
      </c>
      <c r="D104" s="71" t="s">
        <v>13</v>
      </c>
      <c r="E104" s="72" t="s">
        <v>862</v>
      </c>
      <c r="F104" s="72" t="s">
        <v>2371</v>
      </c>
      <c r="G104" s="72" t="s">
        <v>2372</v>
      </c>
      <c r="H104" s="72" t="s">
        <v>2373</v>
      </c>
      <c r="I104" s="71"/>
      <c r="J104" s="73" t="s">
        <v>1868</v>
      </c>
      <c r="K104" s="153"/>
    </row>
    <row r="105" spans="1:11" ht="57.6" x14ac:dyDescent="0.3">
      <c r="A105" s="54" t="s">
        <v>2374</v>
      </c>
      <c r="B105" s="55" t="s">
        <v>2375</v>
      </c>
      <c r="C105" s="55" t="s">
        <v>2376</v>
      </c>
      <c r="D105" s="55" t="s">
        <v>13</v>
      </c>
      <c r="E105" s="56" t="s">
        <v>35</v>
      </c>
      <c r="F105" s="56" t="s">
        <v>2377</v>
      </c>
      <c r="G105" s="56" t="s">
        <v>2378</v>
      </c>
      <c r="H105" s="56" t="s">
        <v>2379</v>
      </c>
      <c r="I105" s="55"/>
      <c r="J105" s="57" t="s">
        <v>1852</v>
      </c>
      <c r="K105" s="153"/>
    </row>
    <row r="106" spans="1:11" ht="57.6" x14ac:dyDescent="0.3">
      <c r="A106" s="54" t="s">
        <v>2380</v>
      </c>
      <c r="B106" s="55" t="s">
        <v>2375</v>
      </c>
      <c r="C106" s="55" t="s">
        <v>2381</v>
      </c>
      <c r="D106" s="55" t="s">
        <v>13</v>
      </c>
      <c r="E106" s="56" t="s">
        <v>1389</v>
      </c>
      <c r="F106" s="56" t="s">
        <v>2377</v>
      </c>
      <c r="G106" s="56" t="s">
        <v>2382</v>
      </c>
      <c r="H106" s="56" t="s">
        <v>2383</v>
      </c>
      <c r="I106" s="55" t="s">
        <v>2384</v>
      </c>
      <c r="J106" s="57" t="s">
        <v>1868</v>
      </c>
      <c r="K106" s="153"/>
    </row>
    <row r="107" spans="1:11" ht="28.8" x14ac:dyDescent="0.3">
      <c r="A107" s="54" t="s">
        <v>2385</v>
      </c>
      <c r="B107" s="55" t="s">
        <v>2375</v>
      </c>
      <c r="C107" s="55" t="s">
        <v>2386</v>
      </c>
      <c r="D107" s="55" t="s">
        <v>10</v>
      </c>
      <c r="E107" s="56" t="s">
        <v>35</v>
      </c>
      <c r="F107" s="56" t="s">
        <v>2387</v>
      </c>
      <c r="G107" s="56" t="s">
        <v>2388</v>
      </c>
      <c r="H107" s="56" t="s">
        <v>13744</v>
      </c>
      <c r="I107" s="55"/>
      <c r="J107" s="57" t="s">
        <v>1852</v>
      </c>
      <c r="K107" s="153"/>
    </row>
    <row r="108" spans="1:11" ht="28.8" x14ac:dyDescent="0.3">
      <c r="A108" s="54" t="s">
        <v>2389</v>
      </c>
      <c r="B108" s="55" t="s">
        <v>2375</v>
      </c>
      <c r="C108" s="55" t="s">
        <v>2390</v>
      </c>
      <c r="D108" s="55" t="s">
        <v>13</v>
      </c>
      <c r="E108" s="56" t="s">
        <v>2391</v>
      </c>
      <c r="F108" s="56" t="s">
        <v>2392</v>
      </c>
      <c r="G108" s="56" t="s">
        <v>2393</v>
      </c>
      <c r="H108" s="56" t="s">
        <v>2394</v>
      </c>
      <c r="I108" s="55" t="s">
        <v>2395</v>
      </c>
      <c r="J108" s="57" t="s">
        <v>1852</v>
      </c>
      <c r="K108" s="153"/>
    </row>
    <row r="109" spans="1:11" ht="43.2" x14ac:dyDescent="0.3">
      <c r="A109" s="54" t="s">
        <v>2396</v>
      </c>
      <c r="B109" s="55" t="s">
        <v>2375</v>
      </c>
      <c r="C109" s="55" t="s">
        <v>2397</v>
      </c>
      <c r="D109" s="55" t="s">
        <v>10</v>
      </c>
      <c r="E109" s="56" t="s">
        <v>756</v>
      </c>
      <c r="F109" s="56" t="s">
        <v>2398</v>
      </c>
      <c r="G109" s="56" t="s">
        <v>2399</v>
      </c>
      <c r="H109" s="56" t="s">
        <v>2400</v>
      </c>
      <c r="I109" s="55"/>
      <c r="J109" s="57" t="s">
        <v>1852</v>
      </c>
      <c r="K109" s="153"/>
    </row>
    <row r="110" spans="1:11" ht="43.2" x14ac:dyDescent="0.3">
      <c r="A110" s="54" t="s">
        <v>2401</v>
      </c>
      <c r="B110" s="55" t="s">
        <v>2375</v>
      </c>
      <c r="C110" s="55" t="s">
        <v>2402</v>
      </c>
      <c r="D110" s="55" t="s">
        <v>10</v>
      </c>
      <c r="E110" s="56" t="s">
        <v>756</v>
      </c>
      <c r="F110" s="56" t="s">
        <v>2403</v>
      </c>
      <c r="G110" s="56" t="s">
        <v>2404</v>
      </c>
      <c r="H110" s="56" t="s">
        <v>2405</v>
      </c>
      <c r="I110" s="55"/>
      <c r="J110" s="57" t="s">
        <v>1852</v>
      </c>
      <c r="K110" s="153"/>
    </row>
    <row r="111" spans="1:11" ht="57.6" x14ac:dyDescent="0.3">
      <c r="A111" s="54" t="s">
        <v>2406</v>
      </c>
      <c r="B111" s="55" t="s">
        <v>2375</v>
      </c>
      <c r="C111" s="55" t="s">
        <v>2407</v>
      </c>
      <c r="D111" s="55" t="s">
        <v>13</v>
      </c>
      <c r="E111" s="56" t="s">
        <v>1392</v>
      </c>
      <c r="F111" s="56" t="s">
        <v>2408</v>
      </c>
      <c r="G111" s="56" t="s">
        <v>2409</v>
      </c>
      <c r="H111" s="56" t="s">
        <v>2410</v>
      </c>
      <c r="I111" s="55" t="s">
        <v>1328</v>
      </c>
      <c r="J111" s="57" t="s">
        <v>1868</v>
      </c>
      <c r="K111" s="153"/>
    </row>
    <row r="112" spans="1:11" ht="43.2" x14ac:dyDescent="0.3">
      <c r="A112" s="54" t="s">
        <v>2411</v>
      </c>
      <c r="B112" s="55" t="s">
        <v>2375</v>
      </c>
      <c r="C112" s="55" t="s">
        <v>2412</v>
      </c>
      <c r="D112" s="55" t="s">
        <v>13</v>
      </c>
      <c r="E112" s="56" t="s">
        <v>1392</v>
      </c>
      <c r="F112" s="56" t="s">
        <v>2413</v>
      </c>
      <c r="G112" s="56" t="s">
        <v>2414</v>
      </c>
      <c r="H112" s="56" t="s">
        <v>2415</v>
      </c>
      <c r="I112" s="55"/>
      <c r="J112" s="57" t="s">
        <v>1868</v>
      </c>
      <c r="K112" s="153"/>
    </row>
    <row r="113" spans="1:11" ht="28.8" x14ac:dyDescent="0.3">
      <c r="A113" s="54" t="s">
        <v>2416</v>
      </c>
      <c r="B113" s="55" t="s">
        <v>2375</v>
      </c>
      <c r="C113" s="55" t="s">
        <v>2417</v>
      </c>
      <c r="D113" s="55" t="s">
        <v>10</v>
      </c>
      <c r="E113" s="56" t="s">
        <v>1788</v>
      </c>
      <c r="F113" s="56" t="s">
        <v>2418</v>
      </c>
      <c r="G113" s="56" t="s">
        <v>2419</v>
      </c>
      <c r="H113" s="56" t="s">
        <v>2420</v>
      </c>
      <c r="I113" s="55"/>
      <c r="J113" s="57" t="s">
        <v>1868</v>
      </c>
      <c r="K113" s="153"/>
    </row>
    <row r="114" spans="1:11" ht="43.2" x14ac:dyDescent="0.3">
      <c r="A114" s="54" t="s">
        <v>2421</v>
      </c>
      <c r="B114" s="55" t="s">
        <v>2375</v>
      </c>
      <c r="C114" s="55" t="s">
        <v>2422</v>
      </c>
      <c r="D114" s="55" t="s">
        <v>10</v>
      </c>
      <c r="E114" s="56" t="s">
        <v>1788</v>
      </c>
      <c r="F114" s="56" t="s">
        <v>2423</v>
      </c>
      <c r="G114" s="56" t="s">
        <v>2424</v>
      </c>
      <c r="H114" s="56" t="s">
        <v>2425</v>
      </c>
      <c r="I114" s="55"/>
      <c r="J114" s="57" t="s">
        <v>1868</v>
      </c>
      <c r="K114" s="153"/>
    </row>
    <row r="115" spans="1:11" ht="28.8" x14ac:dyDescent="0.3">
      <c r="A115" s="54" t="s">
        <v>2426</v>
      </c>
      <c r="B115" s="55" t="s">
        <v>2375</v>
      </c>
      <c r="C115" s="55" t="s">
        <v>2427</v>
      </c>
      <c r="D115" s="55" t="s">
        <v>13</v>
      </c>
      <c r="E115" s="56" t="s">
        <v>1392</v>
      </c>
      <c r="F115" s="56" t="s">
        <v>2428</v>
      </c>
      <c r="G115" s="56" t="s">
        <v>2429</v>
      </c>
      <c r="H115" s="56" t="s">
        <v>2430</v>
      </c>
      <c r="I115" s="55" t="s">
        <v>2431</v>
      </c>
      <c r="J115" s="57" t="s">
        <v>1868</v>
      </c>
      <c r="K115" s="153"/>
    </row>
    <row r="116" spans="1:11" ht="28.8" x14ac:dyDescent="0.3">
      <c r="A116" s="54" t="s">
        <v>2432</v>
      </c>
      <c r="B116" s="55" t="s">
        <v>2375</v>
      </c>
      <c r="C116" s="55" t="s">
        <v>2433</v>
      </c>
      <c r="D116" s="55" t="s">
        <v>13</v>
      </c>
      <c r="E116" s="56" t="s">
        <v>13026</v>
      </c>
      <c r="F116" s="56" t="s">
        <v>2434</v>
      </c>
      <c r="G116" s="56" t="s">
        <v>2435</v>
      </c>
      <c r="H116" s="56" t="s">
        <v>2436</v>
      </c>
      <c r="I116" s="55" t="s">
        <v>2437</v>
      </c>
      <c r="J116" s="57" t="s">
        <v>1852</v>
      </c>
      <c r="K116" s="153"/>
    </row>
    <row r="117" spans="1:11" ht="28.8" x14ac:dyDescent="0.3">
      <c r="A117" s="54" t="s">
        <v>2438</v>
      </c>
      <c r="B117" s="55" t="s">
        <v>2375</v>
      </c>
      <c r="C117" s="55" t="s">
        <v>2439</v>
      </c>
      <c r="D117" s="55" t="s">
        <v>13</v>
      </c>
      <c r="E117" s="56" t="s">
        <v>1389</v>
      </c>
      <c r="F117" s="56" t="s">
        <v>2440</v>
      </c>
      <c r="G117" s="56" t="s">
        <v>2441</v>
      </c>
      <c r="H117" s="56" t="s">
        <v>2442</v>
      </c>
      <c r="I117" s="55" t="s">
        <v>2443</v>
      </c>
      <c r="J117" s="57" t="s">
        <v>1868</v>
      </c>
      <c r="K117" s="153"/>
    </row>
    <row r="118" spans="1:11" ht="43.2" x14ac:dyDescent="0.3">
      <c r="A118" s="54" t="s">
        <v>2444</v>
      </c>
      <c r="B118" s="55" t="s">
        <v>2375</v>
      </c>
      <c r="C118" s="55" t="s">
        <v>2445</v>
      </c>
      <c r="D118" s="55" t="s">
        <v>10</v>
      </c>
      <c r="E118" s="56" t="s">
        <v>35</v>
      </c>
      <c r="F118" s="56" t="s">
        <v>2446</v>
      </c>
      <c r="G118" s="56" t="s">
        <v>2447</v>
      </c>
      <c r="H118" s="56" t="s">
        <v>13745</v>
      </c>
      <c r="I118" s="55" t="s">
        <v>2448</v>
      </c>
      <c r="J118" s="57" t="s">
        <v>1852</v>
      </c>
      <c r="K118" s="153"/>
    </row>
    <row r="119" spans="1:11" ht="72" x14ac:dyDescent="0.3">
      <c r="A119" s="58" t="s">
        <v>2449</v>
      </c>
      <c r="B119" s="59" t="s">
        <v>2450</v>
      </c>
      <c r="C119" s="59" t="s">
        <v>2451</v>
      </c>
      <c r="D119" s="59" t="s">
        <v>13</v>
      </c>
      <c r="E119" s="60" t="s">
        <v>704</v>
      </c>
      <c r="F119" s="60" t="s">
        <v>2452</v>
      </c>
      <c r="G119" s="60" t="s">
        <v>2453</v>
      </c>
      <c r="H119" s="60" t="s">
        <v>2454</v>
      </c>
      <c r="I119" s="59" t="s">
        <v>2455</v>
      </c>
      <c r="J119" s="61" t="s">
        <v>1852</v>
      </c>
      <c r="K119" s="153"/>
    </row>
    <row r="120" spans="1:11" ht="43.2" x14ac:dyDescent="0.3">
      <c r="A120" s="58" t="s">
        <v>2456</v>
      </c>
      <c r="B120" s="59" t="s">
        <v>2450</v>
      </c>
      <c r="C120" s="59" t="s">
        <v>2457</v>
      </c>
      <c r="D120" s="59" t="s">
        <v>10</v>
      </c>
      <c r="E120" s="60" t="s">
        <v>537</v>
      </c>
      <c r="F120" s="60" t="s">
        <v>2458</v>
      </c>
      <c r="G120" s="60" t="s">
        <v>2459</v>
      </c>
      <c r="H120" s="60" t="s">
        <v>2460</v>
      </c>
      <c r="I120" s="59" t="s">
        <v>2461</v>
      </c>
      <c r="J120" s="61" t="s">
        <v>1868</v>
      </c>
      <c r="K120" s="153"/>
    </row>
    <row r="121" spans="1:11" ht="28.8" x14ac:dyDescent="0.3">
      <c r="A121" s="58" t="s">
        <v>2462</v>
      </c>
      <c r="B121" s="59" t="s">
        <v>2450</v>
      </c>
      <c r="C121" s="59" t="s">
        <v>2463</v>
      </c>
      <c r="D121" s="59" t="s">
        <v>13</v>
      </c>
      <c r="E121" s="60" t="s">
        <v>704</v>
      </c>
      <c r="F121" s="60" t="s">
        <v>2464</v>
      </c>
      <c r="G121" s="60" t="s">
        <v>2465</v>
      </c>
      <c r="H121" s="60" t="s">
        <v>2466</v>
      </c>
      <c r="I121" s="59" t="s">
        <v>2395</v>
      </c>
      <c r="J121" s="61" t="s">
        <v>1852</v>
      </c>
      <c r="K121" s="153"/>
    </row>
    <row r="122" spans="1:11" ht="28.8" x14ac:dyDescent="0.3">
      <c r="A122" s="58" t="s">
        <v>2467</v>
      </c>
      <c r="B122" s="59" t="s">
        <v>2450</v>
      </c>
      <c r="C122" s="59" t="s">
        <v>2468</v>
      </c>
      <c r="D122" s="59" t="s">
        <v>13</v>
      </c>
      <c r="E122" s="60" t="s">
        <v>709</v>
      </c>
      <c r="F122" s="60" t="s">
        <v>2469</v>
      </c>
      <c r="G122" s="60" t="s">
        <v>2470</v>
      </c>
      <c r="H122" s="60" t="s">
        <v>2471</v>
      </c>
      <c r="I122" s="59"/>
      <c r="J122" s="61" t="s">
        <v>1852</v>
      </c>
      <c r="K122" s="153"/>
    </row>
    <row r="123" spans="1:11" ht="43.2" x14ac:dyDescent="0.3">
      <c r="A123" s="58" t="s">
        <v>2472</v>
      </c>
      <c r="B123" s="59" t="s">
        <v>2450</v>
      </c>
      <c r="C123" s="59" t="s">
        <v>2473</v>
      </c>
      <c r="D123" s="59" t="s">
        <v>10</v>
      </c>
      <c r="E123" s="60" t="s">
        <v>709</v>
      </c>
      <c r="F123" s="60" t="s">
        <v>2474</v>
      </c>
      <c r="G123" s="60" t="s">
        <v>2475</v>
      </c>
      <c r="H123" s="60" t="s">
        <v>2476</v>
      </c>
      <c r="I123" s="59"/>
      <c r="J123" s="61" t="s">
        <v>1852</v>
      </c>
      <c r="K123" s="153"/>
    </row>
    <row r="124" spans="1:11" ht="28.8" x14ac:dyDescent="0.3">
      <c r="A124" s="58" t="s">
        <v>2477</v>
      </c>
      <c r="B124" s="59" t="s">
        <v>2450</v>
      </c>
      <c r="C124" s="59" t="s">
        <v>2478</v>
      </c>
      <c r="D124" s="59" t="s">
        <v>10</v>
      </c>
      <c r="E124" s="60" t="s">
        <v>643</v>
      </c>
      <c r="F124" s="60" t="s">
        <v>2479</v>
      </c>
      <c r="G124" s="60" t="s">
        <v>2480</v>
      </c>
      <c r="H124" s="60" t="s">
        <v>2481</v>
      </c>
      <c r="I124" s="59" t="s">
        <v>2482</v>
      </c>
      <c r="J124" s="61" t="s">
        <v>1852</v>
      </c>
      <c r="K124" s="153"/>
    </row>
    <row r="125" spans="1:11" ht="28.8" x14ac:dyDescent="0.3">
      <c r="A125" s="58" t="s">
        <v>2483</v>
      </c>
      <c r="B125" s="59" t="s">
        <v>2450</v>
      </c>
      <c r="C125" s="59" t="s">
        <v>2484</v>
      </c>
      <c r="D125" s="59" t="s">
        <v>10</v>
      </c>
      <c r="E125" s="60" t="s">
        <v>1813</v>
      </c>
      <c r="F125" s="60" t="s">
        <v>2485</v>
      </c>
      <c r="G125" s="60" t="s">
        <v>2486</v>
      </c>
      <c r="H125" s="60" t="s">
        <v>2487</v>
      </c>
      <c r="I125" s="59"/>
      <c r="J125" s="61" t="s">
        <v>1852</v>
      </c>
      <c r="K125" s="153"/>
    </row>
    <row r="126" spans="1:11" ht="28.8" x14ac:dyDescent="0.3">
      <c r="A126" s="58" t="s">
        <v>2488</v>
      </c>
      <c r="B126" s="59" t="s">
        <v>2450</v>
      </c>
      <c r="C126" s="59" t="s">
        <v>2489</v>
      </c>
      <c r="D126" s="59" t="s">
        <v>10</v>
      </c>
      <c r="E126" s="60" t="s">
        <v>1813</v>
      </c>
      <c r="F126" s="60" t="s">
        <v>2490</v>
      </c>
      <c r="G126" s="60" t="s">
        <v>2491</v>
      </c>
      <c r="H126" s="60" t="s">
        <v>2492</v>
      </c>
      <c r="I126" s="59"/>
      <c r="J126" s="61" t="s">
        <v>1852</v>
      </c>
      <c r="K126" s="153"/>
    </row>
    <row r="127" spans="1:11" ht="28.8" x14ac:dyDescent="0.3">
      <c r="A127" s="58" t="s">
        <v>2493</v>
      </c>
      <c r="B127" s="59" t="s">
        <v>2450</v>
      </c>
      <c r="C127" s="59" t="s">
        <v>2494</v>
      </c>
      <c r="D127" s="59" t="s">
        <v>13</v>
      </c>
      <c r="E127" s="60" t="s">
        <v>41</v>
      </c>
      <c r="F127" s="60" t="s">
        <v>2495</v>
      </c>
      <c r="G127" s="60" t="s">
        <v>2496</v>
      </c>
      <c r="H127" s="60" t="s">
        <v>2497</v>
      </c>
      <c r="I127" s="59" t="s">
        <v>2498</v>
      </c>
      <c r="J127" s="61" t="s">
        <v>1868</v>
      </c>
      <c r="K127" s="153"/>
    </row>
    <row r="128" spans="1:11" ht="43.2" x14ac:dyDescent="0.3">
      <c r="A128" s="58" t="s">
        <v>2499</v>
      </c>
      <c r="B128" s="59" t="s">
        <v>2450</v>
      </c>
      <c r="C128" s="59" t="s">
        <v>2500</v>
      </c>
      <c r="D128" s="59" t="s">
        <v>13</v>
      </c>
      <c r="E128" s="60" t="s">
        <v>1392</v>
      </c>
      <c r="F128" s="60" t="s">
        <v>2501</v>
      </c>
      <c r="G128" s="60" t="s">
        <v>2502</v>
      </c>
      <c r="H128" s="60" t="s">
        <v>2503</v>
      </c>
      <c r="I128" s="59"/>
      <c r="J128" s="61" t="s">
        <v>1868</v>
      </c>
      <c r="K128" s="153"/>
    </row>
    <row r="129" spans="1:11" ht="43.2" x14ac:dyDescent="0.3">
      <c r="A129" s="58" t="s">
        <v>2504</v>
      </c>
      <c r="B129" s="59" t="s">
        <v>2450</v>
      </c>
      <c r="C129" s="59" t="s">
        <v>2505</v>
      </c>
      <c r="D129" s="59" t="s">
        <v>13</v>
      </c>
      <c r="E129" s="60" t="s">
        <v>1392</v>
      </c>
      <c r="F129" s="60" t="s">
        <v>2506</v>
      </c>
      <c r="G129" s="60" t="s">
        <v>2507</v>
      </c>
      <c r="H129" s="60" t="s">
        <v>2508</v>
      </c>
      <c r="I129" s="59"/>
      <c r="J129" s="61" t="s">
        <v>1868</v>
      </c>
      <c r="K129" s="153"/>
    </row>
    <row r="130" spans="1:11" ht="28.8" x14ac:dyDescent="0.3">
      <c r="A130" s="58" t="s">
        <v>2509</v>
      </c>
      <c r="B130" s="59" t="s">
        <v>2450</v>
      </c>
      <c r="C130" s="59" t="s">
        <v>13033</v>
      </c>
      <c r="D130" s="59" t="s">
        <v>13</v>
      </c>
      <c r="E130" s="60" t="s">
        <v>13026</v>
      </c>
      <c r="F130" s="60" t="s">
        <v>2510</v>
      </c>
      <c r="G130" s="60" t="s">
        <v>2511</v>
      </c>
      <c r="H130" s="60" t="s">
        <v>13034</v>
      </c>
      <c r="I130" s="59"/>
      <c r="J130" s="61" t="s">
        <v>1852</v>
      </c>
      <c r="K130" s="153"/>
    </row>
    <row r="131" spans="1:11" ht="28.8" x14ac:dyDescent="0.3">
      <c r="A131" s="58" t="s">
        <v>2512</v>
      </c>
      <c r="B131" s="59" t="s">
        <v>2450</v>
      </c>
      <c r="C131" s="59" t="s">
        <v>2513</v>
      </c>
      <c r="D131" s="59" t="s">
        <v>10</v>
      </c>
      <c r="E131" s="60" t="s">
        <v>39</v>
      </c>
      <c r="F131" s="60" t="s">
        <v>2514</v>
      </c>
      <c r="G131" s="60" t="s">
        <v>2515</v>
      </c>
      <c r="H131" s="60" t="s">
        <v>2516</v>
      </c>
      <c r="I131" s="59"/>
      <c r="J131" s="61" t="s">
        <v>1852</v>
      </c>
      <c r="K131" s="153"/>
    </row>
    <row r="132" spans="1:11" ht="28.8" x14ac:dyDescent="0.3">
      <c r="A132" s="58" t="s">
        <v>2517</v>
      </c>
      <c r="B132" s="59" t="s">
        <v>2450</v>
      </c>
      <c r="C132" s="59" t="s">
        <v>2518</v>
      </c>
      <c r="D132" s="59" t="s">
        <v>10</v>
      </c>
      <c r="E132" s="60" t="s">
        <v>34</v>
      </c>
      <c r="F132" s="60" t="s">
        <v>2519</v>
      </c>
      <c r="G132" s="60" t="s">
        <v>2520</v>
      </c>
      <c r="H132" s="60" t="s">
        <v>13746</v>
      </c>
      <c r="I132" s="59"/>
      <c r="J132" s="61" t="s">
        <v>1852</v>
      </c>
      <c r="K132" s="153"/>
    </row>
    <row r="133" spans="1:11" ht="28.8" x14ac:dyDescent="0.3">
      <c r="A133" s="58" t="s">
        <v>2521</v>
      </c>
      <c r="B133" s="59" t="s">
        <v>2450</v>
      </c>
      <c r="C133" s="59" t="s">
        <v>2522</v>
      </c>
      <c r="D133" s="59" t="s">
        <v>13</v>
      </c>
      <c r="E133" s="60" t="s">
        <v>845</v>
      </c>
      <c r="F133" s="60" t="s">
        <v>2523</v>
      </c>
      <c r="G133" s="60" t="s">
        <v>2524</v>
      </c>
      <c r="H133" s="60" t="s">
        <v>2525</v>
      </c>
      <c r="I133" s="59"/>
      <c r="J133" s="61" t="s">
        <v>1868</v>
      </c>
      <c r="K133" s="153"/>
    </row>
    <row r="134" spans="1:11" ht="43.2" x14ac:dyDescent="0.3">
      <c r="A134" s="58" t="s">
        <v>2526</v>
      </c>
      <c r="B134" s="59" t="s">
        <v>2450</v>
      </c>
      <c r="C134" s="59" t="s">
        <v>2527</v>
      </c>
      <c r="D134" s="59" t="s">
        <v>13</v>
      </c>
      <c r="E134" s="60" t="s">
        <v>320</v>
      </c>
      <c r="F134" s="60" t="s">
        <v>2528</v>
      </c>
      <c r="G134" s="60" t="s">
        <v>2529</v>
      </c>
      <c r="H134" s="60" t="s">
        <v>13035</v>
      </c>
      <c r="I134" s="59"/>
      <c r="J134" s="61" t="s">
        <v>1852</v>
      </c>
      <c r="K134" s="165"/>
    </row>
    <row r="135" spans="1:11" ht="43.2" x14ac:dyDescent="0.3">
      <c r="A135" s="58" t="s">
        <v>2530</v>
      </c>
      <c r="B135" s="59" t="s">
        <v>2450</v>
      </c>
      <c r="C135" s="59" t="s">
        <v>2531</v>
      </c>
      <c r="D135" s="59" t="s">
        <v>13</v>
      </c>
      <c r="E135" s="60" t="s">
        <v>320</v>
      </c>
      <c r="F135" s="60" t="s">
        <v>2532</v>
      </c>
      <c r="G135" s="60" t="s">
        <v>2533</v>
      </c>
      <c r="H135" s="60" t="s">
        <v>2534</v>
      </c>
      <c r="I135" s="59"/>
      <c r="J135" s="61" t="s">
        <v>1852</v>
      </c>
      <c r="K135" s="153"/>
    </row>
    <row r="136" spans="1:11" ht="43.2" x14ac:dyDescent="0.3">
      <c r="A136" s="58" t="s">
        <v>2535</v>
      </c>
      <c r="B136" s="59" t="s">
        <v>2450</v>
      </c>
      <c r="C136" s="59" t="s">
        <v>2536</v>
      </c>
      <c r="D136" s="59" t="s">
        <v>13</v>
      </c>
      <c r="E136" s="60" t="s">
        <v>1392</v>
      </c>
      <c r="F136" s="60" t="s">
        <v>2537</v>
      </c>
      <c r="G136" s="60" t="s">
        <v>2538</v>
      </c>
      <c r="H136" s="60" t="s">
        <v>2539</v>
      </c>
      <c r="I136" s="59"/>
      <c r="J136" s="61" t="s">
        <v>1873</v>
      </c>
      <c r="K136" s="153"/>
    </row>
    <row r="137" spans="1:11" ht="72" x14ac:dyDescent="0.3">
      <c r="A137" s="62" t="s">
        <v>2540</v>
      </c>
      <c r="B137" s="63" t="s">
        <v>2541</v>
      </c>
      <c r="C137" s="63" t="s">
        <v>2542</v>
      </c>
      <c r="D137" s="63" t="s">
        <v>13</v>
      </c>
      <c r="E137" s="64" t="s">
        <v>36</v>
      </c>
      <c r="F137" s="64" t="s">
        <v>2543</v>
      </c>
      <c r="G137" s="64" t="s">
        <v>2544</v>
      </c>
      <c r="H137" s="64" t="s">
        <v>2545</v>
      </c>
      <c r="I137" s="63" t="s">
        <v>2546</v>
      </c>
      <c r="J137" s="65" t="s">
        <v>1852</v>
      </c>
      <c r="K137" s="153"/>
    </row>
    <row r="138" spans="1:11" ht="43.2" x14ac:dyDescent="0.3">
      <c r="A138" s="62" t="s">
        <v>2547</v>
      </c>
      <c r="B138" s="63" t="s">
        <v>2541</v>
      </c>
      <c r="C138" s="63" t="s">
        <v>2548</v>
      </c>
      <c r="D138" s="63" t="s">
        <v>10</v>
      </c>
      <c r="E138" s="64" t="s">
        <v>52</v>
      </c>
      <c r="F138" s="64" t="s">
        <v>2549</v>
      </c>
      <c r="G138" s="64" t="s">
        <v>2550</v>
      </c>
      <c r="H138" s="64" t="s">
        <v>2551</v>
      </c>
      <c r="I138" s="63"/>
      <c r="J138" s="65" t="s">
        <v>1852</v>
      </c>
      <c r="K138" s="153"/>
    </row>
    <row r="139" spans="1:11" ht="28.8" x14ac:dyDescent="0.3">
      <c r="A139" s="62" t="s">
        <v>2552</v>
      </c>
      <c r="B139" s="63" t="s">
        <v>2541</v>
      </c>
      <c r="C139" s="63" t="s">
        <v>2553</v>
      </c>
      <c r="D139" s="63" t="s">
        <v>13</v>
      </c>
      <c r="E139" s="64" t="s">
        <v>40</v>
      </c>
      <c r="F139" s="64" t="s">
        <v>2554</v>
      </c>
      <c r="G139" s="64" t="s">
        <v>2555</v>
      </c>
      <c r="H139" s="64" t="s">
        <v>2556</v>
      </c>
      <c r="I139" s="63" t="s">
        <v>2557</v>
      </c>
      <c r="J139" s="65" t="s">
        <v>1852</v>
      </c>
      <c r="K139" s="153"/>
    </row>
    <row r="140" spans="1:11" ht="28.8" x14ac:dyDescent="0.3">
      <c r="A140" s="62" t="s">
        <v>2558</v>
      </c>
      <c r="B140" s="63" t="s">
        <v>2541</v>
      </c>
      <c r="C140" s="63" t="s">
        <v>2559</v>
      </c>
      <c r="D140" s="63" t="s">
        <v>10</v>
      </c>
      <c r="E140" s="64" t="s">
        <v>36</v>
      </c>
      <c r="F140" s="64" t="s">
        <v>2560</v>
      </c>
      <c r="G140" s="64" t="s">
        <v>2561</v>
      </c>
      <c r="H140" s="64" t="s">
        <v>2562</v>
      </c>
      <c r="I140" s="63"/>
      <c r="J140" s="65" t="s">
        <v>1852</v>
      </c>
      <c r="K140" s="153"/>
    </row>
    <row r="141" spans="1:11" ht="28.8" x14ac:dyDescent="0.3">
      <c r="A141" s="62" t="s">
        <v>2563</v>
      </c>
      <c r="B141" s="63" t="s">
        <v>2541</v>
      </c>
      <c r="C141" s="63" t="s">
        <v>2564</v>
      </c>
      <c r="D141" s="63" t="s">
        <v>10</v>
      </c>
      <c r="E141" s="64" t="s">
        <v>22</v>
      </c>
      <c r="F141" s="64" t="s">
        <v>2565</v>
      </c>
      <c r="G141" s="64" t="s">
        <v>2566</v>
      </c>
      <c r="H141" s="64" t="s">
        <v>2567</v>
      </c>
      <c r="I141" s="63" t="s">
        <v>2568</v>
      </c>
      <c r="J141" s="65" t="s">
        <v>1852</v>
      </c>
      <c r="K141" s="153"/>
    </row>
    <row r="142" spans="1:11" ht="57.6" x14ac:dyDescent="0.3">
      <c r="A142" s="62" t="s">
        <v>2569</v>
      </c>
      <c r="B142" s="63" t="s">
        <v>2541</v>
      </c>
      <c r="C142" s="63" t="s">
        <v>2570</v>
      </c>
      <c r="D142" s="63" t="s">
        <v>13</v>
      </c>
      <c r="E142" s="64" t="s">
        <v>2571</v>
      </c>
      <c r="F142" s="64" t="s">
        <v>2572</v>
      </c>
      <c r="G142" s="64" t="s">
        <v>2573</v>
      </c>
      <c r="H142" s="64" t="s">
        <v>2574</v>
      </c>
      <c r="I142" s="63" t="s">
        <v>2575</v>
      </c>
      <c r="J142" s="65" t="s">
        <v>1852</v>
      </c>
      <c r="K142" s="153"/>
    </row>
    <row r="143" spans="1:11" ht="28.8" x14ac:dyDescent="0.3">
      <c r="A143" s="62" t="s">
        <v>2576</v>
      </c>
      <c r="B143" s="63" t="s">
        <v>2541</v>
      </c>
      <c r="C143" s="63" t="s">
        <v>2577</v>
      </c>
      <c r="D143" s="63" t="s">
        <v>10</v>
      </c>
      <c r="E143" s="64" t="s">
        <v>679</v>
      </c>
      <c r="F143" s="64" t="s">
        <v>2578</v>
      </c>
      <c r="G143" s="64" t="s">
        <v>2579</v>
      </c>
      <c r="H143" s="64" t="s">
        <v>2580</v>
      </c>
      <c r="I143" s="63"/>
      <c r="J143" s="65" t="s">
        <v>1852</v>
      </c>
      <c r="K143" s="153"/>
    </row>
    <row r="144" spans="1:11" ht="43.2" x14ac:dyDescent="0.3">
      <c r="A144" s="62" t="s">
        <v>2581</v>
      </c>
      <c r="B144" s="63" t="s">
        <v>2541</v>
      </c>
      <c r="C144" s="63" t="s">
        <v>2582</v>
      </c>
      <c r="D144" s="63" t="s">
        <v>13</v>
      </c>
      <c r="E144" s="64" t="s">
        <v>1392</v>
      </c>
      <c r="F144" s="64" t="s">
        <v>2583</v>
      </c>
      <c r="G144" s="64" t="s">
        <v>2584</v>
      </c>
      <c r="H144" s="64" t="s">
        <v>2585</v>
      </c>
      <c r="I144" s="63"/>
      <c r="J144" s="65" t="s">
        <v>1868</v>
      </c>
      <c r="K144" s="153"/>
    </row>
    <row r="145" spans="1:11" ht="28.8" x14ac:dyDescent="0.3">
      <c r="A145" s="62" t="s">
        <v>2586</v>
      </c>
      <c r="B145" s="63" t="s">
        <v>2541</v>
      </c>
      <c r="C145" s="63" t="s">
        <v>2587</v>
      </c>
      <c r="D145" s="63" t="s">
        <v>10</v>
      </c>
      <c r="E145" s="64" t="s">
        <v>55</v>
      </c>
      <c r="F145" s="64" t="s">
        <v>2588</v>
      </c>
      <c r="G145" s="64" t="s">
        <v>2589</v>
      </c>
      <c r="H145" s="64" t="s">
        <v>2590</v>
      </c>
      <c r="I145" s="63" t="s">
        <v>2591</v>
      </c>
      <c r="J145" s="65" t="s">
        <v>1868</v>
      </c>
      <c r="K145" s="153"/>
    </row>
    <row r="146" spans="1:11" ht="43.2" x14ac:dyDescent="0.3">
      <c r="A146" s="62" t="s">
        <v>2592</v>
      </c>
      <c r="B146" s="63" t="s">
        <v>2541</v>
      </c>
      <c r="C146" s="63" t="s">
        <v>2593</v>
      </c>
      <c r="D146" s="63" t="s">
        <v>10</v>
      </c>
      <c r="E146" s="64" t="s">
        <v>14</v>
      </c>
      <c r="F146" s="64" t="s">
        <v>2594</v>
      </c>
      <c r="G146" s="64" t="s">
        <v>2595</v>
      </c>
      <c r="H146" s="64" t="s">
        <v>2596</v>
      </c>
      <c r="I146" s="63"/>
      <c r="J146" s="65" t="s">
        <v>1852</v>
      </c>
      <c r="K146" s="166"/>
    </row>
    <row r="147" spans="1:11" ht="28.8" x14ac:dyDescent="0.3">
      <c r="A147" s="62" t="s">
        <v>2597</v>
      </c>
      <c r="B147" s="63" t="s">
        <v>2541</v>
      </c>
      <c r="C147" s="63" t="s">
        <v>2598</v>
      </c>
      <c r="D147" s="63" t="s">
        <v>10</v>
      </c>
      <c r="E147" s="64" t="s">
        <v>629</v>
      </c>
      <c r="F147" s="64" t="s">
        <v>2599</v>
      </c>
      <c r="G147" s="64" t="s">
        <v>2600</v>
      </c>
      <c r="H147" s="64" t="s">
        <v>2601</v>
      </c>
      <c r="I147" s="63"/>
      <c r="J147" s="65" t="s">
        <v>1868</v>
      </c>
      <c r="K147" s="166"/>
    </row>
    <row r="148" spans="1:11" ht="43.2" x14ac:dyDescent="0.3">
      <c r="A148" s="62" t="s">
        <v>2602</v>
      </c>
      <c r="B148" s="63" t="s">
        <v>2541</v>
      </c>
      <c r="C148" s="63" t="s">
        <v>2603</v>
      </c>
      <c r="D148" s="63" t="s">
        <v>13</v>
      </c>
      <c r="E148" s="64" t="s">
        <v>36</v>
      </c>
      <c r="F148" s="64" t="s">
        <v>2604</v>
      </c>
      <c r="G148" s="64" t="s">
        <v>2605</v>
      </c>
      <c r="H148" s="64" t="s">
        <v>2606</v>
      </c>
      <c r="I148" s="63" t="s">
        <v>2607</v>
      </c>
      <c r="J148" s="65" t="s">
        <v>1868</v>
      </c>
      <c r="K148" s="153"/>
    </row>
    <row r="149" spans="1:11" ht="28.8" x14ac:dyDescent="0.3">
      <c r="A149" s="62" t="s">
        <v>2608</v>
      </c>
      <c r="B149" s="63" t="s">
        <v>2541</v>
      </c>
      <c r="C149" s="63" t="s">
        <v>2609</v>
      </c>
      <c r="D149" s="63" t="s">
        <v>13</v>
      </c>
      <c r="E149" s="64" t="s">
        <v>746</v>
      </c>
      <c r="F149" s="64" t="s">
        <v>2610</v>
      </c>
      <c r="G149" s="64" t="s">
        <v>2611</v>
      </c>
      <c r="H149" s="64" t="s">
        <v>2612</v>
      </c>
      <c r="I149" s="63" t="s">
        <v>2613</v>
      </c>
      <c r="J149" s="65" t="s">
        <v>1852</v>
      </c>
      <c r="K149" s="153"/>
    </row>
    <row r="150" spans="1:11" ht="28.8" x14ac:dyDescent="0.3">
      <c r="A150" s="62" t="s">
        <v>2614</v>
      </c>
      <c r="B150" s="63" t="s">
        <v>2541</v>
      </c>
      <c r="C150" s="63" t="s">
        <v>2615</v>
      </c>
      <c r="D150" s="63" t="s">
        <v>10</v>
      </c>
      <c r="E150" s="64" t="s">
        <v>1392</v>
      </c>
      <c r="F150" s="64" t="s">
        <v>2616</v>
      </c>
      <c r="G150" s="64" t="s">
        <v>2617</v>
      </c>
      <c r="H150" s="64" t="s">
        <v>2618</v>
      </c>
      <c r="I150" s="63"/>
      <c r="J150" s="65" t="s">
        <v>1852</v>
      </c>
      <c r="K150" s="153"/>
    </row>
    <row r="151" spans="1:11" ht="28.8" x14ac:dyDescent="0.3">
      <c r="A151" s="62" t="s">
        <v>2619</v>
      </c>
      <c r="B151" s="63" t="s">
        <v>2541</v>
      </c>
      <c r="C151" s="63" t="s">
        <v>2620</v>
      </c>
      <c r="D151" s="63" t="s">
        <v>13</v>
      </c>
      <c r="E151" s="64" t="s">
        <v>1389</v>
      </c>
      <c r="F151" s="64" t="s">
        <v>2621</v>
      </c>
      <c r="G151" s="64" t="s">
        <v>2622</v>
      </c>
      <c r="H151" s="64" t="s">
        <v>2623</v>
      </c>
      <c r="I151" s="63" t="s">
        <v>2624</v>
      </c>
      <c r="J151" s="65" t="s">
        <v>1873</v>
      </c>
      <c r="K151" s="153"/>
    </row>
    <row r="152" spans="1:11" ht="28.8" x14ac:dyDescent="0.3">
      <c r="A152" s="62" t="s">
        <v>2625</v>
      </c>
      <c r="B152" s="63" t="s">
        <v>2541</v>
      </c>
      <c r="C152" s="63" t="s">
        <v>2626</v>
      </c>
      <c r="D152" s="63" t="s">
        <v>13</v>
      </c>
      <c r="E152" s="64" t="s">
        <v>212</v>
      </c>
      <c r="F152" s="64" t="s">
        <v>2627</v>
      </c>
      <c r="G152" s="64" t="s">
        <v>2628</v>
      </c>
      <c r="H152" s="64" t="s">
        <v>2629</v>
      </c>
      <c r="I152" s="63" t="s">
        <v>2630</v>
      </c>
      <c r="J152" s="65" t="s">
        <v>1868</v>
      </c>
      <c r="K152" s="153"/>
    </row>
    <row r="153" spans="1:11" ht="28.8" x14ac:dyDescent="0.3">
      <c r="A153" s="62" t="s">
        <v>2631</v>
      </c>
      <c r="B153" s="63" t="s">
        <v>2541</v>
      </c>
      <c r="C153" s="63" t="s">
        <v>2632</v>
      </c>
      <c r="D153" s="63" t="s">
        <v>13</v>
      </c>
      <c r="E153" s="64" t="s">
        <v>212</v>
      </c>
      <c r="F153" s="64" t="s">
        <v>2633</v>
      </c>
      <c r="G153" s="64" t="s">
        <v>2634</v>
      </c>
      <c r="H153" s="64" t="s">
        <v>2635</v>
      </c>
      <c r="I153" s="63"/>
      <c r="J153" s="65" t="s">
        <v>1868</v>
      </c>
      <c r="K153" s="153"/>
    </row>
    <row r="154" spans="1:11" ht="28.8" x14ac:dyDescent="0.3">
      <c r="A154" s="62" t="s">
        <v>2636</v>
      </c>
      <c r="B154" s="63" t="s">
        <v>2541</v>
      </c>
      <c r="C154" s="63" t="s">
        <v>2637</v>
      </c>
      <c r="D154" s="63" t="s">
        <v>13</v>
      </c>
      <c r="E154" s="64" t="s">
        <v>13402</v>
      </c>
      <c r="F154" s="64" t="s">
        <v>2638</v>
      </c>
      <c r="G154" s="64" t="s">
        <v>2639</v>
      </c>
      <c r="H154" s="64" t="s">
        <v>2640</v>
      </c>
      <c r="I154" s="63"/>
      <c r="J154" s="65" t="s">
        <v>1868</v>
      </c>
      <c r="K154" s="153"/>
    </row>
    <row r="155" spans="1:11" ht="86.4" x14ac:dyDescent="0.3">
      <c r="A155" s="66" t="s">
        <v>2641</v>
      </c>
      <c r="B155" s="67" t="s">
        <v>2642</v>
      </c>
      <c r="C155" s="67" t="s">
        <v>2643</v>
      </c>
      <c r="D155" s="67" t="s">
        <v>13</v>
      </c>
      <c r="E155" s="68" t="s">
        <v>37</v>
      </c>
      <c r="F155" s="68" t="s">
        <v>2644</v>
      </c>
      <c r="G155" s="68" t="s">
        <v>2645</v>
      </c>
      <c r="H155" s="68" t="s">
        <v>2646</v>
      </c>
      <c r="I155" s="67" t="s">
        <v>1156</v>
      </c>
      <c r="J155" s="69" t="s">
        <v>1852</v>
      </c>
      <c r="K155" s="153"/>
    </row>
    <row r="156" spans="1:11" ht="28.8" x14ac:dyDescent="0.3">
      <c r="A156" s="66" t="s">
        <v>2647</v>
      </c>
      <c r="B156" s="67" t="s">
        <v>2642</v>
      </c>
      <c r="C156" s="67" t="s">
        <v>2648</v>
      </c>
      <c r="D156" s="67" t="s">
        <v>13</v>
      </c>
      <c r="E156" s="68" t="s">
        <v>590</v>
      </c>
      <c r="F156" s="68" t="s">
        <v>2649</v>
      </c>
      <c r="G156" s="68" t="s">
        <v>2650</v>
      </c>
      <c r="H156" s="68" t="s">
        <v>2651</v>
      </c>
      <c r="I156" s="67" t="s">
        <v>2652</v>
      </c>
      <c r="J156" s="69" t="s">
        <v>1852</v>
      </c>
      <c r="K156" s="153"/>
    </row>
    <row r="157" spans="1:11" ht="43.2" x14ac:dyDescent="0.3">
      <c r="A157" s="66" t="s">
        <v>2653</v>
      </c>
      <c r="B157" s="67" t="s">
        <v>2642</v>
      </c>
      <c r="C157" s="67" t="s">
        <v>2654</v>
      </c>
      <c r="D157" s="67" t="s">
        <v>10</v>
      </c>
      <c r="E157" s="68" t="s">
        <v>37</v>
      </c>
      <c r="F157" s="68" t="s">
        <v>2655</v>
      </c>
      <c r="G157" s="68" t="s">
        <v>2656</v>
      </c>
      <c r="H157" s="68" t="s">
        <v>13747</v>
      </c>
      <c r="I157" s="67"/>
      <c r="J157" s="69" t="s">
        <v>1852</v>
      </c>
      <c r="K157" s="153"/>
    </row>
    <row r="158" spans="1:11" ht="43.2" x14ac:dyDescent="0.3">
      <c r="A158" s="66" t="s">
        <v>2657</v>
      </c>
      <c r="B158" s="67" t="s">
        <v>2642</v>
      </c>
      <c r="C158" s="67" t="s">
        <v>2658</v>
      </c>
      <c r="D158" s="67" t="s">
        <v>13</v>
      </c>
      <c r="E158" s="68" t="s">
        <v>37</v>
      </c>
      <c r="F158" s="68" t="s">
        <v>2659</v>
      </c>
      <c r="G158" s="68" t="s">
        <v>2660</v>
      </c>
      <c r="H158" s="68" t="s">
        <v>2661</v>
      </c>
      <c r="I158" s="67"/>
      <c r="J158" s="69" t="s">
        <v>1852</v>
      </c>
      <c r="K158" s="153"/>
    </row>
    <row r="159" spans="1:11" ht="28.8" x14ac:dyDescent="0.3">
      <c r="A159" s="66" t="s">
        <v>2662</v>
      </c>
      <c r="B159" s="67" t="s">
        <v>2642</v>
      </c>
      <c r="C159" s="67" t="s">
        <v>2663</v>
      </c>
      <c r="D159" s="67" t="s">
        <v>10</v>
      </c>
      <c r="E159" s="68" t="s">
        <v>542</v>
      </c>
      <c r="F159" s="68" t="s">
        <v>2664</v>
      </c>
      <c r="G159" s="68" t="s">
        <v>2665</v>
      </c>
      <c r="H159" s="68" t="s">
        <v>2666</v>
      </c>
      <c r="I159" s="67"/>
      <c r="J159" s="69" t="s">
        <v>1868</v>
      </c>
      <c r="K159" s="153"/>
    </row>
    <row r="160" spans="1:11" ht="28.8" x14ac:dyDescent="0.3">
      <c r="A160" s="66" t="s">
        <v>2667</v>
      </c>
      <c r="B160" s="67" t="s">
        <v>2642</v>
      </c>
      <c r="C160" s="67" t="s">
        <v>2668</v>
      </c>
      <c r="D160" s="67" t="s">
        <v>10</v>
      </c>
      <c r="E160" s="68" t="s">
        <v>547</v>
      </c>
      <c r="F160" s="68" t="s">
        <v>2664</v>
      </c>
      <c r="G160" s="68" t="s">
        <v>2669</v>
      </c>
      <c r="H160" s="68" t="s">
        <v>2670</v>
      </c>
      <c r="I160" s="67"/>
      <c r="J160" s="69" t="s">
        <v>1868</v>
      </c>
      <c r="K160" s="153"/>
    </row>
    <row r="161" spans="1:11" ht="72" x14ac:dyDescent="0.3">
      <c r="A161" s="66" t="s">
        <v>2671</v>
      </c>
      <c r="B161" s="67" t="s">
        <v>2642</v>
      </c>
      <c r="C161" s="67" t="s">
        <v>2672</v>
      </c>
      <c r="D161" s="67" t="s">
        <v>13</v>
      </c>
      <c r="E161" s="68" t="s">
        <v>1389</v>
      </c>
      <c r="F161" s="68" t="s">
        <v>2673</v>
      </c>
      <c r="G161" s="68" t="s">
        <v>2674</v>
      </c>
      <c r="H161" s="68" t="s">
        <v>2675</v>
      </c>
      <c r="I161" s="67"/>
      <c r="J161" s="69" t="s">
        <v>1852</v>
      </c>
      <c r="K161" s="153"/>
    </row>
    <row r="162" spans="1:11" ht="43.2" x14ac:dyDescent="0.3">
      <c r="A162" s="66" t="s">
        <v>2676</v>
      </c>
      <c r="B162" s="67" t="s">
        <v>2642</v>
      </c>
      <c r="C162" s="67" t="s">
        <v>2677</v>
      </c>
      <c r="D162" s="67" t="s">
        <v>13</v>
      </c>
      <c r="E162" s="68" t="s">
        <v>1392</v>
      </c>
      <c r="F162" s="68" t="s">
        <v>2678</v>
      </c>
      <c r="G162" s="68" t="s">
        <v>2679</v>
      </c>
      <c r="H162" s="68" t="s">
        <v>2680</v>
      </c>
      <c r="I162" s="67"/>
      <c r="J162" s="69" t="s">
        <v>1868</v>
      </c>
      <c r="K162" s="153"/>
    </row>
    <row r="163" spans="1:11" ht="43.2" x14ac:dyDescent="0.3">
      <c r="A163" s="66" t="s">
        <v>2681</v>
      </c>
      <c r="B163" s="67" t="s">
        <v>2642</v>
      </c>
      <c r="C163" s="67" t="s">
        <v>2682</v>
      </c>
      <c r="D163" s="67" t="s">
        <v>13</v>
      </c>
      <c r="E163" s="68" t="s">
        <v>1392</v>
      </c>
      <c r="F163" s="68" t="s">
        <v>2683</v>
      </c>
      <c r="G163" s="68" t="s">
        <v>2684</v>
      </c>
      <c r="H163" s="68" t="s">
        <v>2685</v>
      </c>
      <c r="I163" s="67"/>
      <c r="J163" s="69" t="s">
        <v>1868</v>
      </c>
      <c r="K163" s="153"/>
    </row>
    <row r="164" spans="1:11" ht="43.2" x14ac:dyDescent="0.3">
      <c r="A164" s="66" t="s">
        <v>2686</v>
      </c>
      <c r="B164" s="67" t="s">
        <v>2642</v>
      </c>
      <c r="C164" s="67" t="s">
        <v>2687</v>
      </c>
      <c r="D164" s="67" t="s">
        <v>13</v>
      </c>
      <c r="E164" s="68" t="s">
        <v>1392</v>
      </c>
      <c r="F164" s="68" t="s">
        <v>2688</v>
      </c>
      <c r="G164" s="68" t="s">
        <v>2689</v>
      </c>
      <c r="H164" s="68" t="s">
        <v>2690</v>
      </c>
      <c r="I164" s="67"/>
      <c r="J164" s="69" t="s">
        <v>1868</v>
      </c>
      <c r="K164" s="153"/>
    </row>
    <row r="165" spans="1:11" ht="28.8" x14ac:dyDescent="0.3">
      <c r="A165" s="66" t="s">
        <v>2691</v>
      </c>
      <c r="B165" s="67" t="s">
        <v>2642</v>
      </c>
      <c r="C165" s="67" t="s">
        <v>2692</v>
      </c>
      <c r="D165" s="67" t="s">
        <v>10</v>
      </c>
      <c r="E165" s="68" t="s">
        <v>1788</v>
      </c>
      <c r="F165" s="68" t="s">
        <v>2693</v>
      </c>
      <c r="G165" s="68" t="s">
        <v>2694</v>
      </c>
      <c r="H165" s="68" t="s">
        <v>2695</v>
      </c>
      <c r="I165" s="67"/>
      <c r="J165" s="69" t="s">
        <v>1868</v>
      </c>
      <c r="K165" s="166"/>
    </row>
    <row r="166" spans="1:11" x14ac:dyDescent="0.3">
      <c r="A166" s="66" t="s">
        <v>2696</v>
      </c>
      <c r="B166" s="67" t="s">
        <v>2642</v>
      </c>
      <c r="C166" s="67" t="s">
        <v>2697</v>
      </c>
      <c r="D166" s="67" t="s">
        <v>13</v>
      </c>
      <c r="E166" s="68" t="s">
        <v>49</v>
      </c>
      <c r="F166" s="68" t="s">
        <v>2698</v>
      </c>
      <c r="G166" s="68" t="s">
        <v>2699</v>
      </c>
      <c r="H166" s="68" t="s">
        <v>2700</v>
      </c>
      <c r="I166" s="67"/>
      <c r="J166" s="69" t="s">
        <v>1852</v>
      </c>
      <c r="K166" s="153"/>
    </row>
    <row r="167" spans="1:11" ht="28.8" x14ac:dyDescent="0.3">
      <c r="A167" s="66" t="s">
        <v>2701</v>
      </c>
      <c r="B167" s="67" t="s">
        <v>2642</v>
      </c>
      <c r="C167" s="67" t="s">
        <v>13036</v>
      </c>
      <c r="D167" s="67" t="s">
        <v>13</v>
      </c>
      <c r="E167" s="68" t="s">
        <v>13026</v>
      </c>
      <c r="F167" s="68" t="s">
        <v>2702</v>
      </c>
      <c r="G167" s="68" t="s">
        <v>2703</v>
      </c>
      <c r="H167" s="68" t="s">
        <v>13037</v>
      </c>
      <c r="I167" s="67"/>
      <c r="J167" s="69" t="s">
        <v>1868</v>
      </c>
      <c r="K167" s="153"/>
    </row>
    <row r="168" spans="1:11" ht="43.2" x14ac:dyDescent="0.3">
      <c r="A168" s="66" t="s">
        <v>2704</v>
      </c>
      <c r="B168" s="67" t="s">
        <v>2642</v>
      </c>
      <c r="C168" s="67" t="s">
        <v>2705</v>
      </c>
      <c r="D168" s="67" t="s">
        <v>10</v>
      </c>
      <c r="E168" s="68" t="s">
        <v>14</v>
      </c>
      <c r="F168" s="68" t="s">
        <v>2706</v>
      </c>
      <c r="G168" s="68" t="s">
        <v>2707</v>
      </c>
      <c r="H168" s="68" t="s">
        <v>2708</v>
      </c>
      <c r="I168" s="67"/>
      <c r="J168" s="69" t="s">
        <v>1868</v>
      </c>
      <c r="K168" s="153"/>
    </row>
    <row r="169" spans="1:11" ht="43.2" x14ac:dyDescent="0.3">
      <c r="A169" s="70" t="s">
        <v>2709</v>
      </c>
      <c r="B169" s="71" t="s">
        <v>2710</v>
      </c>
      <c r="C169" s="71" t="s">
        <v>13038</v>
      </c>
      <c r="D169" s="71" t="s">
        <v>13</v>
      </c>
      <c r="E169" s="72" t="s">
        <v>13026</v>
      </c>
      <c r="F169" s="72" t="s">
        <v>2711</v>
      </c>
      <c r="G169" s="72" t="s">
        <v>2712</v>
      </c>
      <c r="H169" s="72" t="s">
        <v>13039</v>
      </c>
      <c r="I169" s="71"/>
      <c r="J169" s="73" t="s">
        <v>1852</v>
      </c>
      <c r="K169" s="164"/>
    </row>
    <row r="170" spans="1:11" ht="43.2" x14ac:dyDescent="0.3">
      <c r="A170" s="70" t="s">
        <v>2713</v>
      </c>
      <c r="B170" s="71" t="s">
        <v>2710</v>
      </c>
      <c r="C170" s="71" t="s">
        <v>2714</v>
      </c>
      <c r="D170" s="71" t="s">
        <v>13</v>
      </c>
      <c r="E170" s="72" t="s">
        <v>13026</v>
      </c>
      <c r="F170" s="72" t="s">
        <v>2715</v>
      </c>
      <c r="G170" s="72" t="s">
        <v>2716</v>
      </c>
      <c r="H170" s="72" t="s">
        <v>2717</v>
      </c>
      <c r="I170" s="71"/>
      <c r="J170" s="73" t="s">
        <v>1852</v>
      </c>
      <c r="K170" s="153"/>
    </row>
    <row r="171" spans="1:11" ht="28.8" x14ac:dyDescent="0.3">
      <c r="A171" s="70" t="s">
        <v>2718</v>
      </c>
      <c r="B171" s="71" t="s">
        <v>2710</v>
      </c>
      <c r="C171" s="71" t="s">
        <v>2719</v>
      </c>
      <c r="D171" s="71" t="s">
        <v>13</v>
      </c>
      <c r="E171" s="72" t="s">
        <v>13026</v>
      </c>
      <c r="F171" s="72" t="s">
        <v>2720</v>
      </c>
      <c r="G171" s="72" t="s">
        <v>2721</v>
      </c>
      <c r="H171" s="72" t="s">
        <v>2722</v>
      </c>
      <c r="I171" s="71"/>
      <c r="J171" s="73" t="s">
        <v>1852</v>
      </c>
      <c r="K171" s="153"/>
    </row>
    <row r="172" spans="1:11" ht="28.8" x14ac:dyDescent="0.3">
      <c r="A172" s="70" t="s">
        <v>2723</v>
      </c>
      <c r="B172" s="71" t="s">
        <v>2710</v>
      </c>
      <c r="C172" s="71" t="s">
        <v>2724</v>
      </c>
      <c r="D172" s="71" t="s">
        <v>13</v>
      </c>
      <c r="E172" s="72" t="s">
        <v>716</v>
      </c>
      <c r="F172" s="72" t="s">
        <v>2725</v>
      </c>
      <c r="G172" s="72" t="s">
        <v>2726</v>
      </c>
      <c r="H172" s="72" t="s">
        <v>2727</v>
      </c>
      <c r="I172" s="71"/>
      <c r="J172" s="73" t="s">
        <v>1852</v>
      </c>
      <c r="K172" s="153"/>
    </row>
    <row r="173" spans="1:11" ht="28.8" x14ac:dyDescent="0.3">
      <c r="A173" s="70" t="s">
        <v>2728</v>
      </c>
      <c r="B173" s="71" t="s">
        <v>2710</v>
      </c>
      <c r="C173" s="71" t="s">
        <v>13040</v>
      </c>
      <c r="D173" s="71" t="s">
        <v>13</v>
      </c>
      <c r="E173" s="72" t="s">
        <v>13026</v>
      </c>
      <c r="F173" s="72" t="s">
        <v>2729</v>
      </c>
      <c r="G173" s="72" t="s">
        <v>2730</v>
      </c>
      <c r="H173" s="72" t="s">
        <v>13041</v>
      </c>
      <c r="I173" s="71"/>
      <c r="J173" s="73" t="s">
        <v>1852</v>
      </c>
      <c r="K173" s="153"/>
    </row>
    <row r="174" spans="1:11" ht="28.8" x14ac:dyDescent="0.3">
      <c r="A174" s="70" t="s">
        <v>2731</v>
      </c>
      <c r="B174" s="71" t="s">
        <v>2710</v>
      </c>
      <c r="C174" s="71" t="s">
        <v>2732</v>
      </c>
      <c r="D174" s="71" t="s">
        <v>13</v>
      </c>
      <c r="E174" s="72" t="s">
        <v>746</v>
      </c>
      <c r="F174" s="72" t="s">
        <v>2733</v>
      </c>
      <c r="G174" s="72" t="s">
        <v>2734</v>
      </c>
      <c r="H174" s="72" t="s">
        <v>2735</v>
      </c>
      <c r="I174" s="71"/>
      <c r="J174" s="73" t="s">
        <v>1852</v>
      </c>
      <c r="K174" s="153"/>
    </row>
    <row r="175" spans="1:11" ht="43.2" x14ac:dyDescent="0.3">
      <c r="A175" s="70" t="s">
        <v>2736</v>
      </c>
      <c r="B175" s="71" t="s">
        <v>2710</v>
      </c>
      <c r="C175" s="71" t="s">
        <v>2737</v>
      </c>
      <c r="D175" s="71" t="s">
        <v>13</v>
      </c>
      <c r="E175" s="72" t="s">
        <v>709</v>
      </c>
      <c r="F175" s="72" t="s">
        <v>2738</v>
      </c>
      <c r="G175" s="72" t="s">
        <v>2739</v>
      </c>
      <c r="H175" s="72" t="s">
        <v>2740</v>
      </c>
      <c r="I175" s="71"/>
      <c r="J175" s="73" t="s">
        <v>1852</v>
      </c>
      <c r="K175" s="153"/>
    </row>
    <row r="176" spans="1:11" ht="43.2" x14ac:dyDescent="0.3">
      <c r="A176" s="70" t="s">
        <v>2741</v>
      </c>
      <c r="B176" s="71" t="s">
        <v>2710</v>
      </c>
      <c r="C176" s="71" t="s">
        <v>2742</v>
      </c>
      <c r="D176" s="71" t="s">
        <v>10</v>
      </c>
      <c r="E176" s="72" t="s">
        <v>726</v>
      </c>
      <c r="F176" s="72" t="s">
        <v>2743</v>
      </c>
      <c r="G176" s="72" t="s">
        <v>2744</v>
      </c>
      <c r="H176" s="72" t="s">
        <v>2745</v>
      </c>
      <c r="I176" s="71"/>
      <c r="J176" s="73" t="s">
        <v>1852</v>
      </c>
      <c r="K176" s="153"/>
    </row>
    <row r="177" spans="1:11" ht="43.2" x14ac:dyDescent="0.3">
      <c r="A177" s="70" t="s">
        <v>2746</v>
      </c>
      <c r="B177" s="71" t="s">
        <v>2710</v>
      </c>
      <c r="C177" s="71" t="s">
        <v>2747</v>
      </c>
      <c r="D177" s="71" t="s">
        <v>13</v>
      </c>
      <c r="E177" s="72" t="s">
        <v>726</v>
      </c>
      <c r="F177" s="72" t="s">
        <v>2748</v>
      </c>
      <c r="G177" s="72" t="s">
        <v>2744</v>
      </c>
      <c r="H177" s="72" t="s">
        <v>2749</v>
      </c>
      <c r="I177" s="71"/>
      <c r="J177" s="73" t="s">
        <v>1868</v>
      </c>
      <c r="K177" s="153"/>
    </row>
    <row r="178" spans="1:11" ht="28.8" x14ac:dyDescent="0.3">
      <c r="A178" s="70" t="s">
        <v>2750</v>
      </c>
      <c r="B178" s="71" t="s">
        <v>2710</v>
      </c>
      <c r="C178" s="71" t="s">
        <v>2751</v>
      </c>
      <c r="D178" s="71" t="s">
        <v>13</v>
      </c>
      <c r="E178" s="72" t="s">
        <v>731</v>
      </c>
      <c r="F178" s="72" t="s">
        <v>2752</v>
      </c>
      <c r="G178" s="72" t="s">
        <v>2753</v>
      </c>
      <c r="H178" s="72" t="s">
        <v>2754</v>
      </c>
      <c r="I178" s="71" t="s">
        <v>2755</v>
      </c>
      <c r="J178" s="73" t="s">
        <v>1852</v>
      </c>
      <c r="K178" s="153"/>
    </row>
    <row r="179" spans="1:11" ht="43.2" x14ac:dyDescent="0.3">
      <c r="A179" s="70" t="s">
        <v>2756</v>
      </c>
      <c r="B179" s="71" t="s">
        <v>2710</v>
      </c>
      <c r="C179" s="71" t="s">
        <v>2757</v>
      </c>
      <c r="D179" s="71" t="s">
        <v>13</v>
      </c>
      <c r="E179" s="72" t="s">
        <v>736</v>
      </c>
      <c r="F179" s="72" t="s">
        <v>2758</v>
      </c>
      <c r="G179" s="72" t="s">
        <v>2759</v>
      </c>
      <c r="H179" s="72" t="s">
        <v>2760</v>
      </c>
      <c r="I179" s="71"/>
      <c r="J179" s="73" t="s">
        <v>1868</v>
      </c>
      <c r="K179" s="153"/>
    </row>
    <row r="180" spans="1:11" ht="28.8" x14ac:dyDescent="0.3">
      <c r="A180" s="70" t="s">
        <v>2761</v>
      </c>
      <c r="B180" s="71" t="s">
        <v>2710</v>
      </c>
      <c r="C180" s="71" t="s">
        <v>2762</v>
      </c>
      <c r="D180" s="71" t="s">
        <v>13</v>
      </c>
      <c r="E180" s="72" t="s">
        <v>741</v>
      </c>
      <c r="F180" s="72" t="s">
        <v>2763</v>
      </c>
      <c r="G180" s="72" t="s">
        <v>2764</v>
      </c>
      <c r="H180" s="72" t="s">
        <v>2765</v>
      </c>
      <c r="I180" s="71"/>
      <c r="J180" s="73" t="s">
        <v>1868</v>
      </c>
      <c r="K180" s="153"/>
    </row>
    <row r="181" spans="1:11" ht="28.8" x14ac:dyDescent="0.3">
      <c r="A181" s="70" t="s">
        <v>2766</v>
      </c>
      <c r="B181" s="71" t="s">
        <v>2710</v>
      </c>
      <c r="C181" s="71" t="s">
        <v>2767</v>
      </c>
      <c r="D181" s="71" t="s">
        <v>13</v>
      </c>
      <c r="E181" s="72" t="s">
        <v>751</v>
      </c>
      <c r="F181" s="72" t="s">
        <v>2768</v>
      </c>
      <c r="G181" s="72" t="s">
        <v>2769</v>
      </c>
      <c r="H181" s="72" t="s">
        <v>2770</v>
      </c>
      <c r="I181" s="71"/>
      <c r="J181" s="73" t="s">
        <v>1852</v>
      </c>
      <c r="K181" s="153"/>
    </row>
    <row r="182" spans="1:11" ht="28.8" x14ac:dyDescent="0.3">
      <c r="A182" s="70" t="s">
        <v>2771</v>
      </c>
      <c r="B182" s="71" t="s">
        <v>2710</v>
      </c>
      <c r="C182" s="71" t="s">
        <v>2772</v>
      </c>
      <c r="D182" s="71" t="s">
        <v>13</v>
      </c>
      <c r="E182" s="72" t="s">
        <v>716</v>
      </c>
      <c r="F182" s="72" t="s">
        <v>2773</v>
      </c>
      <c r="G182" s="72" t="s">
        <v>2774</v>
      </c>
      <c r="H182" s="72" t="s">
        <v>2775</v>
      </c>
      <c r="I182" s="71" t="s">
        <v>2776</v>
      </c>
      <c r="J182" s="73" t="s">
        <v>1852</v>
      </c>
      <c r="K182" s="153"/>
    </row>
    <row r="183" spans="1:11" ht="28.8" x14ac:dyDescent="0.3">
      <c r="A183" s="70" t="s">
        <v>2777</v>
      </c>
      <c r="B183" s="71" t="s">
        <v>2710</v>
      </c>
      <c r="C183" s="71" t="s">
        <v>2778</v>
      </c>
      <c r="D183" s="71" t="s">
        <v>13</v>
      </c>
      <c r="E183" s="72" t="s">
        <v>716</v>
      </c>
      <c r="F183" s="72" t="s">
        <v>2779</v>
      </c>
      <c r="G183" s="72" t="s">
        <v>2780</v>
      </c>
      <c r="H183" s="72" t="s">
        <v>2781</v>
      </c>
      <c r="I183" s="71"/>
      <c r="J183" s="73" t="s">
        <v>1852</v>
      </c>
      <c r="K183" s="153"/>
    </row>
    <row r="184" spans="1:11" ht="43.2" x14ac:dyDescent="0.3">
      <c r="A184" s="70" t="s">
        <v>2782</v>
      </c>
      <c r="B184" s="71" t="s">
        <v>2710</v>
      </c>
      <c r="C184" s="71" t="s">
        <v>2783</v>
      </c>
      <c r="D184" s="71" t="s">
        <v>13</v>
      </c>
      <c r="E184" s="72" t="s">
        <v>714</v>
      </c>
      <c r="F184" s="72" t="s">
        <v>2784</v>
      </c>
      <c r="G184" s="72" t="s">
        <v>2785</v>
      </c>
      <c r="H184" s="72" t="s">
        <v>2786</v>
      </c>
      <c r="I184" s="71"/>
      <c r="J184" s="73" t="s">
        <v>1868</v>
      </c>
      <c r="K184" s="153"/>
    </row>
    <row r="185" spans="1:11" ht="28.8" x14ac:dyDescent="0.3">
      <c r="A185" s="70" t="s">
        <v>2787</v>
      </c>
      <c r="B185" s="71" t="s">
        <v>2710</v>
      </c>
      <c r="C185" s="71" t="s">
        <v>2788</v>
      </c>
      <c r="D185" s="71" t="s">
        <v>13</v>
      </c>
      <c r="E185" s="72" t="s">
        <v>176</v>
      </c>
      <c r="F185" s="72" t="s">
        <v>2789</v>
      </c>
      <c r="G185" s="72" t="s">
        <v>2790</v>
      </c>
      <c r="H185" s="72" t="s">
        <v>2791</v>
      </c>
      <c r="I185" s="71"/>
      <c r="J185" s="73" t="s">
        <v>1852</v>
      </c>
      <c r="K185" s="153"/>
    </row>
    <row r="186" spans="1:11" ht="28.8" x14ac:dyDescent="0.3">
      <c r="A186" s="70" t="s">
        <v>2792</v>
      </c>
      <c r="B186" s="71" t="s">
        <v>2710</v>
      </c>
      <c r="C186" s="71" t="s">
        <v>2793</v>
      </c>
      <c r="D186" s="71" t="s">
        <v>13</v>
      </c>
      <c r="E186" s="72" t="s">
        <v>804</v>
      </c>
      <c r="F186" s="72" t="s">
        <v>2794</v>
      </c>
      <c r="G186" s="72" t="s">
        <v>2795</v>
      </c>
      <c r="H186" s="72" t="s">
        <v>2796</v>
      </c>
      <c r="I186" s="71"/>
      <c r="J186" s="73" t="s">
        <v>1852</v>
      </c>
      <c r="K186" s="153"/>
    </row>
    <row r="187" spans="1:11" ht="28.8" x14ac:dyDescent="0.3">
      <c r="A187" s="54" t="s">
        <v>2797</v>
      </c>
      <c r="B187" s="55" t="s">
        <v>2798</v>
      </c>
      <c r="C187" s="55" t="s">
        <v>2799</v>
      </c>
      <c r="D187" s="55" t="s">
        <v>13</v>
      </c>
      <c r="E187" s="56" t="s">
        <v>842</v>
      </c>
      <c r="F187" s="56" t="s">
        <v>2800</v>
      </c>
      <c r="G187" s="56" t="s">
        <v>2801</v>
      </c>
      <c r="H187" s="56" t="s">
        <v>2802</v>
      </c>
      <c r="I187" s="55"/>
      <c r="J187" s="57" t="s">
        <v>1852</v>
      </c>
      <c r="K187" s="153"/>
    </row>
    <row r="188" spans="1:11" ht="28.8" x14ac:dyDescent="0.3">
      <c r="A188" s="54" t="s">
        <v>2803</v>
      </c>
      <c r="B188" s="55" t="s">
        <v>2798</v>
      </c>
      <c r="C188" s="55" t="s">
        <v>2804</v>
      </c>
      <c r="D188" s="55" t="s">
        <v>13</v>
      </c>
      <c r="E188" s="56" t="s">
        <v>845</v>
      </c>
      <c r="F188" s="56" t="s">
        <v>2805</v>
      </c>
      <c r="G188" s="56" t="s">
        <v>2806</v>
      </c>
      <c r="H188" s="56" t="s">
        <v>2807</v>
      </c>
      <c r="I188" s="55"/>
      <c r="J188" s="57" t="s">
        <v>1852</v>
      </c>
      <c r="K188" s="153"/>
    </row>
    <row r="189" spans="1:11" ht="28.8" x14ac:dyDescent="0.3">
      <c r="A189" s="54" t="s">
        <v>2808</v>
      </c>
      <c r="B189" s="55" t="s">
        <v>2798</v>
      </c>
      <c r="C189" s="55" t="s">
        <v>2809</v>
      </c>
      <c r="D189" s="55" t="s">
        <v>13</v>
      </c>
      <c r="E189" s="56" t="s">
        <v>845</v>
      </c>
      <c r="F189" s="56" t="s">
        <v>2810</v>
      </c>
      <c r="G189" s="56" t="s">
        <v>2811</v>
      </c>
      <c r="H189" s="56" t="s">
        <v>2812</v>
      </c>
      <c r="I189" s="55"/>
      <c r="J189" s="57" t="s">
        <v>1868</v>
      </c>
      <c r="K189" s="153"/>
    </row>
    <row r="190" spans="1:11" ht="28.8" x14ac:dyDescent="0.3">
      <c r="A190" s="54" t="s">
        <v>2813</v>
      </c>
      <c r="B190" s="55" t="s">
        <v>2798</v>
      </c>
      <c r="C190" s="55" t="s">
        <v>2814</v>
      </c>
      <c r="D190" s="55" t="s">
        <v>13</v>
      </c>
      <c r="E190" s="56" t="s">
        <v>850</v>
      </c>
      <c r="F190" s="56" t="s">
        <v>2815</v>
      </c>
      <c r="G190" s="56" t="s">
        <v>2816</v>
      </c>
      <c r="H190" s="56" t="s">
        <v>2817</v>
      </c>
      <c r="I190" s="55"/>
      <c r="J190" s="57" t="s">
        <v>1868</v>
      </c>
      <c r="K190" s="153"/>
    </row>
    <row r="191" spans="1:11" ht="28.8" x14ac:dyDescent="0.3">
      <c r="A191" s="54" t="s">
        <v>2818</v>
      </c>
      <c r="B191" s="55" t="s">
        <v>2798</v>
      </c>
      <c r="C191" s="55" t="s">
        <v>2819</v>
      </c>
      <c r="D191" s="55" t="s">
        <v>13</v>
      </c>
      <c r="E191" s="56" t="s">
        <v>850</v>
      </c>
      <c r="F191" s="56" t="s">
        <v>2820</v>
      </c>
      <c r="G191" s="56" t="s">
        <v>2821</v>
      </c>
      <c r="H191" s="56" t="s">
        <v>2822</v>
      </c>
      <c r="I191" s="55" t="s">
        <v>2823</v>
      </c>
      <c r="J191" s="57" t="s">
        <v>1868</v>
      </c>
      <c r="K191" s="153"/>
    </row>
    <row r="192" spans="1:11" ht="28.8" x14ac:dyDescent="0.3">
      <c r="A192" s="54" t="s">
        <v>2824</v>
      </c>
      <c r="B192" s="55" t="s">
        <v>2798</v>
      </c>
      <c r="C192" s="55" t="s">
        <v>2825</v>
      </c>
      <c r="D192" s="55" t="s">
        <v>13</v>
      </c>
      <c r="E192" s="56" t="s">
        <v>854</v>
      </c>
      <c r="F192" s="56" t="s">
        <v>2826</v>
      </c>
      <c r="G192" s="56" t="s">
        <v>2827</v>
      </c>
      <c r="H192" s="56" t="s">
        <v>2828</v>
      </c>
      <c r="I192" s="55"/>
      <c r="J192" s="57" t="s">
        <v>1868</v>
      </c>
      <c r="K192" s="153"/>
    </row>
    <row r="193" spans="1:11" ht="28.8" x14ac:dyDescent="0.3">
      <c r="A193" s="54" t="s">
        <v>2829</v>
      </c>
      <c r="B193" s="55" t="s">
        <v>2798</v>
      </c>
      <c r="C193" s="55" t="s">
        <v>2830</v>
      </c>
      <c r="D193" s="55" t="s">
        <v>13</v>
      </c>
      <c r="E193" s="56" t="s">
        <v>854</v>
      </c>
      <c r="F193" s="56" t="s">
        <v>2831</v>
      </c>
      <c r="G193" s="56" t="s">
        <v>2827</v>
      </c>
      <c r="H193" s="56" t="s">
        <v>2832</v>
      </c>
      <c r="I193" s="55"/>
      <c r="J193" s="57" t="s">
        <v>1868</v>
      </c>
      <c r="K193" s="153"/>
    </row>
    <row r="194" spans="1:11" ht="28.8" x14ac:dyDescent="0.3">
      <c r="A194" s="54" t="s">
        <v>2833</v>
      </c>
      <c r="B194" s="55" t="s">
        <v>2798</v>
      </c>
      <c r="C194" s="55" t="s">
        <v>2834</v>
      </c>
      <c r="D194" s="55" t="s">
        <v>13</v>
      </c>
      <c r="E194" s="56" t="s">
        <v>862</v>
      </c>
      <c r="F194" s="56" t="s">
        <v>2835</v>
      </c>
      <c r="G194" s="56" t="s">
        <v>2836</v>
      </c>
      <c r="H194" s="56" t="s">
        <v>2837</v>
      </c>
      <c r="I194" s="55"/>
      <c r="J194" s="57" t="s">
        <v>1868</v>
      </c>
      <c r="K194" s="153"/>
    </row>
    <row r="195" spans="1:11" ht="28.8" x14ac:dyDescent="0.3">
      <c r="A195" s="54" t="s">
        <v>2838</v>
      </c>
      <c r="B195" s="55" t="s">
        <v>2798</v>
      </c>
      <c r="C195" s="55" t="s">
        <v>2839</v>
      </c>
      <c r="D195" s="55" t="s">
        <v>13</v>
      </c>
      <c r="E195" s="56" t="s">
        <v>867</v>
      </c>
      <c r="F195" s="56" t="s">
        <v>2840</v>
      </c>
      <c r="G195" s="56" t="s">
        <v>2841</v>
      </c>
      <c r="H195" s="56" t="s">
        <v>2842</v>
      </c>
      <c r="I195" s="55" t="s">
        <v>2843</v>
      </c>
      <c r="J195" s="57" t="s">
        <v>1868</v>
      </c>
      <c r="K195" s="153"/>
    </row>
    <row r="196" spans="1:11" ht="28.8" x14ac:dyDescent="0.3">
      <c r="A196" s="54" t="s">
        <v>2844</v>
      </c>
      <c r="B196" s="55" t="s">
        <v>2798</v>
      </c>
      <c r="C196" s="55" t="s">
        <v>2845</v>
      </c>
      <c r="D196" s="55" t="s">
        <v>13</v>
      </c>
      <c r="E196" s="56" t="s">
        <v>872</v>
      </c>
      <c r="F196" s="56" t="s">
        <v>2846</v>
      </c>
      <c r="G196" s="56" t="s">
        <v>2847</v>
      </c>
      <c r="H196" s="56" t="s">
        <v>2848</v>
      </c>
      <c r="I196" s="55"/>
      <c r="J196" s="57" t="s">
        <v>1852</v>
      </c>
      <c r="K196" s="153"/>
    </row>
    <row r="197" spans="1:11" ht="28.8" x14ac:dyDescent="0.3">
      <c r="A197" s="54" t="s">
        <v>2849</v>
      </c>
      <c r="B197" s="55" t="s">
        <v>2798</v>
      </c>
      <c r="C197" s="55" t="s">
        <v>2850</v>
      </c>
      <c r="D197" s="55" t="s">
        <v>13</v>
      </c>
      <c r="E197" s="56" t="s">
        <v>2851</v>
      </c>
      <c r="F197" s="56" t="s">
        <v>2852</v>
      </c>
      <c r="G197" s="56" t="s">
        <v>2853</v>
      </c>
      <c r="H197" s="56" t="s">
        <v>2854</v>
      </c>
      <c r="I197" s="55" t="s">
        <v>2855</v>
      </c>
      <c r="J197" s="57" t="s">
        <v>1868</v>
      </c>
      <c r="K197" s="153"/>
    </row>
    <row r="198" spans="1:11" ht="28.8" x14ac:dyDescent="0.3">
      <c r="A198" s="54" t="s">
        <v>2856</v>
      </c>
      <c r="B198" s="55" t="s">
        <v>2798</v>
      </c>
      <c r="C198" s="55" t="s">
        <v>2857</v>
      </c>
      <c r="D198" s="55" t="s">
        <v>13</v>
      </c>
      <c r="E198" s="56" t="s">
        <v>882</v>
      </c>
      <c r="F198" s="56" t="s">
        <v>2858</v>
      </c>
      <c r="G198" s="56" t="s">
        <v>2859</v>
      </c>
      <c r="H198" s="56" t="s">
        <v>2860</v>
      </c>
      <c r="I198" s="55"/>
      <c r="J198" s="57" t="s">
        <v>1868</v>
      </c>
      <c r="K198" s="153"/>
    </row>
    <row r="199" spans="1:11" ht="28.8" x14ac:dyDescent="0.3">
      <c r="A199" s="54" t="s">
        <v>2861</v>
      </c>
      <c r="B199" s="55" t="s">
        <v>2798</v>
      </c>
      <c r="C199" s="55" t="s">
        <v>2862</v>
      </c>
      <c r="D199" s="55" t="s">
        <v>13</v>
      </c>
      <c r="E199" s="56" t="s">
        <v>2863</v>
      </c>
      <c r="F199" s="56" t="s">
        <v>2864</v>
      </c>
      <c r="G199" s="56" t="s">
        <v>2865</v>
      </c>
      <c r="H199" s="56" t="s">
        <v>2866</v>
      </c>
      <c r="I199" s="55"/>
      <c r="J199" s="57" t="s">
        <v>1868</v>
      </c>
      <c r="K199" s="153"/>
    </row>
    <row r="200" spans="1:11" ht="28.8" x14ac:dyDescent="0.3">
      <c r="A200" s="54" t="s">
        <v>2867</v>
      </c>
      <c r="B200" s="55" t="s">
        <v>2798</v>
      </c>
      <c r="C200" s="55" t="s">
        <v>2868</v>
      </c>
      <c r="D200" s="55" t="s">
        <v>13</v>
      </c>
      <c r="E200" s="56" t="s">
        <v>891</v>
      </c>
      <c r="F200" s="56" t="s">
        <v>2869</v>
      </c>
      <c r="G200" s="56" t="s">
        <v>2870</v>
      </c>
      <c r="H200" s="56" t="s">
        <v>2871</v>
      </c>
      <c r="I200" s="55"/>
      <c r="J200" s="57" t="s">
        <v>1868</v>
      </c>
      <c r="K200" s="153"/>
    </row>
    <row r="201" spans="1:11" ht="28.8" x14ac:dyDescent="0.3">
      <c r="A201" s="54" t="s">
        <v>2872</v>
      </c>
      <c r="B201" s="55" t="s">
        <v>2798</v>
      </c>
      <c r="C201" s="55" t="s">
        <v>2873</v>
      </c>
      <c r="D201" s="55" t="s">
        <v>13</v>
      </c>
      <c r="E201" s="56" t="s">
        <v>49</v>
      </c>
      <c r="F201" s="56" t="s">
        <v>2875</v>
      </c>
      <c r="G201" s="56" t="s">
        <v>2876</v>
      </c>
      <c r="H201" s="56" t="s">
        <v>13877</v>
      </c>
      <c r="I201" s="55"/>
      <c r="J201" s="57" t="s">
        <v>1852</v>
      </c>
      <c r="K201" s="153" t="s">
        <v>13573</v>
      </c>
    </row>
    <row r="202" spans="1:11" ht="43.2" x14ac:dyDescent="0.3">
      <c r="A202" s="54" t="s">
        <v>2877</v>
      </c>
      <c r="B202" s="55" t="s">
        <v>2798</v>
      </c>
      <c r="C202" s="55" t="s">
        <v>2878</v>
      </c>
      <c r="D202" s="55" t="s">
        <v>13</v>
      </c>
      <c r="E202" s="56" t="s">
        <v>842</v>
      </c>
      <c r="F202" s="56" t="s">
        <v>2880</v>
      </c>
      <c r="G202" s="56" t="s">
        <v>2881</v>
      </c>
      <c r="H202" s="56" t="s">
        <v>13878</v>
      </c>
      <c r="I202" s="55"/>
      <c r="J202" s="57" t="s">
        <v>1852</v>
      </c>
      <c r="K202" s="153" t="s">
        <v>13574</v>
      </c>
    </row>
    <row r="203" spans="1:11" ht="57.6" x14ac:dyDescent="0.3">
      <c r="A203" s="58" t="s">
        <v>2882</v>
      </c>
      <c r="B203" s="59" t="s">
        <v>2883</v>
      </c>
      <c r="C203" s="59" t="s">
        <v>2884</v>
      </c>
      <c r="D203" s="59" t="s">
        <v>13</v>
      </c>
      <c r="E203" s="60" t="s">
        <v>799</v>
      </c>
      <c r="F203" s="60" t="s">
        <v>2885</v>
      </c>
      <c r="G203" s="60" t="s">
        <v>2886</v>
      </c>
      <c r="H203" s="60" t="s">
        <v>2887</v>
      </c>
      <c r="I203" s="59"/>
      <c r="J203" s="61" t="s">
        <v>1852</v>
      </c>
      <c r="K203" s="153"/>
    </row>
    <row r="204" spans="1:11" ht="28.8" x14ac:dyDescent="0.3">
      <c r="A204" s="58" t="s">
        <v>2888</v>
      </c>
      <c r="B204" s="59" t="s">
        <v>2883</v>
      </c>
      <c r="C204" s="59" t="s">
        <v>2889</v>
      </c>
      <c r="D204" s="59" t="s">
        <v>13</v>
      </c>
      <c r="E204" s="60" t="s">
        <v>804</v>
      </c>
      <c r="F204" s="60" t="s">
        <v>2890</v>
      </c>
      <c r="G204" s="60" t="s">
        <v>2891</v>
      </c>
      <c r="H204" s="60" t="s">
        <v>2892</v>
      </c>
      <c r="I204" s="59"/>
      <c r="J204" s="61" t="s">
        <v>1852</v>
      </c>
      <c r="K204" s="153"/>
    </row>
    <row r="205" spans="1:11" ht="28.8" x14ac:dyDescent="0.3">
      <c r="A205" s="58" t="s">
        <v>2893</v>
      </c>
      <c r="B205" s="59" t="s">
        <v>2883</v>
      </c>
      <c r="C205" s="59" t="s">
        <v>38</v>
      </c>
      <c r="D205" s="59" t="s">
        <v>10</v>
      </c>
      <c r="E205" s="60" t="s">
        <v>13403</v>
      </c>
      <c r="F205" s="60" t="s">
        <v>2894</v>
      </c>
      <c r="G205" s="60" t="s">
        <v>2895</v>
      </c>
      <c r="H205" s="60" t="s">
        <v>2896</v>
      </c>
      <c r="I205" s="59"/>
      <c r="J205" s="61" t="s">
        <v>1852</v>
      </c>
      <c r="K205" s="153"/>
    </row>
    <row r="206" spans="1:11" ht="28.8" x14ac:dyDescent="0.3">
      <c r="A206" s="58" t="s">
        <v>2897</v>
      </c>
      <c r="B206" s="59" t="s">
        <v>2883</v>
      </c>
      <c r="C206" s="59" t="s">
        <v>2898</v>
      </c>
      <c r="D206" s="59" t="s">
        <v>13</v>
      </c>
      <c r="E206" s="60" t="s">
        <v>804</v>
      </c>
      <c r="F206" s="60" t="s">
        <v>2899</v>
      </c>
      <c r="G206" s="60" t="s">
        <v>2900</v>
      </c>
      <c r="H206" s="60" t="s">
        <v>13042</v>
      </c>
      <c r="I206" s="59"/>
      <c r="J206" s="61" t="s">
        <v>1852</v>
      </c>
      <c r="K206" s="153"/>
    </row>
    <row r="207" spans="1:11" ht="28.8" x14ac:dyDescent="0.3">
      <c r="A207" s="58" t="s">
        <v>2901</v>
      </c>
      <c r="B207" s="59" t="s">
        <v>2883</v>
      </c>
      <c r="C207" s="59" t="s">
        <v>2902</v>
      </c>
      <c r="D207" s="59" t="s">
        <v>13</v>
      </c>
      <c r="E207" s="60" t="s">
        <v>808</v>
      </c>
      <c r="F207" s="60" t="s">
        <v>2903</v>
      </c>
      <c r="G207" s="60" t="s">
        <v>2904</v>
      </c>
      <c r="H207" s="60" t="s">
        <v>2905</v>
      </c>
      <c r="I207" s="59"/>
      <c r="J207" s="61" t="s">
        <v>1852</v>
      </c>
      <c r="K207" s="153"/>
    </row>
    <row r="208" spans="1:11" ht="28.8" x14ac:dyDescent="0.3">
      <c r="A208" s="58" t="s">
        <v>2906</v>
      </c>
      <c r="B208" s="59" t="s">
        <v>2883</v>
      </c>
      <c r="C208" s="59" t="s">
        <v>2907</v>
      </c>
      <c r="D208" s="59" t="s">
        <v>13</v>
      </c>
      <c r="E208" s="60" t="s">
        <v>808</v>
      </c>
      <c r="F208" s="60" t="s">
        <v>2908</v>
      </c>
      <c r="G208" s="60" t="s">
        <v>2909</v>
      </c>
      <c r="H208" s="60" t="s">
        <v>2910</v>
      </c>
      <c r="I208" s="59"/>
      <c r="J208" s="61" t="s">
        <v>1868</v>
      </c>
      <c r="K208" s="153"/>
    </row>
    <row r="209" spans="1:11" ht="43.2" x14ac:dyDescent="0.3">
      <c r="A209" s="58" t="s">
        <v>2911</v>
      </c>
      <c r="B209" s="59" t="s">
        <v>2883</v>
      </c>
      <c r="C209" s="59" t="s">
        <v>2912</v>
      </c>
      <c r="D209" s="59" t="s">
        <v>13</v>
      </c>
      <c r="E209" s="60" t="s">
        <v>812</v>
      </c>
      <c r="F209" s="60" t="s">
        <v>2913</v>
      </c>
      <c r="G209" s="60" t="s">
        <v>2914</v>
      </c>
      <c r="H209" s="60" t="s">
        <v>2915</v>
      </c>
      <c r="I209" s="59"/>
      <c r="J209" s="61" t="s">
        <v>1868</v>
      </c>
      <c r="K209" s="153"/>
    </row>
    <row r="210" spans="1:11" ht="43.2" x14ac:dyDescent="0.3">
      <c r="A210" s="58" t="s">
        <v>2916</v>
      </c>
      <c r="B210" s="59" t="s">
        <v>2883</v>
      </c>
      <c r="C210" s="59" t="s">
        <v>2917</v>
      </c>
      <c r="D210" s="59" t="s">
        <v>13</v>
      </c>
      <c r="E210" s="60" t="s">
        <v>816</v>
      </c>
      <c r="F210" s="60" t="s">
        <v>2918</v>
      </c>
      <c r="G210" s="60" t="s">
        <v>2919</v>
      </c>
      <c r="H210" s="60" t="s">
        <v>2920</v>
      </c>
      <c r="I210" s="59"/>
      <c r="J210" s="61" t="s">
        <v>1868</v>
      </c>
      <c r="K210" s="153"/>
    </row>
    <row r="211" spans="1:11" x14ac:dyDescent="0.3">
      <c r="A211" s="58" t="s">
        <v>2921</v>
      </c>
      <c r="B211" s="59" t="s">
        <v>2883</v>
      </c>
      <c r="C211" s="59" t="s">
        <v>2922</v>
      </c>
      <c r="D211" s="59" t="s">
        <v>13</v>
      </c>
      <c r="E211" s="60" t="s">
        <v>820</v>
      </c>
      <c r="F211" s="60" t="s">
        <v>2923</v>
      </c>
      <c r="G211" s="60" t="s">
        <v>2924</v>
      </c>
      <c r="H211" s="60" t="s">
        <v>2925</v>
      </c>
      <c r="I211" s="59"/>
      <c r="J211" s="61" t="s">
        <v>1868</v>
      </c>
      <c r="K211" s="153"/>
    </row>
    <row r="212" spans="1:11" ht="57.6" x14ac:dyDescent="0.3">
      <c r="A212" s="58" t="s">
        <v>2926</v>
      </c>
      <c r="B212" s="59" t="s">
        <v>2883</v>
      </c>
      <c r="C212" s="59" t="s">
        <v>2927</v>
      </c>
      <c r="D212" s="59" t="s">
        <v>13</v>
      </c>
      <c r="E212" s="60" t="s">
        <v>824</v>
      </c>
      <c r="F212" s="60" t="s">
        <v>2928</v>
      </c>
      <c r="G212" s="60" t="s">
        <v>2929</v>
      </c>
      <c r="H212" s="60" t="s">
        <v>2930</v>
      </c>
      <c r="I212" s="59"/>
      <c r="J212" s="61" t="s">
        <v>1868</v>
      </c>
      <c r="K212" s="153"/>
    </row>
    <row r="213" spans="1:11" ht="28.8" x14ac:dyDescent="0.3">
      <c r="A213" s="58" t="s">
        <v>2931</v>
      </c>
      <c r="B213" s="59" t="s">
        <v>2883</v>
      </c>
      <c r="C213" s="59" t="s">
        <v>2932</v>
      </c>
      <c r="D213" s="59" t="s">
        <v>13</v>
      </c>
      <c r="E213" s="60" t="s">
        <v>828</v>
      </c>
      <c r="F213" s="60" t="s">
        <v>2933</v>
      </c>
      <c r="G213" s="60" t="s">
        <v>2934</v>
      </c>
      <c r="H213" s="60" t="s">
        <v>2935</v>
      </c>
      <c r="I213" s="59"/>
      <c r="J213" s="61" t="s">
        <v>1852</v>
      </c>
      <c r="K213" s="153"/>
    </row>
    <row r="214" spans="1:11" ht="28.8" x14ac:dyDescent="0.3">
      <c r="A214" s="58" t="s">
        <v>2936</v>
      </c>
      <c r="B214" s="59" t="s">
        <v>2883</v>
      </c>
      <c r="C214" s="59" t="s">
        <v>2937</v>
      </c>
      <c r="D214" s="59" t="s">
        <v>13</v>
      </c>
      <c r="E214" s="60" t="s">
        <v>833</v>
      </c>
      <c r="F214" s="60" t="s">
        <v>2938</v>
      </c>
      <c r="G214" s="60" t="s">
        <v>2939</v>
      </c>
      <c r="H214" s="60" t="s">
        <v>2940</v>
      </c>
      <c r="I214" s="59"/>
      <c r="J214" s="61" t="s">
        <v>1852</v>
      </c>
      <c r="K214" s="153"/>
    </row>
    <row r="215" spans="1:11" ht="28.8" x14ac:dyDescent="0.3">
      <c r="A215" s="58" t="s">
        <v>2941</v>
      </c>
      <c r="B215" s="59" t="s">
        <v>2883</v>
      </c>
      <c r="C215" s="59" t="s">
        <v>2942</v>
      </c>
      <c r="D215" s="59" t="s">
        <v>13</v>
      </c>
      <c r="E215" s="60" t="s">
        <v>824</v>
      </c>
      <c r="F215" s="60" t="s">
        <v>2943</v>
      </c>
      <c r="G215" s="60" t="s">
        <v>2944</v>
      </c>
      <c r="H215" s="60" t="s">
        <v>2945</v>
      </c>
      <c r="I215" s="59"/>
      <c r="J215" s="61" t="s">
        <v>1852</v>
      </c>
      <c r="K215" s="153"/>
    </row>
    <row r="216" spans="1:11" ht="28.8" x14ac:dyDescent="0.3">
      <c r="A216" s="58" t="s">
        <v>2946</v>
      </c>
      <c r="B216" s="59" t="s">
        <v>2883</v>
      </c>
      <c r="C216" s="59" t="s">
        <v>2947</v>
      </c>
      <c r="D216" s="59" t="s">
        <v>10</v>
      </c>
      <c r="E216" s="60" t="s">
        <v>689</v>
      </c>
      <c r="F216" s="60" t="s">
        <v>2948</v>
      </c>
      <c r="G216" s="60" t="s">
        <v>2949</v>
      </c>
      <c r="H216" s="60" t="s">
        <v>2950</v>
      </c>
      <c r="I216" s="59"/>
      <c r="J216" s="61" t="s">
        <v>1868</v>
      </c>
      <c r="K216" s="153"/>
    </row>
    <row r="217" spans="1:11" ht="43.2" x14ac:dyDescent="0.3">
      <c r="A217" s="62" t="s">
        <v>2951</v>
      </c>
      <c r="B217" s="63" t="s">
        <v>2952</v>
      </c>
      <c r="C217" s="63" t="s">
        <v>2953</v>
      </c>
      <c r="D217" s="63" t="s">
        <v>13</v>
      </c>
      <c r="E217" s="64" t="s">
        <v>761</v>
      </c>
      <c r="F217" s="64" t="s">
        <v>2954</v>
      </c>
      <c r="G217" s="64" t="s">
        <v>2955</v>
      </c>
      <c r="H217" s="64" t="s">
        <v>2956</v>
      </c>
      <c r="I217" s="63"/>
      <c r="J217" s="65" t="s">
        <v>1852</v>
      </c>
      <c r="K217" s="153"/>
    </row>
    <row r="218" spans="1:11" ht="43.2" x14ac:dyDescent="0.3">
      <c r="A218" s="62" t="s">
        <v>2957</v>
      </c>
      <c r="B218" s="63" t="s">
        <v>2952</v>
      </c>
      <c r="C218" s="63" t="s">
        <v>2958</v>
      </c>
      <c r="D218" s="63" t="s">
        <v>13</v>
      </c>
      <c r="E218" s="64" t="s">
        <v>13404</v>
      </c>
      <c r="F218" s="64" t="s">
        <v>2959</v>
      </c>
      <c r="G218" s="64" t="s">
        <v>2960</v>
      </c>
      <c r="H218" s="64" t="s">
        <v>2961</v>
      </c>
      <c r="I218" s="63"/>
      <c r="J218" s="65" t="s">
        <v>1852</v>
      </c>
      <c r="K218" s="153"/>
    </row>
    <row r="219" spans="1:11" ht="43.2" x14ac:dyDescent="0.3">
      <c r="A219" s="62" t="s">
        <v>2962</v>
      </c>
      <c r="B219" s="63" t="s">
        <v>2952</v>
      </c>
      <c r="C219" s="63" t="s">
        <v>2963</v>
      </c>
      <c r="D219" s="63" t="s">
        <v>13</v>
      </c>
      <c r="E219" s="64" t="s">
        <v>765</v>
      </c>
      <c r="F219" s="64" t="s">
        <v>2964</v>
      </c>
      <c r="G219" s="64" t="s">
        <v>2965</v>
      </c>
      <c r="H219" s="64" t="s">
        <v>2966</v>
      </c>
      <c r="I219" s="63"/>
      <c r="J219" s="65" t="s">
        <v>1852</v>
      </c>
      <c r="K219" s="153"/>
    </row>
    <row r="220" spans="1:11" ht="43.2" x14ac:dyDescent="0.3">
      <c r="A220" s="62" t="s">
        <v>2967</v>
      </c>
      <c r="B220" s="63" t="s">
        <v>2952</v>
      </c>
      <c r="C220" s="63" t="s">
        <v>2968</v>
      </c>
      <c r="D220" s="63" t="s">
        <v>13</v>
      </c>
      <c r="E220" s="64" t="s">
        <v>767</v>
      </c>
      <c r="F220" s="64" t="s">
        <v>2969</v>
      </c>
      <c r="G220" s="64" t="s">
        <v>2970</v>
      </c>
      <c r="H220" s="64" t="s">
        <v>2971</v>
      </c>
      <c r="I220" s="63" t="s">
        <v>2972</v>
      </c>
      <c r="J220" s="65" t="s">
        <v>1868</v>
      </c>
      <c r="K220" s="153"/>
    </row>
    <row r="221" spans="1:11" ht="43.2" x14ac:dyDescent="0.3">
      <c r="A221" s="62" t="s">
        <v>2973</v>
      </c>
      <c r="B221" s="63" t="s">
        <v>2952</v>
      </c>
      <c r="C221" s="63" t="s">
        <v>2974</v>
      </c>
      <c r="D221" s="63" t="s">
        <v>13</v>
      </c>
      <c r="E221" s="64" t="s">
        <v>796</v>
      </c>
      <c r="F221" s="64" t="s">
        <v>2975</v>
      </c>
      <c r="G221" s="64" t="s">
        <v>2976</v>
      </c>
      <c r="H221" s="64" t="s">
        <v>2977</v>
      </c>
      <c r="I221" s="63" t="s">
        <v>2978</v>
      </c>
      <c r="J221" s="65" t="s">
        <v>1868</v>
      </c>
      <c r="K221" s="153"/>
    </row>
    <row r="222" spans="1:11" ht="43.2" x14ac:dyDescent="0.3">
      <c r="A222" s="62" t="s">
        <v>2979</v>
      </c>
      <c r="B222" s="63" t="s">
        <v>2952</v>
      </c>
      <c r="C222" s="63" t="s">
        <v>2980</v>
      </c>
      <c r="D222" s="63" t="s">
        <v>13</v>
      </c>
      <c r="E222" s="64" t="s">
        <v>13424</v>
      </c>
      <c r="F222" s="64" t="s">
        <v>2981</v>
      </c>
      <c r="G222" s="64" t="s">
        <v>2982</v>
      </c>
      <c r="H222" s="64" t="s">
        <v>2983</v>
      </c>
      <c r="I222" s="63" t="s">
        <v>2984</v>
      </c>
      <c r="J222" s="65" t="s">
        <v>1868</v>
      </c>
      <c r="K222" s="153" t="s">
        <v>13575</v>
      </c>
    </row>
    <row r="223" spans="1:11" ht="43.2" x14ac:dyDescent="0.3">
      <c r="A223" s="62" t="s">
        <v>2985</v>
      </c>
      <c r="B223" s="63" t="s">
        <v>2952</v>
      </c>
      <c r="C223" s="63" t="s">
        <v>2986</v>
      </c>
      <c r="D223" s="63" t="s">
        <v>13</v>
      </c>
      <c r="E223" s="64" t="s">
        <v>13405</v>
      </c>
      <c r="F223" s="64" t="s">
        <v>2987</v>
      </c>
      <c r="G223" s="64" t="s">
        <v>2988</v>
      </c>
      <c r="H223" s="64" t="s">
        <v>2989</v>
      </c>
      <c r="I223" s="63"/>
      <c r="J223" s="65" t="s">
        <v>1852</v>
      </c>
      <c r="K223" s="153"/>
    </row>
    <row r="224" spans="1:11" ht="28.8" x14ac:dyDescent="0.3">
      <c r="A224" s="62" t="s">
        <v>2990</v>
      </c>
      <c r="B224" s="63" t="s">
        <v>2952</v>
      </c>
      <c r="C224" s="63" t="s">
        <v>2991</v>
      </c>
      <c r="D224" s="63" t="s">
        <v>13</v>
      </c>
      <c r="E224" s="64" t="s">
        <v>3020</v>
      </c>
      <c r="F224" s="64" t="s">
        <v>2992</v>
      </c>
      <c r="G224" s="64" t="s">
        <v>2993</v>
      </c>
      <c r="H224" s="64" t="s">
        <v>2994</v>
      </c>
      <c r="I224" s="63" t="s">
        <v>2995</v>
      </c>
      <c r="J224" s="65" t="s">
        <v>1868</v>
      </c>
      <c r="K224" s="153"/>
    </row>
    <row r="225" spans="1:11" ht="43.2" x14ac:dyDescent="0.3">
      <c r="A225" s="62" t="s">
        <v>2996</v>
      </c>
      <c r="B225" s="63" t="s">
        <v>2952</v>
      </c>
      <c r="C225" s="63" t="s">
        <v>2997</v>
      </c>
      <c r="D225" s="63" t="s">
        <v>13</v>
      </c>
      <c r="E225" s="64" t="s">
        <v>776</v>
      </c>
      <c r="F225" s="64" t="s">
        <v>2998</v>
      </c>
      <c r="G225" s="64" t="s">
        <v>2999</v>
      </c>
      <c r="H225" s="64" t="s">
        <v>3000</v>
      </c>
      <c r="I225" s="63"/>
      <c r="J225" s="65" t="s">
        <v>1868</v>
      </c>
      <c r="K225" s="153"/>
    </row>
    <row r="226" spans="1:11" ht="43.2" x14ac:dyDescent="0.3">
      <c r="A226" s="62" t="s">
        <v>3001</v>
      </c>
      <c r="B226" s="63" t="s">
        <v>2952</v>
      </c>
      <c r="C226" s="63" t="s">
        <v>3002</v>
      </c>
      <c r="D226" s="63" t="s">
        <v>13</v>
      </c>
      <c r="E226" s="64" t="s">
        <v>796</v>
      </c>
      <c r="F226" s="64" t="s">
        <v>3003</v>
      </c>
      <c r="G226" s="64" t="s">
        <v>3004</v>
      </c>
      <c r="H226" s="64" t="s">
        <v>3005</v>
      </c>
      <c r="I226" s="63" t="s">
        <v>3006</v>
      </c>
      <c r="J226" s="65" t="s">
        <v>1868</v>
      </c>
      <c r="K226" s="153"/>
    </row>
    <row r="227" spans="1:11" ht="28.8" x14ac:dyDescent="0.3">
      <c r="A227" s="62" t="s">
        <v>3007</v>
      </c>
      <c r="B227" s="63" t="s">
        <v>2952</v>
      </c>
      <c r="C227" s="63" t="s">
        <v>3008</v>
      </c>
      <c r="D227" s="63" t="s">
        <v>13</v>
      </c>
      <c r="E227" s="64" t="s">
        <v>57</v>
      </c>
      <c r="F227" s="64" t="s">
        <v>3009</v>
      </c>
      <c r="G227" s="64" t="s">
        <v>3010</v>
      </c>
      <c r="H227" s="64" t="s">
        <v>3011</v>
      </c>
      <c r="I227" s="63"/>
      <c r="J227" s="65" t="s">
        <v>1868</v>
      </c>
      <c r="K227" s="153"/>
    </row>
    <row r="228" spans="1:11" ht="43.2" x14ac:dyDescent="0.3">
      <c r="A228" s="62" t="s">
        <v>3012</v>
      </c>
      <c r="B228" s="63" t="s">
        <v>2952</v>
      </c>
      <c r="C228" s="63" t="s">
        <v>3013</v>
      </c>
      <c r="D228" s="63" t="s">
        <v>13</v>
      </c>
      <c r="E228" s="64" t="s">
        <v>767</v>
      </c>
      <c r="F228" s="64" t="s">
        <v>3015</v>
      </c>
      <c r="G228" s="64" t="s">
        <v>3016</v>
      </c>
      <c r="H228" s="64" t="s">
        <v>3017</v>
      </c>
      <c r="I228" s="63"/>
      <c r="J228" s="65" t="s">
        <v>1852</v>
      </c>
      <c r="K228" s="153"/>
    </row>
    <row r="229" spans="1:11" ht="28.8" x14ac:dyDescent="0.3">
      <c r="A229" s="62" t="s">
        <v>3018</v>
      </c>
      <c r="B229" s="63" t="s">
        <v>2952</v>
      </c>
      <c r="C229" s="63" t="s">
        <v>3019</v>
      </c>
      <c r="D229" s="63" t="s">
        <v>13</v>
      </c>
      <c r="E229" s="64" t="s">
        <v>791</v>
      </c>
      <c r="F229" s="64" t="s">
        <v>3021</v>
      </c>
      <c r="G229" s="64" t="s">
        <v>3022</v>
      </c>
      <c r="H229" s="64" t="s">
        <v>3023</v>
      </c>
      <c r="I229" s="63"/>
      <c r="J229" s="65" t="s">
        <v>1868</v>
      </c>
      <c r="K229" s="153"/>
    </row>
    <row r="230" spans="1:11" ht="28.8" x14ac:dyDescent="0.3">
      <c r="A230" s="62" t="s">
        <v>3024</v>
      </c>
      <c r="B230" s="63" t="s">
        <v>2952</v>
      </c>
      <c r="C230" s="63" t="s">
        <v>3025</v>
      </c>
      <c r="D230" s="63" t="s">
        <v>13</v>
      </c>
      <c r="E230" s="64" t="s">
        <v>786</v>
      </c>
      <c r="F230" s="64" t="s">
        <v>3026</v>
      </c>
      <c r="G230" s="64" t="s">
        <v>3027</v>
      </c>
      <c r="H230" s="64" t="s">
        <v>3028</v>
      </c>
      <c r="I230" s="63"/>
      <c r="J230" s="65" t="s">
        <v>1852</v>
      </c>
      <c r="K230" s="153"/>
    </row>
    <row r="231" spans="1:11" ht="43.2" x14ac:dyDescent="0.3">
      <c r="A231" s="62" t="s">
        <v>3029</v>
      </c>
      <c r="B231" s="63" t="s">
        <v>2952</v>
      </c>
      <c r="C231" s="63" t="s">
        <v>3030</v>
      </c>
      <c r="D231" s="63" t="s">
        <v>13</v>
      </c>
      <c r="E231" s="64" t="s">
        <v>13424</v>
      </c>
      <c r="F231" s="64" t="s">
        <v>3031</v>
      </c>
      <c r="G231" s="64" t="s">
        <v>3032</v>
      </c>
      <c r="H231" s="64" t="s">
        <v>3033</v>
      </c>
      <c r="I231" s="63"/>
      <c r="J231" s="65" t="s">
        <v>1868</v>
      </c>
      <c r="K231" s="153" t="s">
        <v>13409</v>
      </c>
    </row>
    <row r="232" spans="1:11" ht="43.2" x14ac:dyDescent="0.3">
      <c r="A232" s="62" t="s">
        <v>3034</v>
      </c>
      <c r="B232" s="63" t="s">
        <v>2952</v>
      </c>
      <c r="C232" s="63" t="s">
        <v>3035</v>
      </c>
      <c r="D232" s="63" t="s">
        <v>13</v>
      </c>
      <c r="E232" s="64" t="s">
        <v>13424</v>
      </c>
      <c r="F232" s="64" t="s">
        <v>3036</v>
      </c>
      <c r="G232" s="64" t="s">
        <v>3037</v>
      </c>
      <c r="H232" s="64" t="s">
        <v>3038</v>
      </c>
      <c r="I232" s="63"/>
      <c r="J232" s="65" t="s">
        <v>1873</v>
      </c>
      <c r="K232" s="153" t="s">
        <v>13576</v>
      </c>
    </row>
    <row r="233" spans="1:11" ht="43.2" x14ac:dyDescent="0.3">
      <c r="A233" s="66" t="s">
        <v>3039</v>
      </c>
      <c r="B233" s="67" t="s">
        <v>3040</v>
      </c>
      <c r="C233" s="67" t="s">
        <v>3041</v>
      </c>
      <c r="D233" s="67" t="s">
        <v>13</v>
      </c>
      <c r="E233" s="68" t="s">
        <v>654</v>
      </c>
      <c r="F233" s="68" t="s">
        <v>3042</v>
      </c>
      <c r="G233" s="68" t="s">
        <v>3043</v>
      </c>
      <c r="H233" s="68" t="s">
        <v>3044</v>
      </c>
      <c r="I233" s="67"/>
      <c r="J233" s="69" t="s">
        <v>1852</v>
      </c>
      <c r="K233" s="153"/>
    </row>
    <row r="234" spans="1:11" ht="43.2" x14ac:dyDescent="0.3">
      <c r="A234" s="66" t="s">
        <v>3045</v>
      </c>
      <c r="B234" s="67" t="s">
        <v>3040</v>
      </c>
      <c r="C234" s="67" t="s">
        <v>3046</v>
      </c>
      <c r="D234" s="67" t="s">
        <v>13</v>
      </c>
      <c r="E234" s="68" t="s">
        <v>13424</v>
      </c>
      <c r="F234" s="68" t="s">
        <v>3047</v>
      </c>
      <c r="G234" s="68" t="s">
        <v>3048</v>
      </c>
      <c r="H234" s="68" t="s">
        <v>3049</v>
      </c>
      <c r="I234" s="67"/>
      <c r="J234" s="69" t="s">
        <v>1852</v>
      </c>
      <c r="K234" s="153" t="s">
        <v>13577</v>
      </c>
    </row>
    <row r="235" spans="1:11" ht="28.8" x14ac:dyDescent="0.3">
      <c r="A235" s="66" t="s">
        <v>3050</v>
      </c>
      <c r="B235" s="67" t="s">
        <v>3040</v>
      </c>
      <c r="C235" s="67" t="s">
        <v>3051</v>
      </c>
      <c r="D235" s="67" t="s">
        <v>10</v>
      </c>
      <c r="E235" s="68" t="s">
        <v>654</v>
      </c>
      <c r="F235" s="68" t="s">
        <v>3052</v>
      </c>
      <c r="G235" s="68" t="s">
        <v>3053</v>
      </c>
      <c r="H235" s="68" t="s">
        <v>3054</v>
      </c>
      <c r="I235" s="67"/>
      <c r="J235" s="69" t="s">
        <v>1852</v>
      </c>
      <c r="K235" s="153"/>
    </row>
    <row r="236" spans="1:11" ht="57.6" x14ac:dyDescent="0.3">
      <c r="A236" s="66" t="s">
        <v>3055</v>
      </c>
      <c r="B236" s="67" t="s">
        <v>3040</v>
      </c>
      <c r="C236" s="67" t="s">
        <v>3056</v>
      </c>
      <c r="D236" s="67" t="s">
        <v>13</v>
      </c>
      <c r="E236" s="68" t="s">
        <v>659</v>
      </c>
      <c r="F236" s="68" t="s">
        <v>3057</v>
      </c>
      <c r="G236" s="68" t="s">
        <v>3058</v>
      </c>
      <c r="H236" s="68" t="s">
        <v>3059</v>
      </c>
      <c r="I236" s="67"/>
      <c r="J236" s="69" t="s">
        <v>1852</v>
      </c>
      <c r="K236" s="153"/>
    </row>
    <row r="237" spans="1:11" ht="28.8" x14ac:dyDescent="0.3">
      <c r="A237" s="66" t="s">
        <v>3060</v>
      </c>
      <c r="B237" s="67" t="s">
        <v>3040</v>
      </c>
      <c r="C237" s="67" t="s">
        <v>3061</v>
      </c>
      <c r="D237" s="67" t="s">
        <v>10</v>
      </c>
      <c r="E237" s="68" t="s">
        <v>659</v>
      </c>
      <c r="F237" s="68" t="s">
        <v>3062</v>
      </c>
      <c r="G237" s="68" t="s">
        <v>3063</v>
      </c>
      <c r="H237" s="68" t="s">
        <v>3064</v>
      </c>
      <c r="I237" s="67"/>
      <c r="J237" s="69" t="s">
        <v>1852</v>
      </c>
      <c r="K237" s="153"/>
    </row>
    <row r="238" spans="1:11" ht="28.8" x14ac:dyDescent="0.3">
      <c r="A238" s="66" t="s">
        <v>3065</v>
      </c>
      <c r="B238" s="67" t="s">
        <v>3040</v>
      </c>
      <c r="C238" s="67" t="s">
        <v>3066</v>
      </c>
      <c r="D238" s="67" t="s">
        <v>13</v>
      </c>
      <c r="E238" s="68" t="s">
        <v>664</v>
      </c>
      <c r="F238" s="68" t="s">
        <v>3067</v>
      </c>
      <c r="G238" s="68" t="s">
        <v>3068</v>
      </c>
      <c r="H238" s="68" t="s">
        <v>3069</v>
      </c>
      <c r="I238" s="67"/>
      <c r="J238" s="69" t="s">
        <v>1868</v>
      </c>
      <c r="K238" s="153"/>
    </row>
    <row r="239" spans="1:11" ht="28.8" x14ac:dyDescent="0.3">
      <c r="A239" s="66" t="s">
        <v>3070</v>
      </c>
      <c r="B239" s="67" t="s">
        <v>3040</v>
      </c>
      <c r="C239" s="67" t="s">
        <v>3071</v>
      </c>
      <c r="D239" s="67" t="s">
        <v>10</v>
      </c>
      <c r="E239" s="68" t="s">
        <v>664</v>
      </c>
      <c r="F239" s="68" t="s">
        <v>3072</v>
      </c>
      <c r="G239" s="68" t="s">
        <v>3073</v>
      </c>
      <c r="H239" s="68" t="s">
        <v>3074</v>
      </c>
      <c r="I239" s="67"/>
      <c r="J239" s="69" t="s">
        <v>1868</v>
      </c>
      <c r="K239" s="153"/>
    </row>
    <row r="240" spans="1:11" ht="43.2" x14ac:dyDescent="0.3">
      <c r="A240" s="66" t="s">
        <v>3075</v>
      </c>
      <c r="B240" s="67" t="s">
        <v>3040</v>
      </c>
      <c r="C240" s="67" t="s">
        <v>3076</v>
      </c>
      <c r="D240" s="67" t="s">
        <v>13</v>
      </c>
      <c r="E240" s="68" t="s">
        <v>13424</v>
      </c>
      <c r="F240" s="68" t="s">
        <v>3077</v>
      </c>
      <c r="G240" s="68" t="s">
        <v>3078</v>
      </c>
      <c r="H240" s="68" t="s">
        <v>3079</v>
      </c>
      <c r="I240" s="67"/>
      <c r="J240" s="69" t="s">
        <v>1868</v>
      </c>
      <c r="K240" s="153" t="s">
        <v>13410</v>
      </c>
    </row>
    <row r="241" spans="1:11" ht="28.8" x14ac:dyDescent="0.3">
      <c r="A241" s="66" t="s">
        <v>3080</v>
      </c>
      <c r="B241" s="67" t="s">
        <v>3040</v>
      </c>
      <c r="C241" s="67" t="s">
        <v>3081</v>
      </c>
      <c r="D241" s="67" t="s">
        <v>10</v>
      </c>
      <c r="E241" s="68" t="s">
        <v>669</v>
      </c>
      <c r="F241" s="68" t="s">
        <v>3082</v>
      </c>
      <c r="G241" s="68" t="s">
        <v>3083</v>
      </c>
      <c r="H241" s="68" t="s">
        <v>3084</v>
      </c>
      <c r="I241" s="67"/>
      <c r="J241" s="69" t="s">
        <v>1868</v>
      </c>
      <c r="K241" s="153"/>
    </row>
    <row r="242" spans="1:11" ht="28.8" x14ac:dyDescent="0.3">
      <c r="A242" s="66" t="s">
        <v>3085</v>
      </c>
      <c r="B242" s="67" t="s">
        <v>3040</v>
      </c>
      <c r="C242" s="67" t="s">
        <v>3086</v>
      </c>
      <c r="D242" s="67" t="s">
        <v>10</v>
      </c>
      <c r="E242" s="68" t="s">
        <v>679</v>
      </c>
      <c r="F242" s="68" t="s">
        <v>3087</v>
      </c>
      <c r="G242" s="68" t="s">
        <v>3088</v>
      </c>
      <c r="H242" s="68" t="s">
        <v>3089</v>
      </c>
      <c r="I242" s="67"/>
      <c r="J242" s="69" t="s">
        <v>1852</v>
      </c>
      <c r="K242" s="153"/>
    </row>
    <row r="243" spans="1:11" ht="43.2" x14ac:dyDescent="0.3">
      <c r="A243" s="66" t="s">
        <v>3090</v>
      </c>
      <c r="B243" s="67" t="s">
        <v>3040</v>
      </c>
      <c r="C243" s="67" t="s">
        <v>3091</v>
      </c>
      <c r="D243" s="67" t="s">
        <v>13</v>
      </c>
      <c r="E243" s="68" t="s">
        <v>679</v>
      </c>
      <c r="F243" s="68" t="s">
        <v>3092</v>
      </c>
      <c r="G243" s="68" t="s">
        <v>3093</v>
      </c>
      <c r="H243" s="68" t="s">
        <v>3094</v>
      </c>
      <c r="I243" s="67"/>
      <c r="J243" s="69" t="s">
        <v>1852</v>
      </c>
      <c r="K243" s="153"/>
    </row>
    <row r="244" spans="1:11" ht="43.2" x14ac:dyDescent="0.3">
      <c r="A244" s="66" t="s">
        <v>3095</v>
      </c>
      <c r="B244" s="67" t="s">
        <v>3040</v>
      </c>
      <c r="C244" s="67" t="s">
        <v>3096</v>
      </c>
      <c r="D244" s="67" t="s">
        <v>13</v>
      </c>
      <c r="E244" s="68" t="s">
        <v>684</v>
      </c>
      <c r="F244" s="68" t="s">
        <v>3097</v>
      </c>
      <c r="G244" s="68" t="s">
        <v>3098</v>
      </c>
      <c r="H244" s="68" t="s">
        <v>3099</v>
      </c>
      <c r="I244" s="67"/>
      <c r="J244" s="69" t="s">
        <v>1868</v>
      </c>
      <c r="K244" s="153"/>
    </row>
    <row r="245" spans="1:11" ht="43.2" x14ac:dyDescent="0.3">
      <c r="A245" s="66" t="s">
        <v>3100</v>
      </c>
      <c r="B245" s="67" t="s">
        <v>3040</v>
      </c>
      <c r="C245" s="67" t="s">
        <v>3101</v>
      </c>
      <c r="D245" s="67" t="s">
        <v>13</v>
      </c>
      <c r="E245" s="68" t="s">
        <v>689</v>
      </c>
      <c r="F245" s="68" t="s">
        <v>3102</v>
      </c>
      <c r="G245" s="68" t="s">
        <v>3103</v>
      </c>
      <c r="H245" s="68" t="s">
        <v>3104</v>
      </c>
      <c r="I245" s="67"/>
      <c r="J245" s="69" t="s">
        <v>1868</v>
      </c>
      <c r="K245" s="153"/>
    </row>
    <row r="246" spans="1:11" ht="28.8" x14ac:dyDescent="0.3">
      <c r="A246" s="66" t="s">
        <v>3105</v>
      </c>
      <c r="B246" s="67" t="s">
        <v>3040</v>
      </c>
      <c r="C246" s="67" t="s">
        <v>3106</v>
      </c>
      <c r="D246" s="67" t="s">
        <v>10</v>
      </c>
      <c r="E246" s="68" t="s">
        <v>689</v>
      </c>
      <c r="F246" s="68" t="s">
        <v>3107</v>
      </c>
      <c r="G246" s="68" t="s">
        <v>3108</v>
      </c>
      <c r="H246" s="68" t="s">
        <v>3109</v>
      </c>
      <c r="I246" s="67"/>
      <c r="J246" s="69" t="s">
        <v>1868</v>
      </c>
      <c r="K246" s="153"/>
    </row>
    <row r="247" spans="1:11" ht="43.2" x14ac:dyDescent="0.3">
      <c r="A247" s="66" t="s">
        <v>3110</v>
      </c>
      <c r="B247" s="67" t="s">
        <v>3040</v>
      </c>
      <c r="C247" s="67" t="s">
        <v>3111</v>
      </c>
      <c r="D247" s="67" t="s">
        <v>13</v>
      </c>
      <c r="E247" s="68" t="s">
        <v>14</v>
      </c>
      <c r="F247" s="68" t="s">
        <v>3112</v>
      </c>
      <c r="G247" s="68" t="s">
        <v>3113</v>
      </c>
      <c r="H247" s="68" t="s">
        <v>3114</v>
      </c>
      <c r="I247" s="67"/>
      <c r="J247" s="69" t="s">
        <v>1868</v>
      </c>
      <c r="K247" s="165"/>
    </row>
    <row r="248" spans="1:11" ht="43.2" x14ac:dyDescent="0.3">
      <c r="A248" s="66" t="s">
        <v>3115</v>
      </c>
      <c r="B248" s="67" t="s">
        <v>3040</v>
      </c>
      <c r="C248" s="67" t="s">
        <v>3116</v>
      </c>
      <c r="D248" s="67" t="s">
        <v>13</v>
      </c>
      <c r="E248" s="68" t="s">
        <v>157</v>
      </c>
      <c r="F248" s="68" t="s">
        <v>3117</v>
      </c>
      <c r="G248" s="68" t="s">
        <v>3118</v>
      </c>
      <c r="H248" s="68" t="s">
        <v>3119</v>
      </c>
      <c r="I248" s="67"/>
      <c r="J248" s="69" t="s">
        <v>1852</v>
      </c>
      <c r="K248" s="153"/>
    </row>
    <row r="249" spans="1:11" ht="57.6" x14ac:dyDescent="0.3">
      <c r="A249" s="70" t="s">
        <v>3120</v>
      </c>
      <c r="B249" s="71" t="s">
        <v>3121</v>
      </c>
      <c r="C249" s="71" t="s">
        <v>3122</v>
      </c>
      <c r="D249" s="71" t="s">
        <v>13</v>
      </c>
      <c r="E249" s="72" t="s">
        <v>309</v>
      </c>
      <c r="F249" s="72" t="s">
        <v>3123</v>
      </c>
      <c r="G249" s="72" t="s">
        <v>3124</v>
      </c>
      <c r="H249" s="72" t="s">
        <v>3125</v>
      </c>
      <c r="I249" s="71"/>
      <c r="J249" s="73" t="s">
        <v>1852</v>
      </c>
      <c r="K249" s="153"/>
    </row>
    <row r="250" spans="1:11" ht="43.2" x14ac:dyDescent="0.3">
      <c r="A250" s="70" t="s">
        <v>3126</v>
      </c>
      <c r="B250" s="71" t="s">
        <v>3121</v>
      </c>
      <c r="C250" s="71" t="s">
        <v>3127</v>
      </c>
      <c r="D250" s="71" t="s">
        <v>13</v>
      </c>
      <c r="E250" s="72" t="s">
        <v>309</v>
      </c>
      <c r="F250" s="72" t="s">
        <v>3128</v>
      </c>
      <c r="G250" s="72" t="s">
        <v>3129</v>
      </c>
      <c r="H250" s="72" t="s">
        <v>3130</v>
      </c>
      <c r="I250" s="71"/>
      <c r="J250" s="73" t="s">
        <v>1852</v>
      </c>
      <c r="K250" s="153"/>
    </row>
    <row r="251" spans="1:11" ht="57.6" x14ac:dyDescent="0.3">
      <c r="A251" s="70" t="s">
        <v>3131</v>
      </c>
      <c r="B251" s="71" t="s">
        <v>3121</v>
      </c>
      <c r="C251" s="71" t="s">
        <v>3132</v>
      </c>
      <c r="D251" s="71" t="s">
        <v>13</v>
      </c>
      <c r="E251" s="72" t="s">
        <v>309</v>
      </c>
      <c r="F251" s="72" t="s">
        <v>3133</v>
      </c>
      <c r="G251" s="72" t="s">
        <v>3134</v>
      </c>
      <c r="H251" s="72" t="s">
        <v>3135</v>
      </c>
      <c r="I251" s="71"/>
      <c r="J251" s="73" t="s">
        <v>1852</v>
      </c>
      <c r="K251" s="153"/>
    </row>
    <row r="252" spans="1:11" ht="43.2" x14ac:dyDescent="0.3">
      <c r="A252" s="70" t="s">
        <v>3136</v>
      </c>
      <c r="B252" s="71" t="s">
        <v>3121</v>
      </c>
      <c r="C252" s="71" t="s">
        <v>3137</v>
      </c>
      <c r="D252" s="71" t="s">
        <v>10</v>
      </c>
      <c r="E252" s="72" t="s">
        <v>309</v>
      </c>
      <c r="F252" s="72" t="s">
        <v>3138</v>
      </c>
      <c r="G252" s="72" t="s">
        <v>3139</v>
      </c>
      <c r="H252" s="72" t="s">
        <v>3140</v>
      </c>
      <c r="I252" s="71"/>
      <c r="J252" s="73" t="s">
        <v>1852</v>
      </c>
      <c r="K252" s="153"/>
    </row>
    <row r="253" spans="1:11" ht="28.8" x14ac:dyDescent="0.3">
      <c r="A253" s="70" t="s">
        <v>3141</v>
      </c>
      <c r="B253" s="71" t="s">
        <v>3121</v>
      </c>
      <c r="C253" s="71" t="s">
        <v>3142</v>
      </c>
      <c r="D253" s="71" t="s">
        <v>13</v>
      </c>
      <c r="E253" s="72" t="s">
        <v>309</v>
      </c>
      <c r="F253" s="72" t="s">
        <v>3143</v>
      </c>
      <c r="G253" s="72" t="s">
        <v>3144</v>
      </c>
      <c r="H253" s="72" t="s">
        <v>3145</v>
      </c>
      <c r="I253" s="71"/>
      <c r="J253" s="73" t="s">
        <v>1868</v>
      </c>
      <c r="K253" s="153"/>
    </row>
    <row r="254" spans="1:11" ht="28.8" x14ac:dyDescent="0.3">
      <c r="A254" s="70" t="s">
        <v>3146</v>
      </c>
      <c r="B254" s="71" t="s">
        <v>3121</v>
      </c>
      <c r="C254" s="71" t="s">
        <v>3147</v>
      </c>
      <c r="D254" s="71" t="s">
        <v>13</v>
      </c>
      <c r="E254" s="72" t="s">
        <v>13424</v>
      </c>
      <c r="F254" s="72" t="s">
        <v>3148</v>
      </c>
      <c r="G254" s="72" t="s">
        <v>3149</v>
      </c>
      <c r="H254" s="72" t="s">
        <v>3150</v>
      </c>
      <c r="I254" s="71"/>
      <c r="J254" s="73" t="s">
        <v>1868</v>
      </c>
      <c r="K254" s="153" t="s">
        <v>13411</v>
      </c>
    </row>
    <row r="255" spans="1:11" ht="57.6" x14ac:dyDescent="0.3">
      <c r="A255" s="70" t="s">
        <v>3151</v>
      </c>
      <c r="B255" s="71" t="s">
        <v>3121</v>
      </c>
      <c r="C255" s="71" t="s">
        <v>133</v>
      </c>
      <c r="D255" s="71" t="s">
        <v>13</v>
      </c>
      <c r="E255" s="72" t="s">
        <v>134</v>
      </c>
      <c r="F255" s="72" t="s">
        <v>3152</v>
      </c>
      <c r="G255" s="72" t="s">
        <v>3153</v>
      </c>
      <c r="H255" s="72" t="s">
        <v>3154</v>
      </c>
      <c r="I255" s="71"/>
      <c r="J255" s="73" t="s">
        <v>1852</v>
      </c>
      <c r="K255" s="153"/>
    </row>
    <row r="256" spans="1:11" ht="43.2" x14ac:dyDescent="0.3">
      <c r="A256" s="70" t="s">
        <v>3155</v>
      </c>
      <c r="B256" s="71" t="s">
        <v>3121</v>
      </c>
      <c r="C256" s="71" t="s">
        <v>3156</v>
      </c>
      <c r="D256" s="71" t="s">
        <v>13</v>
      </c>
      <c r="E256" s="72" t="s">
        <v>134</v>
      </c>
      <c r="F256" s="72" t="s">
        <v>147</v>
      </c>
      <c r="G256" s="72" t="s">
        <v>3157</v>
      </c>
      <c r="H256" s="72" t="s">
        <v>3158</v>
      </c>
      <c r="I256" s="71"/>
      <c r="J256" s="73" t="s">
        <v>1868</v>
      </c>
      <c r="K256" s="153"/>
    </row>
    <row r="257" spans="1:11" ht="57.6" x14ac:dyDescent="0.3">
      <c r="A257" s="70" t="s">
        <v>3159</v>
      </c>
      <c r="B257" s="71" t="s">
        <v>3121</v>
      </c>
      <c r="C257" s="71" t="s">
        <v>151</v>
      </c>
      <c r="D257" s="71" t="s">
        <v>13</v>
      </c>
      <c r="E257" s="72" t="s">
        <v>157</v>
      </c>
      <c r="F257" s="72" t="s">
        <v>3160</v>
      </c>
      <c r="G257" s="72" t="s">
        <v>3161</v>
      </c>
      <c r="H257" s="72" t="s">
        <v>3162</v>
      </c>
      <c r="I257" s="71"/>
      <c r="J257" s="73" t="s">
        <v>1852</v>
      </c>
      <c r="K257" s="153"/>
    </row>
    <row r="258" spans="1:11" ht="57.6" x14ac:dyDescent="0.3">
      <c r="A258" s="70" t="s">
        <v>3163</v>
      </c>
      <c r="B258" s="71" t="s">
        <v>3121</v>
      </c>
      <c r="C258" s="71" t="s">
        <v>234</v>
      </c>
      <c r="D258" s="71" t="s">
        <v>13</v>
      </c>
      <c r="E258" s="72" t="s">
        <v>240</v>
      </c>
      <c r="F258" s="72" t="s">
        <v>3164</v>
      </c>
      <c r="G258" s="72" t="s">
        <v>3165</v>
      </c>
      <c r="H258" s="72" t="s">
        <v>3166</v>
      </c>
      <c r="I258" s="71"/>
      <c r="J258" s="73" t="s">
        <v>1868</v>
      </c>
      <c r="K258" s="153"/>
    </row>
    <row r="259" spans="1:11" ht="28.8" x14ac:dyDescent="0.3">
      <c r="A259" s="70" t="s">
        <v>3167</v>
      </c>
      <c r="B259" s="71" t="s">
        <v>3121</v>
      </c>
      <c r="C259" s="71" t="s">
        <v>3168</v>
      </c>
      <c r="D259" s="71" t="s">
        <v>10</v>
      </c>
      <c r="E259" s="72" t="s">
        <v>240</v>
      </c>
      <c r="F259" s="72" t="s">
        <v>3169</v>
      </c>
      <c r="G259" s="72" t="s">
        <v>3170</v>
      </c>
      <c r="H259" s="72" t="s">
        <v>3171</v>
      </c>
      <c r="I259" s="71"/>
      <c r="J259" s="73" t="s">
        <v>1868</v>
      </c>
      <c r="K259" s="153"/>
    </row>
    <row r="260" spans="1:11" ht="28.8" x14ac:dyDescent="0.3">
      <c r="A260" s="70" t="s">
        <v>3172</v>
      </c>
      <c r="B260" s="71" t="s">
        <v>3121</v>
      </c>
      <c r="C260" s="71" t="s">
        <v>242</v>
      </c>
      <c r="D260" s="71" t="s">
        <v>13</v>
      </c>
      <c r="E260" s="72" t="s">
        <v>240</v>
      </c>
      <c r="F260" s="72" t="s">
        <v>3173</v>
      </c>
      <c r="G260" s="72" t="s">
        <v>3174</v>
      </c>
      <c r="H260" s="72" t="s">
        <v>3175</v>
      </c>
      <c r="I260" s="71"/>
      <c r="J260" s="73" t="s">
        <v>1873</v>
      </c>
      <c r="K260" s="153"/>
    </row>
    <row r="261" spans="1:11" ht="43.2" x14ac:dyDescent="0.3">
      <c r="A261" s="70" t="s">
        <v>3176</v>
      </c>
      <c r="B261" s="71" t="s">
        <v>3121</v>
      </c>
      <c r="C261" s="71" t="s">
        <v>3177</v>
      </c>
      <c r="D261" s="71" t="s">
        <v>13</v>
      </c>
      <c r="E261" s="72" t="s">
        <v>134</v>
      </c>
      <c r="F261" s="72" t="s">
        <v>141</v>
      </c>
      <c r="G261" s="72" t="s">
        <v>3178</v>
      </c>
      <c r="H261" s="72" t="s">
        <v>3179</v>
      </c>
      <c r="I261" s="71"/>
      <c r="J261" s="73" t="s">
        <v>1852</v>
      </c>
      <c r="K261" s="153"/>
    </row>
    <row r="262" spans="1:11" ht="43.2" x14ac:dyDescent="0.3">
      <c r="A262" s="70" t="s">
        <v>3180</v>
      </c>
      <c r="B262" s="71" t="s">
        <v>3121</v>
      </c>
      <c r="C262" s="71" t="s">
        <v>3181</v>
      </c>
      <c r="D262" s="71" t="s">
        <v>13</v>
      </c>
      <c r="E262" s="72" t="s">
        <v>86</v>
      </c>
      <c r="F262" s="72" t="s">
        <v>3182</v>
      </c>
      <c r="G262" s="72" t="s">
        <v>3183</v>
      </c>
      <c r="H262" s="72" t="s">
        <v>3184</v>
      </c>
      <c r="I262" s="71"/>
      <c r="J262" s="73" t="s">
        <v>1852</v>
      </c>
      <c r="K262" s="153"/>
    </row>
    <row r="263" spans="1:11" ht="43.2" x14ac:dyDescent="0.3">
      <c r="A263" s="74" t="s">
        <v>3185</v>
      </c>
      <c r="B263" s="75" t="s">
        <v>3186</v>
      </c>
      <c r="C263" s="75" t="s">
        <v>3187</v>
      </c>
      <c r="D263" s="75" t="s">
        <v>10</v>
      </c>
      <c r="E263" s="76" t="s">
        <v>896</v>
      </c>
      <c r="F263" s="76" t="s">
        <v>3188</v>
      </c>
      <c r="G263" s="76" t="s">
        <v>3189</v>
      </c>
      <c r="H263" s="76" t="s">
        <v>3190</v>
      </c>
      <c r="I263" s="75"/>
      <c r="J263" s="77" t="s">
        <v>1852</v>
      </c>
      <c r="K263" s="153"/>
    </row>
    <row r="264" spans="1:11" ht="57.6" x14ac:dyDescent="0.3">
      <c r="A264" s="74" t="s">
        <v>3191</v>
      </c>
      <c r="B264" s="75" t="s">
        <v>3186</v>
      </c>
      <c r="C264" s="75" t="s">
        <v>3192</v>
      </c>
      <c r="D264" s="75" t="s">
        <v>10</v>
      </c>
      <c r="E264" s="76" t="s">
        <v>900</v>
      </c>
      <c r="F264" s="76" t="s">
        <v>3193</v>
      </c>
      <c r="G264" s="76" t="s">
        <v>3194</v>
      </c>
      <c r="H264" s="76" t="s">
        <v>3195</v>
      </c>
      <c r="I264" s="75"/>
      <c r="J264" s="77" t="s">
        <v>1852</v>
      </c>
      <c r="K264" s="153"/>
    </row>
    <row r="265" spans="1:11" ht="28.8" x14ac:dyDescent="0.3">
      <c r="A265" s="74" t="s">
        <v>3196</v>
      </c>
      <c r="B265" s="75" t="s">
        <v>3186</v>
      </c>
      <c r="C265" s="75" t="s">
        <v>3197</v>
      </c>
      <c r="D265" s="75" t="s">
        <v>13</v>
      </c>
      <c r="E265" s="76" t="s">
        <v>905</v>
      </c>
      <c r="F265" s="76" t="s">
        <v>3198</v>
      </c>
      <c r="G265" s="76" t="s">
        <v>3199</v>
      </c>
      <c r="H265" s="76" t="s">
        <v>3200</v>
      </c>
      <c r="I265" s="75"/>
      <c r="J265" s="77" t="s">
        <v>1852</v>
      </c>
      <c r="K265" s="153"/>
    </row>
    <row r="266" spans="1:11" ht="43.2" x14ac:dyDescent="0.3">
      <c r="A266" s="74" t="s">
        <v>3201</v>
      </c>
      <c r="B266" s="75" t="s">
        <v>3186</v>
      </c>
      <c r="C266" s="75" t="s">
        <v>3202</v>
      </c>
      <c r="D266" s="75" t="s">
        <v>10</v>
      </c>
      <c r="E266" s="76" t="s">
        <v>923</v>
      </c>
      <c r="F266" s="76" t="s">
        <v>3203</v>
      </c>
      <c r="G266" s="76" t="s">
        <v>3204</v>
      </c>
      <c r="H266" s="76" t="s">
        <v>3205</v>
      </c>
      <c r="I266" s="75"/>
      <c r="J266" s="77" t="s">
        <v>1852</v>
      </c>
      <c r="K266" s="153"/>
    </row>
    <row r="267" spans="1:11" ht="28.8" x14ac:dyDescent="0.3">
      <c r="A267" s="74" t="s">
        <v>3206</v>
      </c>
      <c r="B267" s="75" t="s">
        <v>3186</v>
      </c>
      <c r="C267" s="75" t="s">
        <v>3207</v>
      </c>
      <c r="D267" s="75" t="s">
        <v>13</v>
      </c>
      <c r="E267" s="76" t="s">
        <v>928</v>
      </c>
      <c r="F267" s="76" t="s">
        <v>3208</v>
      </c>
      <c r="G267" s="76" t="s">
        <v>3209</v>
      </c>
      <c r="H267" s="76" t="s">
        <v>3210</v>
      </c>
      <c r="I267" s="75"/>
      <c r="J267" s="77" t="s">
        <v>1852</v>
      </c>
      <c r="K267" s="153"/>
    </row>
    <row r="268" spans="1:11" ht="43.2" x14ac:dyDescent="0.3">
      <c r="A268" s="74" t="s">
        <v>3211</v>
      </c>
      <c r="B268" s="75" t="s">
        <v>3186</v>
      </c>
      <c r="C268" s="75" t="s">
        <v>3212</v>
      </c>
      <c r="D268" s="75" t="s">
        <v>13</v>
      </c>
      <c r="E268" s="76" t="s">
        <v>909</v>
      </c>
      <c r="F268" s="76" t="s">
        <v>3213</v>
      </c>
      <c r="G268" s="76" t="s">
        <v>3214</v>
      </c>
      <c r="H268" s="76" t="s">
        <v>3215</v>
      </c>
      <c r="I268" s="75"/>
      <c r="J268" s="77" t="s">
        <v>1852</v>
      </c>
      <c r="K268" s="153"/>
    </row>
    <row r="269" spans="1:11" ht="28.8" x14ac:dyDescent="0.3">
      <c r="A269" s="74" t="s">
        <v>3216</v>
      </c>
      <c r="B269" s="75" t="s">
        <v>3186</v>
      </c>
      <c r="C269" s="75" t="s">
        <v>3217</v>
      </c>
      <c r="D269" s="75" t="s">
        <v>13</v>
      </c>
      <c r="E269" s="76" t="s">
        <v>943</v>
      </c>
      <c r="F269" s="76" t="s">
        <v>3218</v>
      </c>
      <c r="G269" s="76" t="s">
        <v>3219</v>
      </c>
      <c r="H269" s="76" t="s">
        <v>3220</v>
      </c>
      <c r="I269" s="75"/>
      <c r="J269" s="77" t="s">
        <v>1852</v>
      </c>
      <c r="K269" s="153"/>
    </row>
    <row r="270" spans="1:11" ht="28.8" x14ac:dyDescent="0.3">
      <c r="A270" s="74" t="s">
        <v>3221</v>
      </c>
      <c r="B270" s="75" t="s">
        <v>3186</v>
      </c>
      <c r="C270" s="75" t="s">
        <v>3222</v>
      </c>
      <c r="D270" s="75" t="s">
        <v>13</v>
      </c>
      <c r="E270" s="76" t="s">
        <v>948</v>
      </c>
      <c r="F270" s="76" t="s">
        <v>3223</v>
      </c>
      <c r="G270" s="76" t="s">
        <v>3224</v>
      </c>
      <c r="H270" s="76" t="s">
        <v>3225</v>
      </c>
      <c r="I270" s="75"/>
      <c r="J270" s="77" t="s">
        <v>1852</v>
      </c>
      <c r="K270" s="153"/>
    </row>
    <row r="271" spans="1:11" ht="28.8" x14ac:dyDescent="0.3">
      <c r="A271" s="74" t="s">
        <v>3226</v>
      </c>
      <c r="B271" s="75" t="s">
        <v>3186</v>
      </c>
      <c r="C271" s="75" t="s">
        <v>3227</v>
      </c>
      <c r="D271" s="75" t="s">
        <v>10</v>
      </c>
      <c r="E271" s="76" t="s">
        <v>933</v>
      </c>
      <c r="F271" s="76" t="s">
        <v>3228</v>
      </c>
      <c r="G271" s="76" t="s">
        <v>3229</v>
      </c>
      <c r="H271" s="76" t="s">
        <v>3230</v>
      </c>
      <c r="I271" s="75"/>
      <c r="J271" s="77" t="s">
        <v>1852</v>
      </c>
      <c r="K271" s="153"/>
    </row>
    <row r="272" spans="1:11" ht="28.8" x14ac:dyDescent="0.3">
      <c r="A272" s="74" t="s">
        <v>3231</v>
      </c>
      <c r="B272" s="75" t="s">
        <v>3186</v>
      </c>
      <c r="C272" s="75" t="s">
        <v>3232</v>
      </c>
      <c r="D272" s="75" t="s">
        <v>13</v>
      </c>
      <c r="E272" s="76" t="s">
        <v>786</v>
      </c>
      <c r="F272" s="76" t="s">
        <v>259</v>
      </c>
      <c r="G272" s="76" t="s">
        <v>3233</v>
      </c>
      <c r="H272" s="76" t="s">
        <v>3234</v>
      </c>
      <c r="I272" s="75"/>
      <c r="J272" s="77" t="s">
        <v>1852</v>
      </c>
      <c r="K272" s="153"/>
    </row>
    <row r="273" spans="1:11" ht="28.8" x14ac:dyDescent="0.3">
      <c r="A273" s="74" t="s">
        <v>3235</v>
      </c>
      <c r="B273" s="75" t="s">
        <v>3186</v>
      </c>
      <c r="C273" s="75" t="s">
        <v>3236</v>
      </c>
      <c r="D273" s="75" t="s">
        <v>10</v>
      </c>
      <c r="E273" s="76" t="s">
        <v>503</v>
      </c>
      <c r="F273" s="76" t="s">
        <v>3237</v>
      </c>
      <c r="G273" s="76" t="s">
        <v>3238</v>
      </c>
      <c r="H273" s="76" t="s">
        <v>13406</v>
      </c>
      <c r="I273" s="75"/>
      <c r="J273" s="77" t="s">
        <v>1868</v>
      </c>
      <c r="K273" s="153"/>
    </row>
    <row r="274" spans="1:11" ht="28.8" x14ac:dyDescent="0.3">
      <c r="A274" s="74" t="s">
        <v>3239</v>
      </c>
      <c r="B274" s="75" t="s">
        <v>3186</v>
      </c>
      <c r="C274" s="75" t="s">
        <v>3240</v>
      </c>
      <c r="D274" s="75" t="s">
        <v>10</v>
      </c>
      <c r="E274" s="76" t="s">
        <v>13424</v>
      </c>
      <c r="F274" s="76" t="s">
        <v>3241</v>
      </c>
      <c r="G274" s="76" t="s">
        <v>3242</v>
      </c>
      <c r="H274" s="76" t="s">
        <v>3243</v>
      </c>
      <c r="I274" s="75"/>
      <c r="J274" s="77" t="s">
        <v>1852</v>
      </c>
      <c r="K274" s="153" t="s">
        <v>13412</v>
      </c>
    </row>
    <row r="275" spans="1:11" ht="28.8" x14ac:dyDescent="0.3">
      <c r="A275" s="74" t="s">
        <v>3244</v>
      </c>
      <c r="B275" s="75" t="s">
        <v>3186</v>
      </c>
      <c r="C275" s="75" t="s">
        <v>3245</v>
      </c>
      <c r="D275" s="75" t="s">
        <v>10</v>
      </c>
      <c r="E275" s="76" t="s">
        <v>13403</v>
      </c>
      <c r="F275" s="76" t="s">
        <v>3246</v>
      </c>
      <c r="G275" s="76" t="s">
        <v>3247</v>
      </c>
      <c r="H275" s="76" t="s">
        <v>3248</v>
      </c>
      <c r="I275" s="75"/>
      <c r="J275" s="77" t="s">
        <v>1852</v>
      </c>
      <c r="K275" s="164"/>
    </row>
    <row r="276" spans="1:11" ht="28.8" x14ac:dyDescent="0.3">
      <c r="A276" s="74" t="s">
        <v>3249</v>
      </c>
      <c r="B276" s="75" t="s">
        <v>3186</v>
      </c>
      <c r="C276" s="75" t="s">
        <v>3250</v>
      </c>
      <c r="D276" s="75" t="s">
        <v>13</v>
      </c>
      <c r="E276" s="76" t="s">
        <v>938</v>
      </c>
      <c r="F276" s="76" t="s">
        <v>3251</v>
      </c>
      <c r="G276" s="76" t="s">
        <v>3252</v>
      </c>
      <c r="H276" s="76" t="s">
        <v>3253</v>
      </c>
      <c r="I276" s="75"/>
      <c r="J276" s="77" t="s">
        <v>1868</v>
      </c>
      <c r="K276" s="153"/>
    </row>
    <row r="277" spans="1:11" ht="43.2" x14ac:dyDescent="0.3">
      <c r="A277" s="74" t="s">
        <v>3254</v>
      </c>
      <c r="B277" s="75" t="s">
        <v>3186</v>
      </c>
      <c r="C277" s="75" t="s">
        <v>3255</v>
      </c>
      <c r="D277" s="75" t="s">
        <v>13</v>
      </c>
      <c r="E277" s="76" t="s">
        <v>13424</v>
      </c>
      <c r="F277" s="76" t="s">
        <v>3256</v>
      </c>
      <c r="G277" s="76" t="s">
        <v>3257</v>
      </c>
      <c r="H277" s="76" t="s">
        <v>3258</v>
      </c>
      <c r="I277" s="75"/>
      <c r="J277" s="77" t="s">
        <v>1852</v>
      </c>
      <c r="K277" s="153" t="s">
        <v>13413</v>
      </c>
    </row>
    <row r="278" spans="1:11" ht="43.2" x14ac:dyDescent="0.3">
      <c r="A278" s="74" t="s">
        <v>3259</v>
      </c>
      <c r="B278" s="75" t="s">
        <v>3186</v>
      </c>
      <c r="C278" s="75" t="s">
        <v>3260</v>
      </c>
      <c r="D278" s="75" t="s">
        <v>13</v>
      </c>
      <c r="E278" s="76" t="s">
        <v>13424</v>
      </c>
      <c r="F278" s="76" t="s">
        <v>3261</v>
      </c>
      <c r="G278" s="76" t="s">
        <v>3262</v>
      </c>
      <c r="H278" s="76" t="s">
        <v>3263</v>
      </c>
      <c r="I278" s="75"/>
      <c r="J278" s="77" t="s">
        <v>1852</v>
      </c>
      <c r="K278" s="153" t="s">
        <v>13414</v>
      </c>
    </row>
    <row r="279" spans="1:11" ht="28.8" x14ac:dyDescent="0.3">
      <c r="A279" s="74" t="s">
        <v>3264</v>
      </c>
      <c r="B279" s="75" t="s">
        <v>3186</v>
      </c>
      <c r="C279" s="75" t="s">
        <v>3265</v>
      </c>
      <c r="D279" s="75" t="s">
        <v>13</v>
      </c>
      <c r="E279" s="76" t="s">
        <v>13424</v>
      </c>
      <c r="F279" s="76" t="s">
        <v>3266</v>
      </c>
      <c r="G279" s="76" t="s">
        <v>3267</v>
      </c>
      <c r="H279" s="76" t="s">
        <v>3268</v>
      </c>
      <c r="I279" s="75"/>
      <c r="J279" s="77" t="s">
        <v>1868</v>
      </c>
      <c r="K279" s="153" t="s">
        <v>13415</v>
      </c>
    </row>
    <row r="280" spans="1:11" ht="28.8" x14ac:dyDescent="0.3">
      <c r="A280" s="78" t="s">
        <v>3269</v>
      </c>
      <c r="B280" s="79" t="s">
        <v>3186</v>
      </c>
      <c r="C280" s="79" t="s">
        <v>3270</v>
      </c>
      <c r="D280" s="79" t="s">
        <v>10</v>
      </c>
      <c r="E280" s="80" t="s">
        <v>13424</v>
      </c>
      <c r="F280" s="80" t="s">
        <v>3271</v>
      </c>
      <c r="G280" s="80" t="s">
        <v>3272</v>
      </c>
      <c r="H280" s="80" t="s">
        <v>3273</v>
      </c>
      <c r="I280" s="79"/>
      <c r="J280" s="81" t="s">
        <v>1852</v>
      </c>
      <c r="K280" s="153" t="s">
        <v>13416</v>
      </c>
    </row>
    <row r="281" spans="1:11" ht="30" customHeight="1" x14ac:dyDescent="0.3">
      <c r="A281" s="83" t="s">
        <v>3293</v>
      </c>
      <c r="B281" s="83" t="s">
        <v>3294</v>
      </c>
      <c r="C281" s="83" t="s">
        <v>3295</v>
      </c>
      <c r="D281" s="83" t="s">
        <v>10</v>
      </c>
      <c r="E281" s="83" t="s">
        <v>1798</v>
      </c>
      <c r="F281" s="83" t="s">
        <v>1637</v>
      </c>
      <c r="G281" s="83" t="s">
        <v>3296</v>
      </c>
      <c r="H281" s="83" t="s">
        <v>3297</v>
      </c>
      <c r="I281" s="83" t="s">
        <v>3298</v>
      </c>
      <c r="J281" s="83" t="s">
        <v>1852</v>
      </c>
      <c r="K281" s="153"/>
    </row>
    <row r="282" spans="1:11" ht="30" customHeight="1" x14ac:dyDescent="0.3">
      <c r="A282" s="83" t="s">
        <v>3299</v>
      </c>
      <c r="B282" s="83" t="s">
        <v>3294</v>
      </c>
      <c r="C282" s="83" t="s">
        <v>3300</v>
      </c>
      <c r="D282" s="83" t="s">
        <v>10</v>
      </c>
      <c r="E282" s="83" t="s">
        <v>1792</v>
      </c>
      <c r="F282" s="83" t="s">
        <v>3301</v>
      </c>
      <c r="G282" s="83" t="s">
        <v>3302</v>
      </c>
      <c r="H282" s="83" t="s">
        <v>13748</v>
      </c>
      <c r="I282" s="83" t="s">
        <v>3303</v>
      </c>
      <c r="J282" s="83" t="s">
        <v>1852</v>
      </c>
      <c r="K282" s="153"/>
    </row>
    <row r="283" spans="1:11" ht="30" customHeight="1" x14ac:dyDescent="0.3">
      <c r="A283" s="83" t="s">
        <v>3304</v>
      </c>
      <c r="B283" s="83" t="s">
        <v>3294</v>
      </c>
      <c r="C283" s="83" t="s">
        <v>3305</v>
      </c>
      <c r="D283" s="83" t="s">
        <v>10</v>
      </c>
      <c r="E283" s="83" t="s">
        <v>1795</v>
      </c>
      <c r="F283" s="83" t="s">
        <v>3306</v>
      </c>
      <c r="G283" s="83" t="s">
        <v>3307</v>
      </c>
      <c r="H283" s="83" t="s">
        <v>13749</v>
      </c>
      <c r="I283" s="83" t="s">
        <v>3308</v>
      </c>
      <c r="J283" s="83" t="s">
        <v>1852</v>
      </c>
      <c r="K283" s="153"/>
    </row>
    <row r="284" spans="1:11" ht="30" customHeight="1" x14ac:dyDescent="0.3">
      <c r="A284" s="83" t="s">
        <v>3309</v>
      </c>
      <c r="B284" s="83" t="s">
        <v>3294</v>
      </c>
      <c r="C284" s="83" t="s">
        <v>3310</v>
      </c>
      <c r="D284" s="83" t="s">
        <v>10</v>
      </c>
      <c r="E284" s="83" t="s">
        <v>1805</v>
      </c>
      <c r="F284" s="83" t="s">
        <v>3311</v>
      </c>
      <c r="G284" s="83" t="s">
        <v>3312</v>
      </c>
      <c r="H284" s="83" t="s">
        <v>13750</v>
      </c>
      <c r="I284" s="83" t="s">
        <v>3313</v>
      </c>
      <c r="J284" s="83" t="s">
        <v>1852</v>
      </c>
      <c r="K284" s="153"/>
    </row>
    <row r="285" spans="1:11" ht="30" customHeight="1" x14ac:dyDescent="0.3">
      <c r="A285" s="83" t="s">
        <v>3314</v>
      </c>
      <c r="B285" s="83" t="s">
        <v>3294</v>
      </c>
      <c r="C285" s="83" t="s">
        <v>3315</v>
      </c>
      <c r="D285" s="83" t="s">
        <v>10</v>
      </c>
      <c r="E285" s="83" t="s">
        <v>1806</v>
      </c>
      <c r="F285" s="83" t="s">
        <v>3316</v>
      </c>
      <c r="G285" s="83" t="s">
        <v>3317</v>
      </c>
      <c r="H285" s="83" t="s">
        <v>13751</v>
      </c>
      <c r="I285" s="83" t="s">
        <v>3318</v>
      </c>
      <c r="J285" s="83" t="s">
        <v>1852</v>
      </c>
      <c r="K285" s="153"/>
    </row>
    <row r="286" spans="1:11" ht="30" customHeight="1" x14ac:dyDescent="0.3">
      <c r="A286" s="83" t="s">
        <v>3319</v>
      </c>
      <c r="B286" s="83" t="s">
        <v>3294</v>
      </c>
      <c r="C286" s="83" t="s">
        <v>3320</v>
      </c>
      <c r="D286" s="83" t="s">
        <v>10</v>
      </c>
      <c r="E286" s="83" t="s">
        <v>1810</v>
      </c>
      <c r="F286" s="83" t="s">
        <v>3321</v>
      </c>
      <c r="G286" s="83" t="s">
        <v>3317</v>
      </c>
      <c r="H286" s="83" t="s">
        <v>13752</v>
      </c>
      <c r="I286" s="83" t="s">
        <v>3322</v>
      </c>
      <c r="J286" s="83" t="s">
        <v>1852</v>
      </c>
      <c r="K286" s="153"/>
    </row>
    <row r="287" spans="1:11" ht="30" customHeight="1" x14ac:dyDescent="0.3">
      <c r="A287" s="83" t="s">
        <v>3323</v>
      </c>
      <c r="B287" s="83" t="s">
        <v>3294</v>
      </c>
      <c r="C287" s="83" t="s">
        <v>3324</v>
      </c>
      <c r="D287" s="83" t="s">
        <v>10</v>
      </c>
      <c r="E287" s="83" t="s">
        <v>1810</v>
      </c>
      <c r="F287" s="83" t="s">
        <v>3325</v>
      </c>
      <c r="G287" s="83" t="s">
        <v>3317</v>
      </c>
      <c r="H287" s="83" t="s">
        <v>13753</v>
      </c>
      <c r="I287" s="83" t="s">
        <v>3326</v>
      </c>
      <c r="J287" s="83" t="s">
        <v>1852</v>
      </c>
      <c r="K287" s="153"/>
    </row>
    <row r="288" spans="1:11" ht="30" customHeight="1" x14ac:dyDescent="0.3">
      <c r="A288" s="83" t="s">
        <v>3327</v>
      </c>
      <c r="B288" s="83" t="s">
        <v>3294</v>
      </c>
      <c r="C288" s="83" t="s">
        <v>3328</v>
      </c>
      <c r="D288" s="83" t="s">
        <v>10</v>
      </c>
      <c r="E288" s="83" t="s">
        <v>1813</v>
      </c>
      <c r="F288" s="83" t="s">
        <v>1600</v>
      </c>
      <c r="G288" s="83" t="s">
        <v>3329</v>
      </c>
      <c r="H288" s="83" t="s">
        <v>3330</v>
      </c>
      <c r="I288" s="83" t="s">
        <v>3331</v>
      </c>
      <c r="J288" s="83" t="s">
        <v>1852</v>
      </c>
      <c r="K288" s="153"/>
    </row>
    <row r="289" spans="1:11" ht="30" customHeight="1" x14ac:dyDescent="0.3">
      <c r="A289" s="83" t="s">
        <v>3332</v>
      </c>
      <c r="B289" s="83" t="s">
        <v>3294</v>
      </c>
      <c r="C289" s="83" t="s">
        <v>3333</v>
      </c>
      <c r="D289" s="83" t="s">
        <v>10</v>
      </c>
      <c r="E289" s="83" t="s">
        <v>1818</v>
      </c>
      <c r="F289" s="83" t="s">
        <v>3334</v>
      </c>
      <c r="G289" s="83" t="s">
        <v>3335</v>
      </c>
      <c r="H289" s="83" t="s">
        <v>3336</v>
      </c>
      <c r="I289" s="83" t="s">
        <v>3337</v>
      </c>
      <c r="J289" s="83" t="s">
        <v>1852</v>
      </c>
      <c r="K289" s="153"/>
    </row>
    <row r="290" spans="1:11" ht="30" customHeight="1" x14ac:dyDescent="0.3">
      <c r="A290" s="83" t="s">
        <v>3338</v>
      </c>
      <c r="B290" s="83" t="s">
        <v>3294</v>
      </c>
      <c r="C290" s="83" t="s">
        <v>3339</v>
      </c>
      <c r="D290" s="83" t="s">
        <v>21</v>
      </c>
      <c r="E290" s="83" t="s">
        <v>49</v>
      </c>
      <c r="F290" s="83" t="s">
        <v>3340</v>
      </c>
      <c r="G290" s="83" t="s">
        <v>3341</v>
      </c>
      <c r="H290" s="83" t="s">
        <v>3342</v>
      </c>
      <c r="I290" s="83" t="s">
        <v>3343</v>
      </c>
      <c r="J290" s="83" t="s">
        <v>1868</v>
      </c>
      <c r="K290" s="153"/>
    </row>
    <row r="291" spans="1:11" ht="30" customHeight="1" x14ac:dyDescent="0.3">
      <c r="A291" s="83" t="s">
        <v>3344</v>
      </c>
      <c r="B291" s="83" t="s">
        <v>3294</v>
      </c>
      <c r="C291" s="83" t="s">
        <v>3345</v>
      </c>
      <c r="D291" s="83" t="s">
        <v>21</v>
      </c>
      <c r="E291" s="83" t="s">
        <v>41</v>
      </c>
      <c r="F291" s="83" t="s">
        <v>3346</v>
      </c>
      <c r="G291" s="83" t="s">
        <v>3347</v>
      </c>
      <c r="H291" s="83" t="s">
        <v>3348</v>
      </c>
      <c r="I291" s="83" t="s">
        <v>3349</v>
      </c>
      <c r="J291" s="83" t="s">
        <v>1868</v>
      </c>
      <c r="K291" s="153"/>
    </row>
    <row r="292" spans="1:11" ht="30" customHeight="1" x14ac:dyDescent="0.3">
      <c r="A292" s="83" t="s">
        <v>3350</v>
      </c>
      <c r="B292" s="83" t="s">
        <v>3294</v>
      </c>
      <c r="C292" s="83" t="s">
        <v>3351</v>
      </c>
      <c r="D292" s="83" t="s">
        <v>21</v>
      </c>
      <c r="E292" s="83" t="s">
        <v>54</v>
      </c>
      <c r="F292" s="83" t="s">
        <v>3352</v>
      </c>
      <c r="G292" s="83" t="s">
        <v>3353</v>
      </c>
      <c r="H292" s="83" t="s">
        <v>3354</v>
      </c>
      <c r="I292" s="83" t="s">
        <v>3355</v>
      </c>
      <c r="J292" s="83" t="s">
        <v>1852</v>
      </c>
      <c r="K292" s="153"/>
    </row>
    <row r="293" spans="1:11" ht="30" customHeight="1" x14ac:dyDescent="0.3">
      <c r="A293" s="83" t="s">
        <v>3356</v>
      </c>
      <c r="B293" s="83" t="s">
        <v>3294</v>
      </c>
      <c r="C293" s="83" t="s">
        <v>3357</v>
      </c>
      <c r="D293" s="83" t="s">
        <v>21</v>
      </c>
      <c r="E293" s="83" t="s">
        <v>40</v>
      </c>
      <c r="F293" s="83" t="s">
        <v>3358</v>
      </c>
      <c r="G293" s="83" t="s">
        <v>3359</v>
      </c>
      <c r="H293" s="83" t="s">
        <v>3360</v>
      </c>
      <c r="I293" s="83" t="s">
        <v>3361</v>
      </c>
      <c r="J293" s="83" t="s">
        <v>1868</v>
      </c>
      <c r="K293" s="153"/>
    </row>
    <row r="294" spans="1:11" ht="30" customHeight="1" x14ac:dyDescent="0.3">
      <c r="A294" s="83" t="s">
        <v>3362</v>
      </c>
      <c r="B294" s="83" t="s">
        <v>3294</v>
      </c>
      <c r="C294" s="83" t="s">
        <v>3363</v>
      </c>
      <c r="D294" s="83" t="s">
        <v>21</v>
      </c>
      <c r="E294" s="83" t="s">
        <v>55</v>
      </c>
      <c r="F294" s="83" t="s">
        <v>3364</v>
      </c>
      <c r="G294" s="83" t="s">
        <v>3365</v>
      </c>
      <c r="H294" s="83" t="s">
        <v>3366</v>
      </c>
      <c r="I294" s="83" t="s">
        <v>3367</v>
      </c>
      <c r="J294" s="83" t="s">
        <v>1868</v>
      </c>
      <c r="K294" s="153"/>
    </row>
    <row r="295" spans="1:11" ht="30" customHeight="1" x14ac:dyDescent="0.3">
      <c r="A295" s="83" t="s">
        <v>3368</v>
      </c>
      <c r="B295" s="83" t="s">
        <v>3294</v>
      </c>
      <c r="C295" s="83" t="s">
        <v>3369</v>
      </c>
      <c r="D295" s="83" t="s">
        <v>21</v>
      </c>
      <c r="E295" s="83" t="s">
        <v>47</v>
      </c>
      <c r="F295" s="83" t="s">
        <v>3370</v>
      </c>
      <c r="G295" s="83" t="s">
        <v>3347</v>
      </c>
      <c r="H295" s="83" t="s">
        <v>3371</v>
      </c>
      <c r="I295" s="83" t="s">
        <v>3372</v>
      </c>
      <c r="J295" s="83" t="s">
        <v>1868</v>
      </c>
      <c r="K295" s="153"/>
    </row>
    <row r="296" spans="1:11" ht="30" customHeight="1" x14ac:dyDescent="0.3">
      <c r="A296" s="83" t="s">
        <v>3373</v>
      </c>
      <c r="B296" s="83" t="s">
        <v>3294</v>
      </c>
      <c r="C296" s="83" t="s">
        <v>3374</v>
      </c>
      <c r="D296" s="83" t="s">
        <v>21</v>
      </c>
      <c r="E296" s="83" t="s">
        <v>56</v>
      </c>
      <c r="F296" s="83" t="s">
        <v>3375</v>
      </c>
      <c r="G296" s="83" t="s">
        <v>3347</v>
      </c>
      <c r="H296" s="83" t="s">
        <v>3376</v>
      </c>
      <c r="I296" s="83" t="s">
        <v>3377</v>
      </c>
      <c r="J296" s="83" t="s">
        <v>1868</v>
      </c>
      <c r="K296" s="153"/>
    </row>
    <row r="297" spans="1:11" ht="30" customHeight="1" x14ac:dyDescent="0.3">
      <c r="A297" s="83" t="s">
        <v>3378</v>
      </c>
      <c r="B297" s="83" t="s">
        <v>3294</v>
      </c>
      <c r="C297" s="83" t="s">
        <v>3379</v>
      </c>
      <c r="D297" s="83" t="s">
        <v>21</v>
      </c>
      <c r="E297" s="83" t="s">
        <v>43</v>
      </c>
      <c r="F297" s="83" t="s">
        <v>3380</v>
      </c>
      <c r="G297" s="83" t="s">
        <v>3381</v>
      </c>
      <c r="H297" s="83" t="s">
        <v>3382</v>
      </c>
      <c r="I297" s="83" t="s">
        <v>3383</v>
      </c>
      <c r="J297" s="83" t="s">
        <v>1868</v>
      </c>
      <c r="K297" s="153"/>
    </row>
    <row r="298" spans="1:11" ht="30" customHeight="1" x14ac:dyDescent="0.3">
      <c r="A298" s="83" t="s">
        <v>3384</v>
      </c>
      <c r="B298" s="83" t="s">
        <v>3294</v>
      </c>
      <c r="C298" s="83" t="s">
        <v>3385</v>
      </c>
      <c r="D298" s="83" t="s">
        <v>21</v>
      </c>
      <c r="E298" s="83" t="s">
        <v>42</v>
      </c>
      <c r="F298" s="83" t="s">
        <v>3386</v>
      </c>
      <c r="G298" s="83" t="s">
        <v>455</v>
      </c>
      <c r="H298" s="83" t="s">
        <v>3387</v>
      </c>
      <c r="I298" s="83" t="s">
        <v>3388</v>
      </c>
      <c r="J298" s="83" t="s">
        <v>1852</v>
      </c>
      <c r="K298" s="153"/>
    </row>
    <row r="299" spans="1:11" ht="30" customHeight="1" x14ac:dyDescent="0.3">
      <c r="A299" s="83" t="s">
        <v>3389</v>
      </c>
      <c r="B299" s="83" t="s">
        <v>3294</v>
      </c>
      <c r="C299" s="83" t="s">
        <v>3390</v>
      </c>
      <c r="D299" s="83" t="s">
        <v>21</v>
      </c>
      <c r="E299" s="83" t="s">
        <v>482</v>
      </c>
      <c r="F299" s="83" t="s">
        <v>3391</v>
      </c>
      <c r="G299" s="83" t="s">
        <v>3347</v>
      </c>
      <c r="H299" s="83" t="s">
        <v>3392</v>
      </c>
      <c r="I299" s="83" t="s">
        <v>3393</v>
      </c>
      <c r="J299" s="83" t="s">
        <v>1868</v>
      </c>
      <c r="K299" s="153"/>
    </row>
    <row r="300" spans="1:11" ht="30" customHeight="1" x14ac:dyDescent="0.3">
      <c r="A300" s="83" t="s">
        <v>3394</v>
      </c>
      <c r="B300" s="83" t="s">
        <v>3294</v>
      </c>
      <c r="C300" s="83" t="s">
        <v>3395</v>
      </c>
      <c r="D300" s="83" t="s">
        <v>21</v>
      </c>
      <c r="E300" s="83" t="s">
        <v>44</v>
      </c>
      <c r="F300" s="83" t="s">
        <v>3396</v>
      </c>
      <c r="G300" s="83" t="s">
        <v>3397</v>
      </c>
      <c r="H300" s="83" t="s">
        <v>3398</v>
      </c>
      <c r="I300" s="83" t="s">
        <v>3399</v>
      </c>
      <c r="J300" s="83" t="s">
        <v>1852</v>
      </c>
      <c r="K300" s="153"/>
    </row>
    <row r="301" spans="1:11" ht="30" customHeight="1" x14ac:dyDescent="0.3">
      <c r="A301" s="83" t="s">
        <v>3400</v>
      </c>
      <c r="B301" s="83" t="s">
        <v>3294</v>
      </c>
      <c r="C301" s="83" t="s">
        <v>3401</v>
      </c>
      <c r="D301" s="83" t="s">
        <v>21</v>
      </c>
      <c r="E301" s="83" t="s">
        <v>46</v>
      </c>
      <c r="F301" s="83" t="s">
        <v>3402</v>
      </c>
      <c r="G301" s="83" t="s">
        <v>3403</v>
      </c>
      <c r="H301" s="83" t="s">
        <v>3404</v>
      </c>
      <c r="I301" s="83" t="s">
        <v>3405</v>
      </c>
      <c r="J301" s="83" t="s">
        <v>1868</v>
      </c>
      <c r="K301" s="153"/>
    </row>
    <row r="302" spans="1:11" ht="30" customHeight="1" x14ac:dyDescent="0.3">
      <c r="A302" s="83" t="s">
        <v>3406</v>
      </c>
      <c r="B302" s="83" t="s">
        <v>3294</v>
      </c>
      <c r="C302" s="83" t="s">
        <v>2140</v>
      </c>
      <c r="D302" s="83" t="s">
        <v>10</v>
      </c>
      <c r="E302" s="83" t="s">
        <v>1733</v>
      </c>
      <c r="F302" s="83" t="s">
        <v>3407</v>
      </c>
      <c r="G302" s="83" t="s">
        <v>3408</v>
      </c>
      <c r="H302" s="83" t="s">
        <v>3409</v>
      </c>
      <c r="I302" s="83" t="s">
        <v>3410</v>
      </c>
      <c r="J302" s="83" t="s">
        <v>1852</v>
      </c>
      <c r="K302" s="153"/>
    </row>
    <row r="303" spans="1:11" ht="30" customHeight="1" x14ac:dyDescent="0.3">
      <c r="A303" s="83" t="s">
        <v>3411</v>
      </c>
      <c r="B303" s="83" t="s">
        <v>3294</v>
      </c>
      <c r="C303" s="83" t="s">
        <v>2146</v>
      </c>
      <c r="D303" s="83" t="s">
        <v>10</v>
      </c>
      <c r="E303" s="83" t="s">
        <v>1738</v>
      </c>
      <c r="F303" s="83" t="s">
        <v>3412</v>
      </c>
      <c r="G303" s="83" t="s">
        <v>3413</v>
      </c>
      <c r="H303" s="83" t="s">
        <v>3414</v>
      </c>
      <c r="I303" s="83" t="s">
        <v>3415</v>
      </c>
      <c r="J303" s="83" t="s">
        <v>1852</v>
      </c>
      <c r="K303" s="153"/>
    </row>
    <row r="304" spans="1:11" ht="30" customHeight="1" x14ac:dyDescent="0.3">
      <c r="A304" s="83" t="s">
        <v>3416</v>
      </c>
      <c r="B304" s="83" t="s">
        <v>3294</v>
      </c>
      <c r="C304" s="83" t="s">
        <v>2151</v>
      </c>
      <c r="D304" s="83" t="s">
        <v>10</v>
      </c>
      <c r="E304" s="83" t="s">
        <v>1743</v>
      </c>
      <c r="F304" s="83" t="s">
        <v>3417</v>
      </c>
      <c r="G304" s="83" t="s">
        <v>3418</v>
      </c>
      <c r="H304" s="83" t="s">
        <v>3419</v>
      </c>
      <c r="I304" s="83" t="s">
        <v>3420</v>
      </c>
      <c r="J304" s="83" t="s">
        <v>1852</v>
      </c>
      <c r="K304" s="153"/>
    </row>
    <row r="305" spans="1:11" ht="30" customHeight="1" x14ac:dyDescent="0.3">
      <c r="A305" s="83" t="s">
        <v>3421</v>
      </c>
      <c r="B305" s="83" t="s">
        <v>3294</v>
      </c>
      <c r="C305" s="83" t="s">
        <v>3422</v>
      </c>
      <c r="D305" s="83" t="s">
        <v>10</v>
      </c>
      <c r="E305" s="83" t="s">
        <v>1748</v>
      </c>
      <c r="F305" s="83" t="s">
        <v>3423</v>
      </c>
      <c r="G305" s="83" t="s">
        <v>3424</v>
      </c>
      <c r="H305" s="83" t="s">
        <v>3425</v>
      </c>
      <c r="I305" s="83" t="s">
        <v>3426</v>
      </c>
      <c r="J305" s="83" t="s">
        <v>1852</v>
      </c>
      <c r="K305" s="153"/>
    </row>
    <row r="306" spans="1:11" ht="30" customHeight="1" x14ac:dyDescent="0.3">
      <c r="A306" s="83" t="s">
        <v>3427</v>
      </c>
      <c r="B306" s="83" t="s">
        <v>3294</v>
      </c>
      <c r="C306" s="83" t="s">
        <v>3428</v>
      </c>
      <c r="D306" s="83" t="s">
        <v>10</v>
      </c>
      <c r="E306" s="83" t="s">
        <v>1753</v>
      </c>
      <c r="F306" s="83" t="s">
        <v>3429</v>
      </c>
      <c r="G306" s="83" t="s">
        <v>3430</v>
      </c>
      <c r="H306" s="83" t="s">
        <v>3431</v>
      </c>
      <c r="I306" s="83" t="s">
        <v>3432</v>
      </c>
      <c r="J306" s="83" t="s">
        <v>1852</v>
      </c>
      <c r="K306" s="153"/>
    </row>
    <row r="307" spans="1:11" ht="30" customHeight="1" x14ac:dyDescent="0.3">
      <c r="A307" s="83" t="s">
        <v>3433</v>
      </c>
      <c r="B307" s="83" t="s">
        <v>3294</v>
      </c>
      <c r="C307" s="83" t="s">
        <v>2240</v>
      </c>
      <c r="D307" s="83" t="s">
        <v>10</v>
      </c>
      <c r="E307" s="83" t="s">
        <v>1758</v>
      </c>
      <c r="F307" s="83" t="s">
        <v>3429</v>
      </c>
      <c r="G307" s="83" t="s">
        <v>3434</v>
      </c>
      <c r="H307" s="83" t="s">
        <v>3435</v>
      </c>
      <c r="I307" s="83" t="s">
        <v>3436</v>
      </c>
      <c r="J307" s="83" t="s">
        <v>1852</v>
      </c>
      <c r="K307" s="153"/>
    </row>
    <row r="308" spans="1:11" ht="30" customHeight="1" x14ac:dyDescent="0.3">
      <c r="A308" s="83" t="s">
        <v>3437</v>
      </c>
      <c r="B308" s="83" t="s">
        <v>3294</v>
      </c>
      <c r="C308" s="83" t="s">
        <v>2212</v>
      </c>
      <c r="D308" s="83" t="s">
        <v>10</v>
      </c>
      <c r="E308" s="83" t="s">
        <v>1763</v>
      </c>
      <c r="F308" s="83" t="s">
        <v>3429</v>
      </c>
      <c r="G308" s="83" t="s">
        <v>3438</v>
      </c>
      <c r="H308" s="83" t="s">
        <v>3439</v>
      </c>
      <c r="I308" s="83" t="s">
        <v>3440</v>
      </c>
      <c r="J308" s="83" t="s">
        <v>1852</v>
      </c>
      <c r="K308" s="153"/>
    </row>
    <row r="309" spans="1:11" ht="30" customHeight="1" x14ac:dyDescent="0.3">
      <c r="A309" s="83" t="s">
        <v>3441</v>
      </c>
      <c r="B309" s="83" t="s">
        <v>3294</v>
      </c>
      <c r="C309" s="83" t="s">
        <v>2217</v>
      </c>
      <c r="D309" s="83" t="s">
        <v>10</v>
      </c>
      <c r="E309" s="83" t="s">
        <v>1773</v>
      </c>
      <c r="F309" s="83" t="s">
        <v>3429</v>
      </c>
      <c r="G309" s="83" t="s">
        <v>3442</v>
      </c>
      <c r="H309" s="83" t="s">
        <v>3443</v>
      </c>
      <c r="I309" s="83" t="s">
        <v>3444</v>
      </c>
      <c r="J309" s="83" t="s">
        <v>1852</v>
      </c>
      <c r="K309" s="153"/>
    </row>
    <row r="310" spans="1:11" ht="30" customHeight="1" x14ac:dyDescent="0.3">
      <c r="A310" s="83" t="s">
        <v>3445</v>
      </c>
      <c r="B310" s="83" t="s">
        <v>3294</v>
      </c>
      <c r="C310" s="83" t="s">
        <v>2225</v>
      </c>
      <c r="D310" s="83" t="s">
        <v>10</v>
      </c>
      <c r="E310" s="83" t="s">
        <v>1778</v>
      </c>
      <c r="F310" s="83" t="s">
        <v>3423</v>
      </c>
      <c r="G310" s="83" t="s">
        <v>3446</v>
      </c>
      <c r="H310" s="83" t="s">
        <v>3447</v>
      </c>
      <c r="I310" s="83" t="s">
        <v>3448</v>
      </c>
      <c r="J310" s="83" t="s">
        <v>1852</v>
      </c>
      <c r="K310" s="153"/>
    </row>
    <row r="311" spans="1:11" ht="30" customHeight="1" x14ac:dyDescent="0.3">
      <c r="A311" s="83" t="s">
        <v>3449</v>
      </c>
      <c r="B311" s="83" t="s">
        <v>3294</v>
      </c>
      <c r="C311" s="83" t="s">
        <v>3450</v>
      </c>
      <c r="D311" s="83" t="s">
        <v>10</v>
      </c>
      <c r="E311" s="83" t="s">
        <v>1788</v>
      </c>
      <c r="F311" s="83" t="s">
        <v>3423</v>
      </c>
      <c r="G311" s="83" t="s">
        <v>3451</v>
      </c>
      <c r="H311" s="83" t="s">
        <v>3452</v>
      </c>
      <c r="I311" s="83" t="s">
        <v>3453</v>
      </c>
      <c r="J311" s="83" t="s">
        <v>1852</v>
      </c>
      <c r="K311" s="153"/>
    </row>
    <row r="312" spans="1:11" ht="30" customHeight="1" x14ac:dyDescent="0.3">
      <c r="A312" s="83" t="s">
        <v>3454</v>
      </c>
      <c r="B312" s="83" t="s">
        <v>3294</v>
      </c>
      <c r="C312" s="83" t="s">
        <v>85</v>
      </c>
      <c r="D312" s="83" t="s">
        <v>21</v>
      </c>
      <c r="E312" s="83" t="s">
        <v>32</v>
      </c>
      <c r="F312" s="83" t="s">
        <v>3455</v>
      </c>
      <c r="G312" s="83" t="s">
        <v>3456</v>
      </c>
      <c r="H312" s="83" t="s">
        <v>3457</v>
      </c>
      <c r="I312" s="83" t="s">
        <v>3458</v>
      </c>
      <c r="J312" s="83" t="s">
        <v>1852</v>
      </c>
      <c r="K312" s="153"/>
    </row>
    <row r="313" spans="1:11" ht="30" customHeight="1" x14ac:dyDescent="0.3">
      <c r="A313" s="83" t="s">
        <v>3459</v>
      </c>
      <c r="B313" s="83" t="s">
        <v>3294</v>
      </c>
      <c r="C313" s="83" t="s">
        <v>93</v>
      </c>
      <c r="D313" s="83" t="s">
        <v>21</v>
      </c>
      <c r="E313" s="83" t="s">
        <v>52</v>
      </c>
      <c r="F313" s="83" t="s">
        <v>3460</v>
      </c>
      <c r="G313" s="83" t="s">
        <v>3461</v>
      </c>
      <c r="H313" s="83" t="s">
        <v>3462</v>
      </c>
      <c r="I313" s="83" t="s">
        <v>3463</v>
      </c>
      <c r="J313" s="83" t="s">
        <v>1852</v>
      </c>
      <c r="K313" s="153"/>
    </row>
    <row r="314" spans="1:11" ht="30" customHeight="1" x14ac:dyDescent="0.3">
      <c r="A314" s="83" t="s">
        <v>3464</v>
      </c>
      <c r="B314" s="83" t="s">
        <v>3294</v>
      </c>
      <c r="C314" s="83" t="s">
        <v>99</v>
      </c>
      <c r="D314" s="83" t="s">
        <v>21</v>
      </c>
      <c r="E314" s="83" t="s">
        <v>86</v>
      </c>
      <c r="F314" s="83" t="s">
        <v>3465</v>
      </c>
      <c r="G314" s="83" t="s">
        <v>3466</v>
      </c>
      <c r="H314" s="83" t="s">
        <v>3467</v>
      </c>
      <c r="I314" s="83" t="s">
        <v>3468</v>
      </c>
      <c r="J314" s="83" t="s">
        <v>1868</v>
      </c>
      <c r="K314" s="153"/>
    </row>
    <row r="315" spans="1:11" ht="30" customHeight="1" x14ac:dyDescent="0.3">
      <c r="A315" s="83" t="s">
        <v>3469</v>
      </c>
      <c r="B315" s="83" t="s">
        <v>3294</v>
      </c>
      <c r="C315" s="83" t="s">
        <v>105</v>
      </c>
      <c r="D315" s="83" t="s">
        <v>21</v>
      </c>
      <c r="E315" s="83" t="s">
        <v>20</v>
      </c>
      <c r="F315" s="83" t="s">
        <v>3470</v>
      </c>
      <c r="G315" s="83" t="s">
        <v>3471</v>
      </c>
      <c r="H315" s="83" t="s">
        <v>3472</v>
      </c>
      <c r="I315" s="83" t="s">
        <v>14</v>
      </c>
      <c r="J315" s="83" t="s">
        <v>1868</v>
      </c>
      <c r="K315" s="153"/>
    </row>
    <row r="316" spans="1:11" ht="30" customHeight="1" x14ac:dyDescent="0.3">
      <c r="A316" s="83" t="s">
        <v>3473</v>
      </c>
      <c r="B316" s="83" t="s">
        <v>3294</v>
      </c>
      <c r="C316" s="83" t="s">
        <v>112</v>
      </c>
      <c r="D316" s="83" t="s">
        <v>10</v>
      </c>
      <c r="E316" s="83" t="s">
        <v>20</v>
      </c>
      <c r="F316" s="83" t="s">
        <v>3470</v>
      </c>
      <c r="G316" s="83" t="s">
        <v>3474</v>
      </c>
      <c r="H316" s="83" t="s">
        <v>13754</v>
      </c>
      <c r="I316" s="83" t="s">
        <v>3475</v>
      </c>
      <c r="J316" s="83" t="s">
        <v>1868</v>
      </c>
      <c r="K316" s="153"/>
    </row>
    <row r="317" spans="1:11" ht="30" customHeight="1" x14ac:dyDescent="0.3">
      <c r="A317" s="83" t="s">
        <v>3476</v>
      </c>
      <c r="B317" s="83" t="s">
        <v>3294</v>
      </c>
      <c r="C317" s="83" t="s">
        <v>117</v>
      </c>
      <c r="D317" s="83" t="s">
        <v>21</v>
      </c>
      <c r="E317" s="83" t="s">
        <v>40</v>
      </c>
      <c r="F317" s="83" t="s">
        <v>3477</v>
      </c>
      <c r="G317" s="83" t="s">
        <v>3478</v>
      </c>
      <c r="H317" s="83" t="s">
        <v>3472</v>
      </c>
      <c r="I317" s="83" t="s">
        <v>14</v>
      </c>
      <c r="J317" s="83" t="s">
        <v>1868</v>
      </c>
      <c r="K317" s="153"/>
    </row>
    <row r="318" spans="1:11" ht="30" customHeight="1" x14ac:dyDescent="0.3">
      <c r="A318" s="83" t="s">
        <v>3479</v>
      </c>
      <c r="B318" s="83" t="s">
        <v>3294</v>
      </c>
      <c r="C318" s="83" t="s">
        <v>121</v>
      </c>
      <c r="D318" s="83" t="s">
        <v>21</v>
      </c>
      <c r="E318" s="83" t="s">
        <v>573</v>
      </c>
      <c r="F318" s="83" t="s">
        <v>3480</v>
      </c>
      <c r="G318" s="83" t="s">
        <v>3481</v>
      </c>
      <c r="H318" s="83" t="s">
        <v>3482</v>
      </c>
      <c r="I318" s="83" t="s">
        <v>3483</v>
      </c>
      <c r="J318" s="83" t="s">
        <v>1868</v>
      </c>
      <c r="K318" s="153"/>
    </row>
    <row r="319" spans="1:11" ht="30" customHeight="1" x14ac:dyDescent="0.3">
      <c r="A319" s="83" t="s">
        <v>3484</v>
      </c>
      <c r="B319" s="83" t="s">
        <v>3294</v>
      </c>
      <c r="C319" s="83" t="s">
        <v>128</v>
      </c>
      <c r="D319" s="83" t="s">
        <v>21</v>
      </c>
      <c r="E319" s="83" t="s">
        <v>573</v>
      </c>
      <c r="F319" s="83" t="s">
        <v>3485</v>
      </c>
      <c r="G319" s="83" t="s">
        <v>3486</v>
      </c>
      <c r="H319" s="83" t="s">
        <v>3487</v>
      </c>
      <c r="I319" s="83" t="s">
        <v>14</v>
      </c>
      <c r="J319" s="83" t="s">
        <v>1868</v>
      </c>
      <c r="K319" s="153"/>
    </row>
    <row r="320" spans="1:11" ht="30" customHeight="1" x14ac:dyDescent="0.3">
      <c r="A320" s="83" t="s">
        <v>3488</v>
      </c>
      <c r="B320" s="83" t="s">
        <v>3294</v>
      </c>
      <c r="C320" s="83" t="s">
        <v>207</v>
      </c>
      <c r="D320" s="83" t="s">
        <v>21</v>
      </c>
      <c r="E320" s="83" t="s">
        <v>208</v>
      </c>
      <c r="F320" s="83" t="s">
        <v>3489</v>
      </c>
      <c r="G320" s="83" t="s">
        <v>3490</v>
      </c>
      <c r="H320" s="83" t="s">
        <v>3491</v>
      </c>
      <c r="I320" s="83" t="s">
        <v>14</v>
      </c>
      <c r="J320" s="83" t="s">
        <v>1868</v>
      </c>
      <c r="K320" s="153"/>
    </row>
    <row r="321" spans="1:11" ht="30" customHeight="1" x14ac:dyDescent="0.3">
      <c r="A321" s="83" t="s">
        <v>3492</v>
      </c>
      <c r="B321" s="83" t="s">
        <v>3294</v>
      </c>
      <c r="C321" s="83" t="s">
        <v>214</v>
      </c>
      <c r="D321" s="83" t="s">
        <v>21</v>
      </c>
      <c r="E321" s="83" t="s">
        <v>208</v>
      </c>
      <c r="F321" s="83" t="s">
        <v>3493</v>
      </c>
      <c r="G321" s="83" t="s">
        <v>3494</v>
      </c>
      <c r="H321" s="83" t="s">
        <v>3495</v>
      </c>
      <c r="I321" s="83" t="s">
        <v>3496</v>
      </c>
      <c r="J321" s="83" t="s">
        <v>1868</v>
      </c>
      <c r="K321" s="153"/>
    </row>
    <row r="322" spans="1:11" ht="30" customHeight="1" x14ac:dyDescent="0.3">
      <c r="A322" s="83" t="s">
        <v>3497</v>
      </c>
      <c r="B322" s="83" t="s">
        <v>3294</v>
      </c>
      <c r="C322" s="83" t="s">
        <v>234</v>
      </c>
      <c r="D322" s="83" t="s">
        <v>21</v>
      </c>
      <c r="E322" s="83" t="s">
        <v>235</v>
      </c>
      <c r="F322" s="83" t="s">
        <v>3498</v>
      </c>
      <c r="G322" s="83" t="s">
        <v>3499</v>
      </c>
      <c r="H322" s="83" t="s">
        <v>3500</v>
      </c>
      <c r="I322" s="83" t="s">
        <v>3501</v>
      </c>
      <c r="J322" s="83" t="s">
        <v>1868</v>
      </c>
      <c r="K322" s="153"/>
    </row>
    <row r="323" spans="1:11" ht="30" customHeight="1" x14ac:dyDescent="0.3">
      <c r="A323" s="83" t="s">
        <v>3502</v>
      </c>
      <c r="B323" s="83" t="s">
        <v>3294</v>
      </c>
      <c r="C323" s="83" t="s">
        <v>242</v>
      </c>
      <c r="D323" s="83" t="s">
        <v>21</v>
      </c>
      <c r="E323" s="83" t="s">
        <v>235</v>
      </c>
      <c r="F323" s="83" t="s">
        <v>3503</v>
      </c>
      <c r="G323" s="83" t="s">
        <v>3504</v>
      </c>
      <c r="H323" s="83" t="s">
        <v>3505</v>
      </c>
      <c r="I323" s="83" t="s">
        <v>14</v>
      </c>
      <c r="J323" s="83" t="s">
        <v>1868</v>
      </c>
      <c r="K323" s="153"/>
    </row>
    <row r="324" spans="1:11" ht="30" customHeight="1" x14ac:dyDescent="0.3">
      <c r="A324" s="83" t="s">
        <v>3506</v>
      </c>
      <c r="B324" s="83" t="s">
        <v>3294</v>
      </c>
      <c r="C324" s="83" t="s">
        <v>194</v>
      </c>
      <c r="D324" s="83" t="s">
        <v>21</v>
      </c>
      <c r="E324" s="83" t="s">
        <v>195</v>
      </c>
      <c r="F324" s="83" t="s">
        <v>3507</v>
      </c>
      <c r="G324" s="83" t="s">
        <v>3508</v>
      </c>
      <c r="H324" s="83" t="s">
        <v>3509</v>
      </c>
      <c r="I324" s="83" t="s">
        <v>14</v>
      </c>
      <c r="J324" s="83" t="s">
        <v>1868</v>
      </c>
      <c r="K324" s="153"/>
    </row>
    <row r="325" spans="1:11" ht="30" customHeight="1" x14ac:dyDescent="0.3">
      <c r="A325" s="83" t="s">
        <v>3510</v>
      </c>
      <c r="B325" s="83" t="s">
        <v>3294</v>
      </c>
      <c r="C325" s="83" t="s">
        <v>201</v>
      </c>
      <c r="D325" s="83" t="s">
        <v>21</v>
      </c>
      <c r="E325" s="83" t="s">
        <v>195</v>
      </c>
      <c r="F325" s="83" t="s">
        <v>3511</v>
      </c>
      <c r="G325" s="83" t="s">
        <v>3512</v>
      </c>
      <c r="H325" s="83" t="s">
        <v>3513</v>
      </c>
      <c r="I325" s="83" t="s">
        <v>3514</v>
      </c>
      <c r="J325" s="83" t="s">
        <v>1868</v>
      </c>
      <c r="K325" s="153"/>
    </row>
    <row r="326" spans="1:11" ht="30" customHeight="1" x14ac:dyDescent="0.3">
      <c r="A326" s="83" t="s">
        <v>3515</v>
      </c>
      <c r="B326" s="83" t="s">
        <v>3294</v>
      </c>
      <c r="C326" s="83" t="s">
        <v>3516</v>
      </c>
      <c r="D326" s="83" t="s">
        <v>21</v>
      </c>
      <c r="E326" s="83" t="s">
        <v>796</v>
      </c>
      <c r="F326" s="83" t="s">
        <v>3517</v>
      </c>
      <c r="G326" s="83" t="s">
        <v>3518</v>
      </c>
      <c r="H326" s="83" t="s">
        <v>3519</v>
      </c>
      <c r="I326" s="83" t="s">
        <v>3520</v>
      </c>
      <c r="J326" s="83" t="s">
        <v>1868</v>
      </c>
      <c r="K326" s="153"/>
    </row>
    <row r="327" spans="1:11" ht="30" customHeight="1" x14ac:dyDescent="0.3">
      <c r="A327" s="83" t="s">
        <v>3521</v>
      </c>
      <c r="B327" s="83" t="s">
        <v>3294</v>
      </c>
      <c r="C327" s="83" t="s">
        <v>3522</v>
      </c>
      <c r="D327" s="83" t="s">
        <v>21</v>
      </c>
      <c r="E327" s="83" t="s">
        <v>765</v>
      </c>
      <c r="F327" s="83" t="s">
        <v>3523</v>
      </c>
      <c r="G327" s="83" t="s">
        <v>3524</v>
      </c>
      <c r="H327" s="83" t="s">
        <v>3525</v>
      </c>
      <c r="I327" s="83" t="s">
        <v>3526</v>
      </c>
      <c r="J327" s="83" t="s">
        <v>1868</v>
      </c>
      <c r="K327" s="153"/>
    </row>
    <row r="328" spans="1:11" ht="30" customHeight="1" x14ac:dyDescent="0.3">
      <c r="A328" s="83" t="s">
        <v>3527</v>
      </c>
      <c r="B328" s="83" t="s">
        <v>3294</v>
      </c>
      <c r="C328" s="83" t="s">
        <v>3528</v>
      </c>
      <c r="D328" s="83" t="s">
        <v>21</v>
      </c>
      <c r="E328" s="83" t="s">
        <v>776</v>
      </c>
      <c r="F328" s="83" t="s">
        <v>3529</v>
      </c>
      <c r="G328" s="83" t="s">
        <v>3530</v>
      </c>
      <c r="H328" s="83" t="s">
        <v>3531</v>
      </c>
      <c r="I328" s="83" t="s">
        <v>3532</v>
      </c>
      <c r="J328" s="83" t="s">
        <v>1868</v>
      </c>
      <c r="K328" s="153"/>
    </row>
    <row r="329" spans="1:11" ht="30" customHeight="1" x14ac:dyDescent="0.3">
      <c r="A329" s="83" t="s">
        <v>3533</v>
      </c>
      <c r="B329" s="83" t="s">
        <v>3294</v>
      </c>
      <c r="C329" s="83" t="s">
        <v>3534</v>
      </c>
      <c r="D329" s="83" t="s">
        <v>21</v>
      </c>
      <c r="E329" s="83" t="s">
        <v>781</v>
      </c>
      <c r="F329" s="83" t="s">
        <v>3535</v>
      </c>
      <c r="G329" s="83" t="s">
        <v>3530</v>
      </c>
      <c r="H329" s="83" t="s">
        <v>3536</v>
      </c>
      <c r="I329" s="83" t="s">
        <v>3537</v>
      </c>
      <c r="J329" s="83" t="s">
        <v>1868</v>
      </c>
      <c r="K329" s="153"/>
    </row>
    <row r="330" spans="1:11" ht="30" customHeight="1" x14ac:dyDescent="0.3">
      <c r="A330" s="83" t="s">
        <v>3538</v>
      </c>
      <c r="B330" s="83" t="s">
        <v>3294</v>
      </c>
      <c r="C330" s="83" t="s">
        <v>3539</v>
      </c>
      <c r="D330" s="83" t="s">
        <v>10</v>
      </c>
      <c r="E330" s="83" t="s">
        <v>679</v>
      </c>
      <c r="F330" s="83" t="s">
        <v>3540</v>
      </c>
      <c r="G330" s="83" t="s">
        <v>3541</v>
      </c>
      <c r="H330" s="83" t="s">
        <v>3542</v>
      </c>
      <c r="I330" s="83" t="s">
        <v>3543</v>
      </c>
      <c r="J330" s="83" t="s">
        <v>1852</v>
      </c>
      <c r="K330" s="153"/>
    </row>
    <row r="331" spans="1:11" ht="30" customHeight="1" x14ac:dyDescent="0.3">
      <c r="A331" s="83" t="s">
        <v>3544</v>
      </c>
      <c r="B331" s="83" t="s">
        <v>3294</v>
      </c>
      <c r="C331" s="83" t="s">
        <v>3545</v>
      </c>
      <c r="D331" s="83" t="s">
        <v>13</v>
      </c>
      <c r="E331" s="83" t="s">
        <v>664</v>
      </c>
      <c r="F331" s="83" t="s">
        <v>3546</v>
      </c>
      <c r="G331" s="83" t="s">
        <v>3547</v>
      </c>
      <c r="H331" s="83" t="s">
        <v>3548</v>
      </c>
      <c r="I331" s="83" t="s">
        <v>3549</v>
      </c>
      <c r="J331" s="83" t="s">
        <v>1852</v>
      </c>
      <c r="K331" s="153"/>
    </row>
    <row r="332" spans="1:11" ht="30" customHeight="1" x14ac:dyDescent="0.3">
      <c r="A332" s="83" t="s">
        <v>3550</v>
      </c>
      <c r="B332" s="83" t="s">
        <v>3294</v>
      </c>
      <c r="C332" s="83" t="s">
        <v>3551</v>
      </c>
      <c r="D332" s="83" t="s">
        <v>10</v>
      </c>
      <c r="E332" s="83" t="s">
        <v>684</v>
      </c>
      <c r="F332" s="83" t="s">
        <v>3552</v>
      </c>
      <c r="G332" s="83" t="s">
        <v>3553</v>
      </c>
      <c r="H332" s="83" t="s">
        <v>3554</v>
      </c>
      <c r="I332" s="83" t="s">
        <v>3555</v>
      </c>
      <c r="J332" s="83" t="s">
        <v>1868</v>
      </c>
      <c r="K332" s="153"/>
    </row>
    <row r="333" spans="1:11" ht="30" customHeight="1" x14ac:dyDescent="0.3">
      <c r="A333" s="83" t="s">
        <v>3556</v>
      </c>
      <c r="B333" s="83" t="s">
        <v>3294</v>
      </c>
      <c r="C333" s="83" t="s">
        <v>3557</v>
      </c>
      <c r="D333" s="83" t="s">
        <v>21</v>
      </c>
      <c r="E333" s="83" t="s">
        <v>741</v>
      </c>
      <c r="F333" s="83" t="s">
        <v>3558</v>
      </c>
      <c r="G333" s="83" t="s">
        <v>3559</v>
      </c>
      <c r="H333" s="83" t="s">
        <v>3560</v>
      </c>
      <c r="I333" s="83" t="s">
        <v>3561</v>
      </c>
      <c r="J333" s="83" t="s">
        <v>1868</v>
      </c>
      <c r="K333" s="153"/>
    </row>
    <row r="334" spans="1:11" ht="30" customHeight="1" x14ac:dyDescent="0.3">
      <c r="A334" s="83" t="s">
        <v>3562</v>
      </c>
      <c r="B334" s="83" t="s">
        <v>3294</v>
      </c>
      <c r="C334" s="83" t="s">
        <v>3563</v>
      </c>
      <c r="D334" s="83" t="s">
        <v>21</v>
      </c>
      <c r="E334" s="83" t="s">
        <v>58</v>
      </c>
      <c r="F334" s="83" t="s">
        <v>3564</v>
      </c>
      <c r="G334" s="83" t="s">
        <v>3565</v>
      </c>
      <c r="H334" s="83" t="s">
        <v>3566</v>
      </c>
      <c r="I334" s="83" t="s">
        <v>3567</v>
      </c>
      <c r="J334" s="83" t="s">
        <v>1873</v>
      </c>
      <c r="K334" s="153"/>
    </row>
    <row r="335" spans="1:11" ht="30" customHeight="1" x14ac:dyDescent="0.3">
      <c r="A335" s="83" t="s">
        <v>3568</v>
      </c>
      <c r="B335" s="83" t="s">
        <v>3294</v>
      </c>
      <c r="C335" s="83" t="s">
        <v>151</v>
      </c>
      <c r="D335" s="83" t="s">
        <v>21</v>
      </c>
      <c r="E335" s="83" t="s">
        <v>909</v>
      </c>
      <c r="F335" s="83" t="s">
        <v>3569</v>
      </c>
      <c r="G335" s="83" t="s">
        <v>3570</v>
      </c>
      <c r="H335" s="83" t="s">
        <v>3571</v>
      </c>
      <c r="I335" s="83" t="s">
        <v>3572</v>
      </c>
      <c r="J335" s="83" t="s">
        <v>1852</v>
      </c>
      <c r="K335" s="153"/>
    </row>
    <row r="336" spans="1:11" ht="30" customHeight="1" x14ac:dyDescent="0.3">
      <c r="A336" s="83" t="s">
        <v>3573</v>
      </c>
      <c r="B336" s="83" t="s">
        <v>3294</v>
      </c>
      <c r="C336" s="83" t="s">
        <v>3574</v>
      </c>
      <c r="D336" s="83" t="s">
        <v>21</v>
      </c>
      <c r="E336" s="83" t="s">
        <v>913</v>
      </c>
      <c r="F336" s="83" t="s">
        <v>3575</v>
      </c>
      <c r="G336" s="83" t="s">
        <v>3576</v>
      </c>
      <c r="H336" s="83" t="s">
        <v>3577</v>
      </c>
      <c r="I336" s="83" t="s">
        <v>14</v>
      </c>
      <c r="J336" s="83" t="s">
        <v>1868</v>
      </c>
      <c r="K336" s="153"/>
    </row>
    <row r="337" spans="1:11" x14ac:dyDescent="0.3">
      <c r="K337" s="153"/>
    </row>
    <row r="338" spans="1:11" x14ac:dyDescent="0.3">
      <c r="K338" s="153"/>
    </row>
    <row r="339" spans="1:11" ht="18" x14ac:dyDescent="0.35">
      <c r="A339" s="84" t="s">
        <v>3274</v>
      </c>
      <c r="K339" s="153"/>
    </row>
    <row r="340" spans="1:11" x14ac:dyDescent="0.3">
      <c r="K340" s="153"/>
    </row>
    <row r="341" spans="1:11" x14ac:dyDescent="0.3">
      <c r="A341" s="85" t="s">
        <v>9</v>
      </c>
      <c r="B341" s="85" t="s">
        <v>3275</v>
      </c>
      <c r="C341" s="85" t="s">
        <v>3276</v>
      </c>
      <c r="K341" s="153"/>
    </row>
    <row r="342" spans="1:11" x14ac:dyDescent="0.3">
      <c r="A342" s="82" t="s">
        <v>1845</v>
      </c>
      <c r="B342" s="82">
        <v>14</v>
      </c>
      <c r="C342" s="82" t="s">
        <v>3580</v>
      </c>
      <c r="K342" s="153"/>
    </row>
    <row r="343" spans="1:11" x14ac:dyDescent="0.3">
      <c r="A343" t="s">
        <v>1923</v>
      </c>
      <c r="B343">
        <v>15</v>
      </c>
      <c r="C343" t="s">
        <v>3277</v>
      </c>
      <c r="K343" s="153"/>
    </row>
    <row r="344" spans="1:11" x14ac:dyDescent="0.3">
      <c r="A344" t="s">
        <v>2011</v>
      </c>
      <c r="B344">
        <v>26</v>
      </c>
      <c r="C344" t="s">
        <v>3278</v>
      </c>
      <c r="K344" s="153"/>
    </row>
    <row r="345" spans="1:11" x14ac:dyDescent="0.3">
      <c r="A345" t="s">
        <v>2128</v>
      </c>
      <c r="B345">
        <v>28</v>
      </c>
      <c r="C345" t="s">
        <v>3279</v>
      </c>
      <c r="K345" s="153"/>
    </row>
    <row r="346" spans="1:11" x14ac:dyDescent="0.3">
      <c r="A346" t="s">
        <v>2271</v>
      </c>
      <c r="B346">
        <v>20</v>
      </c>
      <c r="C346" t="s">
        <v>3280</v>
      </c>
      <c r="K346" s="153"/>
    </row>
    <row r="347" spans="1:11" x14ac:dyDescent="0.3">
      <c r="A347" t="s">
        <v>2375</v>
      </c>
      <c r="B347">
        <v>14</v>
      </c>
      <c r="C347" t="s">
        <v>3281</v>
      </c>
      <c r="K347" s="153"/>
    </row>
    <row r="348" spans="1:11" x14ac:dyDescent="0.3">
      <c r="A348" t="s">
        <v>2450</v>
      </c>
      <c r="B348">
        <v>18</v>
      </c>
      <c r="C348" t="s">
        <v>3282</v>
      </c>
      <c r="K348" s="153"/>
    </row>
    <row r="349" spans="1:11" x14ac:dyDescent="0.3">
      <c r="A349" t="s">
        <v>2541</v>
      </c>
      <c r="B349">
        <v>18</v>
      </c>
      <c r="C349" t="s">
        <v>3283</v>
      </c>
      <c r="K349" s="153"/>
    </row>
    <row r="350" spans="1:11" x14ac:dyDescent="0.3">
      <c r="A350" t="s">
        <v>2642</v>
      </c>
      <c r="B350">
        <v>14</v>
      </c>
      <c r="C350" t="s">
        <v>3284</v>
      </c>
      <c r="K350" s="153"/>
    </row>
    <row r="351" spans="1:11" x14ac:dyDescent="0.3">
      <c r="A351" t="s">
        <v>2710</v>
      </c>
      <c r="B351">
        <v>18</v>
      </c>
      <c r="C351" t="s">
        <v>3285</v>
      </c>
      <c r="K351" s="153"/>
    </row>
    <row r="352" spans="1:11" x14ac:dyDescent="0.3">
      <c r="A352" t="s">
        <v>2798</v>
      </c>
      <c r="B352">
        <v>16</v>
      </c>
      <c r="C352" t="s">
        <v>3286</v>
      </c>
      <c r="K352" s="153"/>
    </row>
    <row r="353" spans="1:11" x14ac:dyDescent="0.3">
      <c r="A353" t="s">
        <v>2883</v>
      </c>
      <c r="B353">
        <v>14</v>
      </c>
      <c r="C353" t="s">
        <v>3287</v>
      </c>
      <c r="K353" s="153"/>
    </row>
    <row r="354" spans="1:11" x14ac:dyDescent="0.3">
      <c r="A354" t="s">
        <v>2952</v>
      </c>
      <c r="B354">
        <v>16</v>
      </c>
      <c r="C354" t="s">
        <v>3288</v>
      </c>
      <c r="K354" s="153"/>
    </row>
    <row r="355" spans="1:11" x14ac:dyDescent="0.3">
      <c r="A355" t="s">
        <v>3040</v>
      </c>
      <c r="B355">
        <v>16</v>
      </c>
      <c r="C355" t="s">
        <v>3289</v>
      </c>
      <c r="K355" s="153"/>
    </row>
    <row r="356" spans="1:11" x14ac:dyDescent="0.3">
      <c r="A356" t="s">
        <v>3121</v>
      </c>
      <c r="B356">
        <v>14</v>
      </c>
      <c r="C356" t="s">
        <v>3290</v>
      </c>
      <c r="K356" s="153"/>
    </row>
    <row r="357" spans="1:11" x14ac:dyDescent="0.3">
      <c r="A357" t="s">
        <v>3186</v>
      </c>
      <c r="B357">
        <v>18</v>
      </c>
      <c r="C357" t="s">
        <v>3291</v>
      </c>
      <c r="K357" s="153"/>
    </row>
    <row r="358" spans="1:11" x14ac:dyDescent="0.3">
      <c r="A358" s="88" t="s">
        <v>3578</v>
      </c>
      <c r="B358" s="88">
        <v>56</v>
      </c>
      <c r="C358" s="88" t="s">
        <v>3579</v>
      </c>
      <c r="K358" s="153"/>
    </row>
    <row r="359" spans="1:11" x14ac:dyDescent="0.3">
      <c r="K359" s="153"/>
    </row>
    <row r="360" spans="1:11" x14ac:dyDescent="0.3">
      <c r="A360" s="86" t="s">
        <v>3292</v>
      </c>
      <c r="B360" s="86">
        <v>335</v>
      </c>
      <c r="C360" s="86"/>
      <c r="K360" s="153"/>
    </row>
  </sheetData>
  <dataValidations count="2">
    <dataValidation type="list" errorStyle="warning" allowBlank="1" showInputMessage="1" showErrorMessage="1" errorTitle="Invalid Type" error="Select: P (Positive), N (Negative), or E (Edge Case)" sqref="C2:C280" xr:uid="{CBFFF3E6-5713-41A9-9E59-929A3EFC1009}">
      <formula1>"P,N,E"</formula1>
    </dataValidation>
    <dataValidation type="list" errorStyle="warning" allowBlank="1" showInputMessage="1" showErrorMessage="1" errorTitle="Invalid Priority" error="Select: P1 (Critical), P2 (High), or P3 (Medium)" sqref="J2:J280" xr:uid="{DE68BE39-9CDE-4C6C-BA4C-E721A0613F12}">
      <formula1>"P1,P2,P3"</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0605-8E03-47DC-9140-D7BF399D614E}">
  <dimension ref="A1:K119"/>
  <sheetViews>
    <sheetView workbookViewId="0">
      <pane ySplit="1" topLeftCell="A29" activePane="bottomLeft" state="frozen"/>
      <selection pane="bottomLeft"/>
    </sheetView>
  </sheetViews>
  <sheetFormatPr defaultRowHeight="14.4" x14ac:dyDescent="0.3"/>
  <cols>
    <col min="1" max="1" width="18.5546875" customWidth="1"/>
    <col min="2" max="2" width="46.33203125" customWidth="1"/>
    <col min="3" max="3" width="59.21875" customWidth="1"/>
    <col min="4" max="4" width="9.21875" customWidth="1"/>
    <col min="5" max="5" width="22.21875" customWidth="1"/>
    <col min="6" max="9" width="55.5546875" customWidth="1"/>
    <col min="10" max="10" width="14.77734375" customWidth="1"/>
    <col min="11" max="11" width="55.5546875" customWidth="1"/>
  </cols>
  <sheetData>
    <row r="1" spans="1:11" ht="25.05" customHeight="1" x14ac:dyDescent="0.3">
      <c r="A1" s="2" t="s">
        <v>0</v>
      </c>
      <c r="B1" s="2" t="s">
        <v>9</v>
      </c>
      <c r="C1" s="2" t="s">
        <v>1840</v>
      </c>
      <c r="D1" s="2" t="s">
        <v>2</v>
      </c>
      <c r="E1" s="2" t="s">
        <v>1841</v>
      </c>
      <c r="F1" s="2" t="s">
        <v>4</v>
      </c>
      <c r="G1" s="2" t="s">
        <v>1842</v>
      </c>
      <c r="H1" s="2" t="s">
        <v>6</v>
      </c>
      <c r="I1" s="2" t="s">
        <v>3581</v>
      </c>
      <c r="J1" s="2" t="s">
        <v>1131</v>
      </c>
      <c r="K1" s="152" t="s">
        <v>12827</v>
      </c>
    </row>
    <row r="2" spans="1:11" x14ac:dyDescent="0.3">
      <c r="A2" s="46" t="s">
        <v>4459</v>
      </c>
      <c r="B2" s="46" t="s">
        <v>4460</v>
      </c>
      <c r="C2" s="46" t="s">
        <v>4461</v>
      </c>
      <c r="D2" s="46" t="s">
        <v>13</v>
      </c>
      <c r="E2" s="46" t="s">
        <v>4462</v>
      </c>
      <c r="F2" s="46" t="s">
        <v>4463</v>
      </c>
      <c r="G2" s="46" t="s">
        <v>4464</v>
      </c>
      <c r="H2" s="46" t="s">
        <v>3705</v>
      </c>
      <c r="I2" s="46" t="s">
        <v>14</v>
      </c>
      <c r="J2" s="46" t="s">
        <v>1852</v>
      </c>
      <c r="K2" s="153"/>
    </row>
    <row r="3" spans="1:11" x14ac:dyDescent="0.3">
      <c r="A3" s="46" t="s">
        <v>4465</v>
      </c>
      <c r="B3" s="46" t="s">
        <v>4460</v>
      </c>
      <c r="C3" s="46" t="s">
        <v>4466</v>
      </c>
      <c r="D3" s="46" t="s">
        <v>10</v>
      </c>
      <c r="E3" s="46" t="s">
        <v>26</v>
      </c>
      <c r="F3" s="46" t="s">
        <v>4467</v>
      </c>
      <c r="G3" s="46" t="s">
        <v>4468</v>
      </c>
      <c r="H3" s="46" t="s">
        <v>13762</v>
      </c>
      <c r="I3" s="46" t="s">
        <v>4469</v>
      </c>
      <c r="J3" s="46" t="s">
        <v>1852</v>
      </c>
      <c r="K3" s="153"/>
    </row>
    <row r="4" spans="1:11" x14ac:dyDescent="0.3">
      <c r="A4" s="46" t="s">
        <v>4470</v>
      </c>
      <c r="B4" s="46" t="s">
        <v>4460</v>
      </c>
      <c r="C4" s="46" t="s">
        <v>4471</v>
      </c>
      <c r="D4" s="46" t="s">
        <v>10</v>
      </c>
      <c r="E4" s="46" t="s">
        <v>26</v>
      </c>
      <c r="F4" s="46" t="s">
        <v>4472</v>
      </c>
      <c r="G4" s="46" t="s">
        <v>4468</v>
      </c>
      <c r="H4" s="46" t="s">
        <v>13763</v>
      </c>
      <c r="I4" s="46" t="s">
        <v>4473</v>
      </c>
      <c r="J4" s="46" t="s">
        <v>1852</v>
      </c>
      <c r="K4" s="153"/>
    </row>
    <row r="5" spans="1:11" x14ac:dyDescent="0.3">
      <c r="A5" s="46" t="s">
        <v>4474</v>
      </c>
      <c r="B5" s="46" t="s">
        <v>4460</v>
      </c>
      <c r="C5" s="46" t="s">
        <v>4475</v>
      </c>
      <c r="D5" s="46" t="s">
        <v>10</v>
      </c>
      <c r="E5" s="46" t="s">
        <v>26</v>
      </c>
      <c r="F5" s="46" t="s">
        <v>4476</v>
      </c>
      <c r="G5" s="46" t="s">
        <v>4468</v>
      </c>
      <c r="H5" s="46" t="s">
        <v>13764</v>
      </c>
      <c r="I5" s="46" t="s">
        <v>4477</v>
      </c>
      <c r="J5" s="46" t="s">
        <v>1852</v>
      </c>
      <c r="K5" s="153"/>
    </row>
    <row r="6" spans="1:11" x14ac:dyDescent="0.3">
      <c r="A6" s="46" t="s">
        <v>4478</v>
      </c>
      <c r="B6" s="46" t="s">
        <v>4460</v>
      </c>
      <c r="C6" s="46" t="s">
        <v>4479</v>
      </c>
      <c r="D6" s="46" t="s">
        <v>10</v>
      </c>
      <c r="E6" s="46" t="s">
        <v>16</v>
      </c>
      <c r="F6" s="46" t="s">
        <v>4480</v>
      </c>
      <c r="G6" s="46" t="s">
        <v>4468</v>
      </c>
      <c r="H6" s="46" t="s">
        <v>13765</v>
      </c>
      <c r="I6" s="46" t="s">
        <v>4481</v>
      </c>
      <c r="J6" s="46" t="s">
        <v>1852</v>
      </c>
      <c r="K6" s="153"/>
    </row>
    <row r="7" spans="1:11" x14ac:dyDescent="0.3">
      <c r="A7" s="46" t="s">
        <v>4482</v>
      </c>
      <c r="B7" s="46" t="s">
        <v>4460</v>
      </c>
      <c r="C7" s="46" t="s">
        <v>4483</v>
      </c>
      <c r="D7" s="46" t="s">
        <v>10</v>
      </c>
      <c r="E7" s="46" t="s">
        <v>16</v>
      </c>
      <c r="F7" s="46" t="s">
        <v>4484</v>
      </c>
      <c r="G7" s="46" t="s">
        <v>4468</v>
      </c>
      <c r="H7" s="46" t="s">
        <v>13766</v>
      </c>
      <c r="I7" s="46" t="s">
        <v>4485</v>
      </c>
      <c r="J7" s="46" t="s">
        <v>1852</v>
      </c>
      <c r="K7" s="153"/>
    </row>
    <row r="8" spans="1:11" x14ac:dyDescent="0.3">
      <c r="A8" s="46" t="s">
        <v>4486</v>
      </c>
      <c r="B8" s="46" t="s">
        <v>4460</v>
      </c>
      <c r="C8" s="46" t="s">
        <v>4487</v>
      </c>
      <c r="D8" s="46" t="s">
        <v>10</v>
      </c>
      <c r="E8" s="46" t="s">
        <v>16</v>
      </c>
      <c r="F8" s="46" t="s">
        <v>4488</v>
      </c>
      <c r="G8" s="46" t="s">
        <v>4468</v>
      </c>
      <c r="H8" s="46" t="s">
        <v>13767</v>
      </c>
      <c r="I8" s="46" t="s">
        <v>4489</v>
      </c>
      <c r="J8" s="46" t="s">
        <v>1852</v>
      </c>
      <c r="K8" s="153"/>
    </row>
    <row r="9" spans="1:11" x14ac:dyDescent="0.3">
      <c r="A9" s="46" t="s">
        <v>4490</v>
      </c>
      <c r="B9" s="46" t="s">
        <v>4460</v>
      </c>
      <c r="C9" s="46" t="s">
        <v>4491</v>
      </c>
      <c r="D9" s="46" t="s">
        <v>10</v>
      </c>
      <c r="E9" s="46" t="s">
        <v>530</v>
      </c>
      <c r="F9" s="46" t="s">
        <v>4492</v>
      </c>
      <c r="G9" s="46" t="s">
        <v>4468</v>
      </c>
      <c r="H9" s="46" t="s">
        <v>4493</v>
      </c>
      <c r="I9" s="46" t="s">
        <v>4494</v>
      </c>
      <c r="J9" s="46" t="s">
        <v>1852</v>
      </c>
      <c r="K9" s="153"/>
    </row>
    <row r="10" spans="1:11" x14ac:dyDescent="0.3">
      <c r="A10" s="46" t="s">
        <v>4495</v>
      </c>
      <c r="B10" s="46" t="s">
        <v>4460</v>
      </c>
      <c r="C10" s="46" t="s">
        <v>4496</v>
      </c>
      <c r="D10" s="46" t="s">
        <v>10</v>
      </c>
      <c r="E10" s="46" t="s">
        <v>1823</v>
      </c>
      <c r="F10" s="46" t="s">
        <v>4497</v>
      </c>
      <c r="G10" s="46" t="s">
        <v>4468</v>
      </c>
      <c r="H10" s="46" t="s">
        <v>4498</v>
      </c>
      <c r="I10" s="46" t="s">
        <v>4499</v>
      </c>
      <c r="J10" s="46" t="s">
        <v>1852</v>
      </c>
      <c r="K10" s="153"/>
    </row>
    <row r="11" spans="1:11" x14ac:dyDescent="0.3">
      <c r="A11" s="46" t="s">
        <v>4500</v>
      </c>
      <c r="B11" s="46" t="s">
        <v>4460</v>
      </c>
      <c r="C11" s="46" t="s">
        <v>4501</v>
      </c>
      <c r="D11" s="46" t="s">
        <v>13</v>
      </c>
      <c r="E11" s="46" t="s">
        <v>1823</v>
      </c>
      <c r="F11" s="46" t="s">
        <v>4502</v>
      </c>
      <c r="G11" s="46" t="s">
        <v>4464</v>
      </c>
      <c r="H11" s="46" t="s">
        <v>3705</v>
      </c>
      <c r="I11" s="46" t="s">
        <v>14</v>
      </c>
      <c r="J11" s="46" t="s">
        <v>1852</v>
      </c>
      <c r="K11" s="153"/>
    </row>
    <row r="12" spans="1:11" x14ac:dyDescent="0.3">
      <c r="A12" s="46" t="s">
        <v>4503</v>
      </c>
      <c r="B12" s="46" t="s">
        <v>4460</v>
      </c>
      <c r="C12" s="46" t="s">
        <v>4504</v>
      </c>
      <c r="D12" s="46" t="s">
        <v>10</v>
      </c>
      <c r="E12" s="46" t="s">
        <v>4462</v>
      </c>
      <c r="F12" s="46" t="s">
        <v>4505</v>
      </c>
      <c r="G12" s="46" t="s">
        <v>4468</v>
      </c>
      <c r="H12" s="46" t="s">
        <v>13768</v>
      </c>
      <c r="I12" s="46" t="s">
        <v>4505</v>
      </c>
      <c r="J12" s="46" t="s">
        <v>1852</v>
      </c>
      <c r="K12" s="153"/>
    </row>
    <row r="13" spans="1:11" x14ac:dyDescent="0.3">
      <c r="A13" s="46" t="s">
        <v>4506</v>
      </c>
      <c r="B13" s="46" t="s">
        <v>4460</v>
      </c>
      <c r="C13" s="46" t="s">
        <v>4507</v>
      </c>
      <c r="D13" s="46" t="s">
        <v>13</v>
      </c>
      <c r="E13" s="46" t="s">
        <v>16</v>
      </c>
      <c r="F13" s="46" t="s">
        <v>4508</v>
      </c>
      <c r="G13" s="46" t="s">
        <v>4464</v>
      </c>
      <c r="H13" s="46" t="s">
        <v>4509</v>
      </c>
      <c r="I13" s="46" t="s">
        <v>14</v>
      </c>
      <c r="J13" s="46" t="s">
        <v>1868</v>
      </c>
      <c r="K13" s="153"/>
    </row>
    <row r="14" spans="1:11" x14ac:dyDescent="0.3">
      <c r="A14" s="46" t="s">
        <v>4510</v>
      </c>
      <c r="B14" s="46" t="s">
        <v>4460</v>
      </c>
      <c r="C14" s="46" t="s">
        <v>4511</v>
      </c>
      <c r="D14" s="46" t="s">
        <v>13</v>
      </c>
      <c r="E14" s="46" t="s">
        <v>16</v>
      </c>
      <c r="F14" s="46" t="s">
        <v>4512</v>
      </c>
      <c r="G14" s="46" t="s">
        <v>4464</v>
      </c>
      <c r="H14" s="46" t="s">
        <v>4513</v>
      </c>
      <c r="I14" s="46" t="s">
        <v>14</v>
      </c>
      <c r="J14" s="46" t="s">
        <v>1868</v>
      </c>
      <c r="K14" s="153"/>
    </row>
    <row r="15" spans="1:11" x14ac:dyDescent="0.3">
      <c r="A15" s="46" t="s">
        <v>4514</v>
      </c>
      <c r="B15" s="46" t="s">
        <v>4460</v>
      </c>
      <c r="C15" s="46" t="s">
        <v>4515</v>
      </c>
      <c r="D15" s="46" t="s">
        <v>10</v>
      </c>
      <c r="E15" s="46" t="s">
        <v>1798</v>
      </c>
      <c r="F15" s="46" t="s">
        <v>4516</v>
      </c>
      <c r="G15" s="46" t="s">
        <v>4517</v>
      </c>
      <c r="H15" s="46" t="s">
        <v>13769</v>
      </c>
      <c r="I15" s="46" t="s">
        <v>3295</v>
      </c>
      <c r="J15" s="46" t="s">
        <v>1852</v>
      </c>
      <c r="K15" s="153"/>
    </row>
    <row r="16" spans="1:11" x14ac:dyDescent="0.3">
      <c r="A16" s="46" t="s">
        <v>4518</v>
      </c>
      <c r="B16" s="46" t="s">
        <v>4460</v>
      </c>
      <c r="C16" s="46" t="s">
        <v>4519</v>
      </c>
      <c r="D16" s="46" t="s">
        <v>10</v>
      </c>
      <c r="E16" s="46" t="s">
        <v>333</v>
      </c>
      <c r="F16" s="46" t="s">
        <v>3412</v>
      </c>
      <c r="G16" s="46" t="s">
        <v>4520</v>
      </c>
      <c r="H16" s="46" t="s">
        <v>4521</v>
      </c>
      <c r="I16" s="46" t="s">
        <v>4522</v>
      </c>
      <c r="J16" s="46" t="s">
        <v>1852</v>
      </c>
      <c r="K16" s="153"/>
    </row>
    <row r="17" spans="1:11" x14ac:dyDescent="0.3">
      <c r="A17" s="46" t="s">
        <v>4523</v>
      </c>
      <c r="B17" s="46" t="s">
        <v>4460</v>
      </c>
      <c r="C17" s="46" t="s">
        <v>4524</v>
      </c>
      <c r="D17" s="46" t="s">
        <v>10</v>
      </c>
      <c r="E17" s="46" t="s">
        <v>333</v>
      </c>
      <c r="F17" s="46" t="s">
        <v>4104</v>
      </c>
      <c r="G17" s="46" t="s">
        <v>4520</v>
      </c>
      <c r="H17" s="46" t="s">
        <v>4525</v>
      </c>
      <c r="I17" s="46" t="s">
        <v>4526</v>
      </c>
      <c r="J17" s="46" t="s">
        <v>1852</v>
      </c>
      <c r="K17" s="153"/>
    </row>
    <row r="18" spans="1:11" x14ac:dyDescent="0.3">
      <c r="A18" s="46" t="s">
        <v>4527</v>
      </c>
      <c r="B18" s="46" t="s">
        <v>4460</v>
      </c>
      <c r="C18" s="46" t="s">
        <v>4528</v>
      </c>
      <c r="D18" s="46" t="s">
        <v>13</v>
      </c>
      <c r="E18" s="46" t="s">
        <v>25</v>
      </c>
      <c r="F18" s="46" t="s">
        <v>4529</v>
      </c>
      <c r="G18" s="46" t="s">
        <v>4530</v>
      </c>
      <c r="H18" s="46" t="s">
        <v>4531</v>
      </c>
      <c r="I18" s="46" t="s">
        <v>4532</v>
      </c>
      <c r="J18" s="46" t="s">
        <v>1868</v>
      </c>
      <c r="K18" s="153"/>
    </row>
    <row r="19" spans="1:11" x14ac:dyDescent="0.3">
      <c r="A19" s="46" t="s">
        <v>4533</v>
      </c>
      <c r="B19" s="46" t="s">
        <v>4460</v>
      </c>
      <c r="C19" s="46" t="s">
        <v>4534</v>
      </c>
      <c r="D19" s="46" t="s">
        <v>13</v>
      </c>
      <c r="E19" s="46" t="s">
        <v>25</v>
      </c>
      <c r="F19" s="46" t="s">
        <v>4535</v>
      </c>
      <c r="G19" s="46" t="s">
        <v>4530</v>
      </c>
      <c r="H19" s="46" t="s">
        <v>4536</v>
      </c>
      <c r="I19" s="46" t="s">
        <v>14</v>
      </c>
      <c r="J19" s="46" t="s">
        <v>1868</v>
      </c>
      <c r="K19" s="153"/>
    </row>
    <row r="20" spans="1:11" x14ac:dyDescent="0.3">
      <c r="A20" s="46" t="s">
        <v>4537</v>
      </c>
      <c r="B20" s="46" t="s">
        <v>4460</v>
      </c>
      <c r="C20" s="46" t="s">
        <v>4538</v>
      </c>
      <c r="D20" s="46" t="s">
        <v>13</v>
      </c>
      <c r="E20" s="46" t="s">
        <v>47</v>
      </c>
      <c r="F20" s="46" t="s">
        <v>4539</v>
      </c>
      <c r="G20" s="46" t="s">
        <v>4540</v>
      </c>
      <c r="H20" s="46" t="s">
        <v>3371</v>
      </c>
      <c r="I20" s="46" t="s">
        <v>4541</v>
      </c>
      <c r="J20" s="46" t="s">
        <v>1868</v>
      </c>
      <c r="K20" s="153"/>
    </row>
    <row r="21" spans="1:11" x14ac:dyDescent="0.3">
      <c r="A21" s="89" t="s">
        <v>4542</v>
      </c>
      <c r="B21" s="89" t="s">
        <v>4543</v>
      </c>
      <c r="C21" s="89" t="s">
        <v>4544</v>
      </c>
      <c r="D21" s="89" t="s">
        <v>13</v>
      </c>
      <c r="E21" s="89" t="s">
        <v>20</v>
      </c>
      <c r="F21" s="89" t="s">
        <v>4545</v>
      </c>
      <c r="G21" s="89" t="s">
        <v>4546</v>
      </c>
      <c r="H21" s="89" t="s">
        <v>4547</v>
      </c>
      <c r="I21" s="89" t="s">
        <v>14</v>
      </c>
      <c r="J21" s="89" t="s">
        <v>1852</v>
      </c>
      <c r="K21" s="153"/>
    </row>
    <row r="22" spans="1:11" x14ac:dyDescent="0.3">
      <c r="A22" s="89" t="s">
        <v>4548</v>
      </c>
      <c r="B22" s="89" t="s">
        <v>4543</v>
      </c>
      <c r="C22" s="89" t="s">
        <v>4549</v>
      </c>
      <c r="D22" s="89" t="s">
        <v>13</v>
      </c>
      <c r="E22" s="89" t="s">
        <v>20</v>
      </c>
      <c r="F22" s="89" t="s">
        <v>4550</v>
      </c>
      <c r="G22" s="89" t="s">
        <v>4551</v>
      </c>
      <c r="H22" s="89" t="s">
        <v>4552</v>
      </c>
      <c r="I22" s="89" t="s">
        <v>14</v>
      </c>
      <c r="J22" s="89" t="s">
        <v>1852</v>
      </c>
      <c r="K22" s="153"/>
    </row>
    <row r="23" spans="1:11" x14ac:dyDescent="0.3">
      <c r="A23" s="89" t="s">
        <v>4553</v>
      </c>
      <c r="B23" s="89" t="s">
        <v>4543</v>
      </c>
      <c r="C23" s="89" t="s">
        <v>4554</v>
      </c>
      <c r="D23" s="89" t="s">
        <v>10</v>
      </c>
      <c r="E23" s="89" t="s">
        <v>20</v>
      </c>
      <c r="F23" s="89" t="s">
        <v>4555</v>
      </c>
      <c r="G23" s="89" t="s">
        <v>4556</v>
      </c>
      <c r="H23" s="89" t="s">
        <v>13770</v>
      </c>
      <c r="I23" s="89" t="s">
        <v>4557</v>
      </c>
      <c r="J23" s="89" t="s">
        <v>1852</v>
      </c>
      <c r="K23" s="153"/>
    </row>
    <row r="24" spans="1:11" x14ac:dyDescent="0.3">
      <c r="A24" s="89" t="s">
        <v>4558</v>
      </c>
      <c r="B24" s="89" t="s">
        <v>4543</v>
      </c>
      <c r="C24" s="89" t="s">
        <v>4559</v>
      </c>
      <c r="D24" s="89" t="s">
        <v>13</v>
      </c>
      <c r="E24" s="89" t="s">
        <v>20</v>
      </c>
      <c r="F24" s="89" t="s">
        <v>4560</v>
      </c>
      <c r="G24" s="89" t="s">
        <v>4561</v>
      </c>
      <c r="H24" s="89" t="s">
        <v>4547</v>
      </c>
      <c r="I24" s="89" t="s">
        <v>14</v>
      </c>
      <c r="J24" s="89" t="s">
        <v>1852</v>
      </c>
      <c r="K24" s="153"/>
    </row>
    <row r="25" spans="1:11" x14ac:dyDescent="0.3">
      <c r="A25" s="89" t="s">
        <v>4562</v>
      </c>
      <c r="B25" s="89" t="s">
        <v>4543</v>
      </c>
      <c r="C25" s="89" t="s">
        <v>4563</v>
      </c>
      <c r="D25" s="89" t="s">
        <v>13</v>
      </c>
      <c r="E25" s="89" t="s">
        <v>20</v>
      </c>
      <c r="F25" s="89" t="s">
        <v>4564</v>
      </c>
      <c r="G25" s="89" t="s">
        <v>4551</v>
      </c>
      <c r="H25" s="89" t="s">
        <v>4552</v>
      </c>
      <c r="I25" s="89" t="s">
        <v>14</v>
      </c>
      <c r="J25" s="89" t="s">
        <v>1852</v>
      </c>
      <c r="K25" s="153"/>
    </row>
    <row r="26" spans="1:11" x14ac:dyDescent="0.3">
      <c r="A26" s="89" t="s">
        <v>4565</v>
      </c>
      <c r="B26" s="89" t="s">
        <v>4543</v>
      </c>
      <c r="C26" s="89" t="s">
        <v>4566</v>
      </c>
      <c r="D26" s="89" t="s">
        <v>10</v>
      </c>
      <c r="E26" s="89" t="s">
        <v>20</v>
      </c>
      <c r="F26" s="89" t="s">
        <v>4567</v>
      </c>
      <c r="G26" s="89" t="s">
        <v>4556</v>
      </c>
      <c r="H26" s="89" t="s">
        <v>13770</v>
      </c>
      <c r="I26" s="89" t="s">
        <v>4568</v>
      </c>
      <c r="J26" s="89" t="s">
        <v>1852</v>
      </c>
      <c r="K26" s="153"/>
    </row>
    <row r="27" spans="1:11" x14ac:dyDescent="0.3">
      <c r="A27" s="89" t="s">
        <v>4569</v>
      </c>
      <c r="B27" s="89" t="s">
        <v>4543</v>
      </c>
      <c r="C27" s="89" t="s">
        <v>4570</v>
      </c>
      <c r="D27" s="89" t="s">
        <v>13</v>
      </c>
      <c r="E27" s="89" t="s">
        <v>20</v>
      </c>
      <c r="F27" s="89" t="s">
        <v>4571</v>
      </c>
      <c r="G27" s="89" t="s">
        <v>4572</v>
      </c>
      <c r="H27" s="89" t="s">
        <v>4573</v>
      </c>
      <c r="I27" s="89" t="s">
        <v>14</v>
      </c>
      <c r="J27" s="89" t="s">
        <v>1852</v>
      </c>
      <c r="K27" s="153"/>
    </row>
    <row r="28" spans="1:11" x14ac:dyDescent="0.3">
      <c r="A28" s="89" t="s">
        <v>4574</v>
      </c>
      <c r="B28" s="89" t="s">
        <v>4543</v>
      </c>
      <c r="C28" s="89" t="s">
        <v>4575</v>
      </c>
      <c r="D28" s="89" t="s">
        <v>13</v>
      </c>
      <c r="E28" s="89" t="s">
        <v>20</v>
      </c>
      <c r="F28" s="89" t="s">
        <v>4576</v>
      </c>
      <c r="G28" s="89" t="s">
        <v>4561</v>
      </c>
      <c r="H28" s="89" t="s">
        <v>4552</v>
      </c>
      <c r="I28" s="89" t="s">
        <v>14</v>
      </c>
      <c r="J28" s="89" t="s">
        <v>1852</v>
      </c>
      <c r="K28" s="153"/>
    </row>
    <row r="29" spans="1:11" x14ac:dyDescent="0.3">
      <c r="A29" s="89" t="s">
        <v>4577</v>
      </c>
      <c r="B29" s="89" t="s">
        <v>4543</v>
      </c>
      <c r="C29" s="89" t="s">
        <v>4578</v>
      </c>
      <c r="D29" s="89" t="s">
        <v>10</v>
      </c>
      <c r="E29" s="89" t="s">
        <v>20</v>
      </c>
      <c r="F29" s="89" t="s">
        <v>4579</v>
      </c>
      <c r="G29" s="89" t="s">
        <v>4551</v>
      </c>
      <c r="H29" s="89" t="s">
        <v>13770</v>
      </c>
      <c r="I29" s="89" t="s">
        <v>4580</v>
      </c>
      <c r="J29" s="89" t="s">
        <v>1852</v>
      </c>
      <c r="K29" s="153"/>
    </row>
    <row r="30" spans="1:11" x14ac:dyDescent="0.3">
      <c r="A30" s="89" t="s">
        <v>4581</v>
      </c>
      <c r="B30" s="89" t="s">
        <v>4543</v>
      </c>
      <c r="C30" s="89" t="s">
        <v>4582</v>
      </c>
      <c r="D30" s="89" t="s">
        <v>13</v>
      </c>
      <c r="E30" s="89" t="s">
        <v>20</v>
      </c>
      <c r="F30" s="89" t="s">
        <v>4583</v>
      </c>
      <c r="G30" s="89" t="s">
        <v>4584</v>
      </c>
      <c r="H30" s="89" t="s">
        <v>4585</v>
      </c>
      <c r="I30" s="89" t="s">
        <v>14</v>
      </c>
      <c r="J30" s="89" t="s">
        <v>1852</v>
      </c>
      <c r="K30" s="153"/>
    </row>
    <row r="31" spans="1:11" x14ac:dyDescent="0.3">
      <c r="A31" s="89" t="s">
        <v>4586</v>
      </c>
      <c r="B31" s="89" t="s">
        <v>4543</v>
      </c>
      <c r="C31" s="89" t="s">
        <v>4587</v>
      </c>
      <c r="D31" s="89" t="s">
        <v>13</v>
      </c>
      <c r="E31" s="89" t="s">
        <v>20</v>
      </c>
      <c r="F31" s="89" t="s">
        <v>4588</v>
      </c>
      <c r="G31" s="89" t="s">
        <v>4589</v>
      </c>
      <c r="H31" s="89" t="s">
        <v>4590</v>
      </c>
      <c r="I31" s="89" t="s">
        <v>14</v>
      </c>
      <c r="J31" s="89" t="s">
        <v>1868</v>
      </c>
      <c r="K31" s="153"/>
    </row>
    <row r="32" spans="1:11" x14ac:dyDescent="0.3">
      <c r="A32" s="89" t="s">
        <v>4591</v>
      </c>
      <c r="B32" s="89" t="s">
        <v>4543</v>
      </c>
      <c r="C32" s="89" t="s">
        <v>4592</v>
      </c>
      <c r="D32" s="89" t="s">
        <v>10</v>
      </c>
      <c r="E32" s="89" t="s">
        <v>19</v>
      </c>
      <c r="F32" s="89" t="s">
        <v>4593</v>
      </c>
      <c r="G32" s="89" t="s">
        <v>4594</v>
      </c>
      <c r="H32" s="89" t="s">
        <v>4595</v>
      </c>
      <c r="I32" s="89" t="s">
        <v>4596</v>
      </c>
      <c r="J32" s="89" t="s">
        <v>1852</v>
      </c>
      <c r="K32" s="153"/>
    </row>
    <row r="33" spans="1:11" x14ac:dyDescent="0.3">
      <c r="A33" s="89" t="s">
        <v>4597</v>
      </c>
      <c r="B33" s="89" t="s">
        <v>4543</v>
      </c>
      <c r="C33" s="89" t="s">
        <v>4598</v>
      </c>
      <c r="D33" s="89" t="s">
        <v>10</v>
      </c>
      <c r="E33" s="89" t="s">
        <v>19</v>
      </c>
      <c r="F33" s="89" t="s">
        <v>4593</v>
      </c>
      <c r="G33" s="89" t="s">
        <v>4599</v>
      </c>
      <c r="H33" s="89" t="s">
        <v>4595</v>
      </c>
      <c r="I33" s="89" t="s">
        <v>4600</v>
      </c>
      <c r="J33" s="89" t="s">
        <v>1852</v>
      </c>
      <c r="K33" s="153"/>
    </row>
    <row r="34" spans="1:11" x14ac:dyDescent="0.3">
      <c r="A34" s="89" t="s">
        <v>4601</v>
      </c>
      <c r="B34" s="89" t="s">
        <v>4543</v>
      </c>
      <c r="C34" s="89" t="s">
        <v>4602</v>
      </c>
      <c r="D34" s="89" t="s">
        <v>10</v>
      </c>
      <c r="E34" s="89" t="s">
        <v>4603</v>
      </c>
      <c r="F34" s="89" t="s">
        <v>4567</v>
      </c>
      <c r="G34" s="89" t="s">
        <v>4604</v>
      </c>
      <c r="H34" s="89" t="s">
        <v>13770</v>
      </c>
      <c r="I34" s="89" t="s">
        <v>4605</v>
      </c>
      <c r="J34" s="89" t="s">
        <v>1852</v>
      </c>
      <c r="K34" s="153"/>
    </row>
    <row r="35" spans="1:11" x14ac:dyDescent="0.3">
      <c r="A35" s="89" t="s">
        <v>4606</v>
      </c>
      <c r="B35" s="89" t="s">
        <v>4543</v>
      </c>
      <c r="C35" s="89" t="s">
        <v>4607</v>
      </c>
      <c r="D35" s="89" t="s">
        <v>13</v>
      </c>
      <c r="E35" s="89" t="s">
        <v>20</v>
      </c>
      <c r="F35" s="89" t="s">
        <v>4608</v>
      </c>
      <c r="G35" s="89" t="s">
        <v>4609</v>
      </c>
      <c r="H35" s="89" t="s">
        <v>4610</v>
      </c>
      <c r="I35" s="89" t="s">
        <v>4611</v>
      </c>
      <c r="J35" s="89" t="s">
        <v>1868</v>
      </c>
      <c r="K35" s="156"/>
    </row>
    <row r="36" spans="1:11" x14ac:dyDescent="0.3">
      <c r="A36" s="89" t="s">
        <v>4612</v>
      </c>
      <c r="B36" s="89" t="s">
        <v>4543</v>
      </c>
      <c r="C36" s="89" t="s">
        <v>4613</v>
      </c>
      <c r="D36" s="89" t="s">
        <v>13</v>
      </c>
      <c r="E36" s="89" t="s">
        <v>20</v>
      </c>
      <c r="F36" s="89" t="s">
        <v>4614</v>
      </c>
      <c r="G36" s="89" t="s">
        <v>4615</v>
      </c>
      <c r="H36" s="89" t="s">
        <v>4616</v>
      </c>
      <c r="I36" s="89" t="s">
        <v>4617</v>
      </c>
      <c r="J36" s="89" t="s">
        <v>1868</v>
      </c>
      <c r="K36" s="153"/>
    </row>
    <row r="37" spans="1:11" x14ac:dyDescent="0.3">
      <c r="A37" s="89" t="s">
        <v>4618</v>
      </c>
      <c r="B37" s="89" t="s">
        <v>4543</v>
      </c>
      <c r="C37" s="89" t="s">
        <v>4619</v>
      </c>
      <c r="D37" s="89" t="s">
        <v>13</v>
      </c>
      <c r="E37" s="89" t="s">
        <v>20</v>
      </c>
      <c r="F37" s="89" t="s">
        <v>4620</v>
      </c>
      <c r="G37" s="89" t="s">
        <v>4621</v>
      </c>
      <c r="H37" s="89" t="s">
        <v>4622</v>
      </c>
      <c r="I37" s="89" t="s">
        <v>4623</v>
      </c>
      <c r="J37" s="89" t="s">
        <v>1868</v>
      </c>
      <c r="K37" s="153"/>
    </row>
    <row r="38" spans="1:11" ht="316.8" x14ac:dyDescent="0.3">
      <c r="A38" s="89" t="s">
        <v>4624</v>
      </c>
      <c r="B38" s="89" t="s">
        <v>4543</v>
      </c>
      <c r="C38" s="89" t="s">
        <v>4625</v>
      </c>
      <c r="D38" s="89" t="s">
        <v>10</v>
      </c>
      <c r="E38" s="89" t="s">
        <v>19</v>
      </c>
      <c r="F38" s="89" t="s">
        <v>4626</v>
      </c>
      <c r="G38" s="89" t="s">
        <v>4627</v>
      </c>
      <c r="H38" s="89" t="s">
        <v>4628</v>
      </c>
      <c r="I38" s="89" t="s">
        <v>4629</v>
      </c>
      <c r="J38" s="89" t="s">
        <v>1852</v>
      </c>
      <c r="K38" s="154" t="s">
        <v>12842</v>
      </c>
    </row>
    <row r="39" spans="1:11" x14ac:dyDescent="0.3">
      <c r="A39" s="47" t="s">
        <v>4630</v>
      </c>
      <c r="B39" s="47" t="s">
        <v>4631</v>
      </c>
      <c r="C39" s="47" t="s">
        <v>4632</v>
      </c>
      <c r="D39" s="47" t="s">
        <v>13</v>
      </c>
      <c r="E39" s="47" t="s">
        <v>293</v>
      </c>
      <c r="F39" s="47" t="s">
        <v>4633</v>
      </c>
      <c r="G39" s="47" t="s">
        <v>4634</v>
      </c>
      <c r="H39" s="47" t="s">
        <v>4635</v>
      </c>
      <c r="I39" s="47" t="s">
        <v>14</v>
      </c>
      <c r="J39" s="47" t="s">
        <v>1852</v>
      </c>
      <c r="K39" s="153"/>
    </row>
    <row r="40" spans="1:11" x14ac:dyDescent="0.3">
      <c r="A40" s="47" t="s">
        <v>4636</v>
      </c>
      <c r="B40" s="47" t="s">
        <v>4631</v>
      </c>
      <c r="C40" s="47" t="s">
        <v>4637</v>
      </c>
      <c r="D40" s="47" t="s">
        <v>13</v>
      </c>
      <c r="E40" s="47" t="s">
        <v>293</v>
      </c>
      <c r="F40" s="47" t="s">
        <v>4638</v>
      </c>
      <c r="G40" s="47" t="s">
        <v>4639</v>
      </c>
      <c r="H40" s="47" t="s">
        <v>4640</v>
      </c>
      <c r="I40" s="47" t="s">
        <v>4641</v>
      </c>
      <c r="J40" s="47" t="s">
        <v>1852</v>
      </c>
      <c r="K40" s="153"/>
    </row>
    <row r="41" spans="1:11" x14ac:dyDescent="0.3">
      <c r="A41" s="47" t="s">
        <v>4642</v>
      </c>
      <c r="B41" s="47" t="s">
        <v>4631</v>
      </c>
      <c r="C41" s="47" t="s">
        <v>4643</v>
      </c>
      <c r="D41" s="47" t="s">
        <v>13</v>
      </c>
      <c r="E41" s="47" t="s">
        <v>293</v>
      </c>
      <c r="F41" s="47" t="s">
        <v>4644</v>
      </c>
      <c r="G41" s="47" t="s">
        <v>4645</v>
      </c>
      <c r="H41" s="47" t="s">
        <v>4646</v>
      </c>
      <c r="I41" s="47" t="s">
        <v>4647</v>
      </c>
      <c r="J41" s="47" t="s">
        <v>1852</v>
      </c>
      <c r="K41" s="153"/>
    </row>
    <row r="42" spans="1:11" x14ac:dyDescent="0.3">
      <c r="A42" s="47" t="s">
        <v>4648</v>
      </c>
      <c r="B42" s="47" t="s">
        <v>4631</v>
      </c>
      <c r="C42" s="47" t="s">
        <v>4649</v>
      </c>
      <c r="D42" s="47" t="s">
        <v>13</v>
      </c>
      <c r="E42" s="47" t="s">
        <v>317</v>
      </c>
      <c r="F42" s="47" t="s">
        <v>4650</v>
      </c>
      <c r="G42" s="47" t="s">
        <v>4651</v>
      </c>
      <c r="H42" s="47" t="s">
        <v>4652</v>
      </c>
      <c r="I42" s="47" t="s">
        <v>4653</v>
      </c>
      <c r="J42" s="47" t="s">
        <v>1852</v>
      </c>
      <c r="K42" s="153"/>
    </row>
    <row r="43" spans="1:11" x14ac:dyDescent="0.3">
      <c r="A43" s="47" t="s">
        <v>4654</v>
      </c>
      <c r="B43" s="47" t="s">
        <v>4631</v>
      </c>
      <c r="C43" s="47" t="s">
        <v>4655</v>
      </c>
      <c r="D43" s="47" t="s">
        <v>13</v>
      </c>
      <c r="E43" s="47" t="s">
        <v>313</v>
      </c>
      <c r="F43" s="47" t="s">
        <v>4656</v>
      </c>
      <c r="G43" s="47" t="s">
        <v>4657</v>
      </c>
      <c r="H43" s="47" t="s">
        <v>4658</v>
      </c>
      <c r="I43" s="47" t="s">
        <v>4659</v>
      </c>
      <c r="J43" s="47" t="s">
        <v>1852</v>
      </c>
      <c r="K43" s="153"/>
    </row>
    <row r="44" spans="1:11" x14ac:dyDescent="0.3">
      <c r="A44" s="47" t="s">
        <v>4660</v>
      </c>
      <c r="B44" s="47" t="s">
        <v>4631</v>
      </c>
      <c r="C44" s="47" t="s">
        <v>4661</v>
      </c>
      <c r="D44" s="47" t="s">
        <v>13</v>
      </c>
      <c r="E44" s="47" t="s">
        <v>313</v>
      </c>
      <c r="F44" s="47" t="s">
        <v>4656</v>
      </c>
      <c r="G44" s="47" t="s">
        <v>4662</v>
      </c>
      <c r="H44" s="47" t="s">
        <v>4663</v>
      </c>
      <c r="I44" s="47" t="s">
        <v>14</v>
      </c>
      <c r="J44" s="47" t="s">
        <v>1868</v>
      </c>
      <c r="K44" s="153"/>
    </row>
    <row r="45" spans="1:11" x14ac:dyDescent="0.3">
      <c r="A45" s="47" t="s">
        <v>4664</v>
      </c>
      <c r="B45" s="47" t="s">
        <v>4631</v>
      </c>
      <c r="C45" s="47" t="s">
        <v>4665</v>
      </c>
      <c r="D45" s="47" t="s">
        <v>13</v>
      </c>
      <c r="E45" s="47" t="s">
        <v>296</v>
      </c>
      <c r="F45" s="47" t="s">
        <v>4666</v>
      </c>
      <c r="G45" s="47" t="s">
        <v>4667</v>
      </c>
      <c r="H45" s="47" t="s">
        <v>4668</v>
      </c>
      <c r="I45" s="47" t="s">
        <v>14</v>
      </c>
      <c r="J45" s="47" t="s">
        <v>1852</v>
      </c>
      <c r="K45" s="153"/>
    </row>
    <row r="46" spans="1:11" x14ac:dyDescent="0.3">
      <c r="A46" s="47" t="s">
        <v>4669</v>
      </c>
      <c r="B46" s="47" t="s">
        <v>4631</v>
      </c>
      <c r="C46" s="47" t="s">
        <v>4670</v>
      </c>
      <c r="D46" s="47" t="s">
        <v>10</v>
      </c>
      <c r="E46" s="47" t="s">
        <v>1802</v>
      </c>
      <c r="F46" s="47" t="s">
        <v>4671</v>
      </c>
      <c r="G46" s="47" t="s">
        <v>4672</v>
      </c>
      <c r="H46" s="47" t="s">
        <v>13771</v>
      </c>
      <c r="I46" s="47" t="s">
        <v>2329</v>
      </c>
      <c r="J46" s="47" t="s">
        <v>1852</v>
      </c>
      <c r="K46" s="153"/>
    </row>
    <row r="47" spans="1:11" x14ac:dyDescent="0.3">
      <c r="A47" s="47" t="s">
        <v>4673</v>
      </c>
      <c r="B47" s="47" t="s">
        <v>4631</v>
      </c>
      <c r="C47" s="47" t="s">
        <v>4674</v>
      </c>
      <c r="D47" s="47" t="s">
        <v>10</v>
      </c>
      <c r="E47" s="47" t="s">
        <v>333</v>
      </c>
      <c r="F47" s="47" t="s">
        <v>4675</v>
      </c>
      <c r="G47" s="47" t="s">
        <v>4676</v>
      </c>
      <c r="H47" s="47" t="s">
        <v>4525</v>
      </c>
      <c r="I47" s="47" t="s">
        <v>4677</v>
      </c>
      <c r="J47" s="47" t="s">
        <v>1852</v>
      </c>
      <c r="K47" s="153"/>
    </row>
    <row r="48" spans="1:11" x14ac:dyDescent="0.3">
      <c r="A48" s="47" t="s">
        <v>4678</v>
      </c>
      <c r="B48" s="47" t="s">
        <v>4631</v>
      </c>
      <c r="C48" s="47" t="s">
        <v>4679</v>
      </c>
      <c r="D48" s="47" t="s">
        <v>10</v>
      </c>
      <c r="E48" s="47" t="s">
        <v>333</v>
      </c>
      <c r="F48" s="47" t="s">
        <v>4675</v>
      </c>
      <c r="G48" s="47" t="s">
        <v>4680</v>
      </c>
      <c r="H48" s="47" t="s">
        <v>4681</v>
      </c>
      <c r="I48" s="47" t="s">
        <v>4682</v>
      </c>
      <c r="J48" s="47" t="s">
        <v>1852</v>
      </c>
      <c r="K48" s="153"/>
    </row>
    <row r="49" spans="1:11" x14ac:dyDescent="0.3">
      <c r="A49" s="47" t="s">
        <v>4683</v>
      </c>
      <c r="B49" s="47" t="s">
        <v>4631</v>
      </c>
      <c r="C49" s="47" t="s">
        <v>4684</v>
      </c>
      <c r="D49" s="47" t="s">
        <v>10</v>
      </c>
      <c r="E49" s="47" t="s">
        <v>293</v>
      </c>
      <c r="F49" s="47" t="s">
        <v>4675</v>
      </c>
      <c r="G49" s="47" t="s">
        <v>4685</v>
      </c>
      <c r="H49" s="47" t="s">
        <v>4686</v>
      </c>
      <c r="I49" s="47" t="s">
        <v>4687</v>
      </c>
      <c r="J49" s="47" t="s">
        <v>1852</v>
      </c>
      <c r="K49" s="153"/>
    </row>
    <row r="50" spans="1:11" x14ac:dyDescent="0.3">
      <c r="A50" s="47" t="s">
        <v>4688</v>
      </c>
      <c r="B50" s="47" t="s">
        <v>4631</v>
      </c>
      <c r="C50" s="47" t="s">
        <v>4689</v>
      </c>
      <c r="D50" s="47" t="s">
        <v>13</v>
      </c>
      <c r="E50" s="47" t="s">
        <v>293</v>
      </c>
      <c r="F50" s="47" t="s">
        <v>4690</v>
      </c>
      <c r="G50" s="47" t="s">
        <v>4691</v>
      </c>
      <c r="H50" s="47" t="s">
        <v>4692</v>
      </c>
      <c r="I50" s="47" t="s">
        <v>14</v>
      </c>
      <c r="J50" s="47" t="s">
        <v>1868</v>
      </c>
      <c r="K50" s="153"/>
    </row>
    <row r="51" spans="1:11" x14ac:dyDescent="0.3">
      <c r="A51" s="47" t="s">
        <v>4693</v>
      </c>
      <c r="B51" s="47" t="s">
        <v>4631</v>
      </c>
      <c r="C51" s="47" t="s">
        <v>4694</v>
      </c>
      <c r="D51" s="47" t="s">
        <v>13</v>
      </c>
      <c r="E51" s="47" t="s">
        <v>293</v>
      </c>
      <c r="F51" s="47" t="s">
        <v>4675</v>
      </c>
      <c r="G51" s="47" t="s">
        <v>4662</v>
      </c>
      <c r="H51" s="47" t="s">
        <v>4663</v>
      </c>
      <c r="I51" s="47" t="s">
        <v>14</v>
      </c>
      <c r="J51" s="47" t="s">
        <v>1868</v>
      </c>
      <c r="K51" s="153"/>
    </row>
    <row r="52" spans="1:11" x14ac:dyDescent="0.3">
      <c r="A52" s="47" t="s">
        <v>4695</v>
      </c>
      <c r="B52" s="47" t="s">
        <v>4631</v>
      </c>
      <c r="C52" s="47" t="s">
        <v>4696</v>
      </c>
      <c r="D52" s="47" t="s">
        <v>13</v>
      </c>
      <c r="E52" s="47" t="s">
        <v>320</v>
      </c>
      <c r="F52" s="47" t="s">
        <v>4697</v>
      </c>
      <c r="G52" s="47" t="s">
        <v>4698</v>
      </c>
      <c r="H52" s="47" t="s">
        <v>4699</v>
      </c>
      <c r="I52" s="47" t="s">
        <v>14</v>
      </c>
      <c r="J52" s="47" t="s">
        <v>1868</v>
      </c>
      <c r="K52" s="153"/>
    </row>
    <row r="53" spans="1:11" x14ac:dyDescent="0.3">
      <c r="A53" s="47" t="s">
        <v>4700</v>
      </c>
      <c r="B53" s="47" t="s">
        <v>4631</v>
      </c>
      <c r="C53" s="47" t="s">
        <v>4701</v>
      </c>
      <c r="D53" s="47" t="s">
        <v>13</v>
      </c>
      <c r="E53" s="47" t="s">
        <v>4702</v>
      </c>
      <c r="F53" s="47" t="s">
        <v>4703</v>
      </c>
      <c r="G53" s="47" t="s">
        <v>4704</v>
      </c>
      <c r="H53" s="47" t="s">
        <v>4705</v>
      </c>
      <c r="I53" s="47" t="s">
        <v>4706</v>
      </c>
      <c r="J53" s="47" t="s">
        <v>1852</v>
      </c>
      <c r="K53" s="153"/>
    </row>
    <row r="54" spans="1:11" x14ac:dyDescent="0.3">
      <c r="A54" s="47" t="s">
        <v>4707</v>
      </c>
      <c r="B54" s="47" t="s">
        <v>4631</v>
      </c>
      <c r="C54" s="47" t="s">
        <v>4708</v>
      </c>
      <c r="D54" s="47" t="s">
        <v>13</v>
      </c>
      <c r="E54" s="47" t="s">
        <v>23</v>
      </c>
      <c r="F54" s="47" t="s">
        <v>4709</v>
      </c>
      <c r="G54" s="47" t="s">
        <v>4710</v>
      </c>
      <c r="H54" s="47" t="s">
        <v>4711</v>
      </c>
      <c r="I54" s="47" t="s">
        <v>4712</v>
      </c>
      <c r="J54" s="47" t="s">
        <v>1852</v>
      </c>
      <c r="K54" s="153"/>
    </row>
    <row r="55" spans="1:11" x14ac:dyDescent="0.3">
      <c r="A55" s="47" t="s">
        <v>4713</v>
      </c>
      <c r="B55" s="47" t="s">
        <v>4631</v>
      </c>
      <c r="C55" s="47" t="s">
        <v>4714</v>
      </c>
      <c r="D55" s="47" t="s">
        <v>13</v>
      </c>
      <c r="E55" s="47" t="s">
        <v>23</v>
      </c>
      <c r="F55" s="47" t="s">
        <v>4715</v>
      </c>
      <c r="G55" s="47" t="s">
        <v>4716</v>
      </c>
      <c r="H55" s="47" t="s">
        <v>4711</v>
      </c>
      <c r="I55" s="47" t="s">
        <v>4717</v>
      </c>
      <c r="J55" s="47" t="s">
        <v>1852</v>
      </c>
      <c r="K55" s="153"/>
    </row>
    <row r="56" spans="1:11" x14ac:dyDescent="0.3">
      <c r="A56" s="47" t="s">
        <v>4718</v>
      </c>
      <c r="B56" s="47" t="s">
        <v>4631</v>
      </c>
      <c r="C56" s="47" t="s">
        <v>4719</v>
      </c>
      <c r="D56" s="47" t="s">
        <v>13</v>
      </c>
      <c r="E56" s="47" t="s">
        <v>23</v>
      </c>
      <c r="F56" s="47" t="s">
        <v>4720</v>
      </c>
      <c r="G56" s="47" t="s">
        <v>4721</v>
      </c>
      <c r="H56" s="47" t="s">
        <v>4711</v>
      </c>
      <c r="I56" s="47" t="s">
        <v>4722</v>
      </c>
      <c r="J56" s="47" t="s">
        <v>1852</v>
      </c>
      <c r="K56" s="153"/>
    </row>
    <row r="57" spans="1:11" x14ac:dyDescent="0.3">
      <c r="A57" s="47" t="s">
        <v>4723</v>
      </c>
      <c r="B57" s="47" t="s">
        <v>4631</v>
      </c>
      <c r="C57" s="47" t="s">
        <v>4724</v>
      </c>
      <c r="D57" s="47" t="s">
        <v>13</v>
      </c>
      <c r="E57" s="47" t="s">
        <v>23</v>
      </c>
      <c r="F57" s="47" t="s">
        <v>4725</v>
      </c>
      <c r="G57" s="47" t="s">
        <v>4726</v>
      </c>
      <c r="H57" s="47" t="s">
        <v>4727</v>
      </c>
      <c r="I57" s="47" t="s">
        <v>14</v>
      </c>
      <c r="J57" s="47" t="s">
        <v>1868</v>
      </c>
      <c r="K57" s="153"/>
    </row>
    <row r="58" spans="1:11" x14ac:dyDescent="0.3">
      <c r="A58" s="40" t="s">
        <v>4728</v>
      </c>
      <c r="B58" s="40" t="s">
        <v>4729</v>
      </c>
      <c r="C58" s="40" t="s">
        <v>2297</v>
      </c>
      <c r="D58" s="40" t="s">
        <v>13</v>
      </c>
      <c r="E58" s="40" t="s">
        <v>659</v>
      </c>
      <c r="F58" s="40" t="s">
        <v>4730</v>
      </c>
      <c r="G58" s="40" t="s">
        <v>4731</v>
      </c>
      <c r="H58" s="40" t="s">
        <v>4732</v>
      </c>
      <c r="I58" s="40" t="s">
        <v>14</v>
      </c>
      <c r="J58" s="40" t="s">
        <v>1852</v>
      </c>
      <c r="K58" s="153"/>
    </row>
    <row r="59" spans="1:11" x14ac:dyDescent="0.3">
      <c r="A59" s="40" t="s">
        <v>4733</v>
      </c>
      <c r="B59" s="40" t="s">
        <v>4729</v>
      </c>
      <c r="C59" s="40" t="s">
        <v>2302</v>
      </c>
      <c r="D59" s="40" t="s">
        <v>13</v>
      </c>
      <c r="E59" s="40" t="s">
        <v>659</v>
      </c>
      <c r="F59" s="40" t="s">
        <v>4730</v>
      </c>
      <c r="G59" s="40" t="s">
        <v>4734</v>
      </c>
      <c r="H59" s="40" t="s">
        <v>4735</v>
      </c>
      <c r="I59" s="40" t="s">
        <v>14</v>
      </c>
      <c r="J59" s="40" t="s">
        <v>1852</v>
      </c>
      <c r="K59" s="153"/>
    </row>
    <row r="60" spans="1:11" x14ac:dyDescent="0.3">
      <c r="A60" s="40" t="s">
        <v>4736</v>
      </c>
      <c r="B60" s="40" t="s">
        <v>4729</v>
      </c>
      <c r="C60" s="40" t="s">
        <v>2307</v>
      </c>
      <c r="D60" s="40" t="s">
        <v>13</v>
      </c>
      <c r="E60" s="40" t="s">
        <v>659</v>
      </c>
      <c r="F60" s="40" t="s">
        <v>4730</v>
      </c>
      <c r="G60" s="40" t="s">
        <v>4737</v>
      </c>
      <c r="H60" s="40" t="s">
        <v>4738</v>
      </c>
      <c r="I60" s="40" t="s">
        <v>14</v>
      </c>
      <c r="J60" s="40" t="s">
        <v>1852</v>
      </c>
      <c r="K60" s="153"/>
    </row>
    <row r="61" spans="1:11" x14ac:dyDescent="0.3">
      <c r="A61" s="40" t="s">
        <v>4739</v>
      </c>
      <c r="B61" s="40" t="s">
        <v>4729</v>
      </c>
      <c r="C61" s="40" t="s">
        <v>4740</v>
      </c>
      <c r="D61" s="40" t="s">
        <v>10</v>
      </c>
      <c r="E61" s="40" t="s">
        <v>659</v>
      </c>
      <c r="F61" s="40" t="s">
        <v>4741</v>
      </c>
      <c r="G61" s="40" t="s">
        <v>4742</v>
      </c>
      <c r="H61" s="40" t="s">
        <v>4353</v>
      </c>
      <c r="I61" s="40" t="s">
        <v>4743</v>
      </c>
      <c r="J61" s="40" t="s">
        <v>1852</v>
      </c>
      <c r="K61" s="153"/>
    </row>
    <row r="62" spans="1:11" x14ac:dyDescent="0.3">
      <c r="A62" s="40" t="s">
        <v>4744</v>
      </c>
      <c r="B62" s="40" t="s">
        <v>4729</v>
      </c>
      <c r="C62" s="40" t="s">
        <v>4745</v>
      </c>
      <c r="D62" s="40" t="s">
        <v>10</v>
      </c>
      <c r="E62" s="40" t="s">
        <v>659</v>
      </c>
      <c r="F62" s="40" t="s">
        <v>4741</v>
      </c>
      <c r="G62" s="40" t="s">
        <v>4746</v>
      </c>
      <c r="H62" s="40" t="s">
        <v>4353</v>
      </c>
      <c r="I62" s="40" t="s">
        <v>4747</v>
      </c>
      <c r="J62" s="40" t="s">
        <v>1852</v>
      </c>
      <c r="K62" s="153"/>
    </row>
    <row r="63" spans="1:11" x14ac:dyDescent="0.3">
      <c r="A63" s="40" t="s">
        <v>4748</v>
      </c>
      <c r="B63" s="40" t="s">
        <v>4729</v>
      </c>
      <c r="C63" s="40" t="s">
        <v>4749</v>
      </c>
      <c r="D63" s="40" t="s">
        <v>10</v>
      </c>
      <c r="E63" s="40" t="s">
        <v>659</v>
      </c>
      <c r="F63" s="40" t="s">
        <v>4741</v>
      </c>
      <c r="G63" s="40" t="s">
        <v>4750</v>
      </c>
      <c r="H63" s="40" t="s">
        <v>4353</v>
      </c>
      <c r="I63" s="40" t="s">
        <v>4751</v>
      </c>
      <c r="J63" s="40" t="s">
        <v>1852</v>
      </c>
      <c r="K63" s="153"/>
    </row>
    <row r="64" spans="1:11" x14ac:dyDescent="0.3">
      <c r="A64" s="40" t="s">
        <v>4752</v>
      </c>
      <c r="B64" s="40" t="s">
        <v>4729</v>
      </c>
      <c r="C64" s="40" t="s">
        <v>4753</v>
      </c>
      <c r="D64" s="40" t="s">
        <v>13</v>
      </c>
      <c r="E64" s="40" t="s">
        <v>654</v>
      </c>
      <c r="F64" s="40" t="s">
        <v>4754</v>
      </c>
      <c r="G64" s="40" t="s">
        <v>4755</v>
      </c>
      <c r="H64" s="40" t="s">
        <v>4756</v>
      </c>
      <c r="I64" s="40" t="s">
        <v>14</v>
      </c>
      <c r="J64" s="40" t="s">
        <v>1852</v>
      </c>
      <c r="K64" s="153"/>
    </row>
    <row r="65" spans="1:11" x14ac:dyDescent="0.3">
      <c r="A65" s="40" t="s">
        <v>4757</v>
      </c>
      <c r="B65" s="40" t="s">
        <v>4729</v>
      </c>
      <c r="C65" s="40" t="s">
        <v>4758</v>
      </c>
      <c r="D65" s="40" t="s">
        <v>10</v>
      </c>
      <c r="E65" s="40" t="s">
        <v>654</v>
      </c>
      <c r="F65" s="40" t="s">
        <v>4759</v>
      </c>
      <c r="G65" s="40" t="s">
        <v>4760</v>
      </c>
      <c r="H65" s="40" t="s">
        <v>4761</v>
      </c>
      <c r="I65" s="40" t="s">
        <v>4762</v>
      </c>
      <c r="J65" s="40" t="s">
        <v>1852</v>
      </c>
      <c r="K65" s="153"/>
    </row>
    <row r="66" spans="1:11" x14ac:dyDescent="0.3">
      <c r="A66" s="40" t="s">
        <v>4763</v>
      </c>
      <c r="B66" s="40" t="s">
        <v>4729</v>
      </c>
      <c r="C66" s="40" t="s">
        <v>4764</v>
      </c>
      <c r="D66" s="40" t="s">
        <v>13</v>
      </c>
      <c r="E66" s="40" t="s">
        <v>694</v>
      </c>
      <c r="F66" s="40" t="s">
        <v>4765</v>
      </c>
      <c r="G66" s="40" t="s">
        <v>4766</v>
      </c>
      <c r="H66" s="40" t="s">
        <v>4767</v>
      </c>
      <c r="I66" s="40" t="s">
        <v>4768</v>
      </c>
      <c r="J66" s="40" t="s">
        <v>1852</v>
      </c>
      <c r="K66" s="153"/>
    </row>
    <row r="67" spans="1:11" x14ac:dyDescent="0.3">
      <c r="A67" s="40" t="s">
        <v>4769</v>
      </c>
      <c r="B67" s="40" t="s">
        <v>4729</v>
      </c>
      <c r="C67" s="40" t="s">
        <v>4770</v>
      </c>
      <c r="D67" s="40" t="s">
        <v>10</v>
      </c>
      <c r="E67" s="40" t="s">
        <v>694</v>
      </c>
      <c r="F67" s="40" t="s">
        <v>4771</v>
      </c>
      <c r="G67" s="40" t="s">
        <v>4772</v>
      </c>
      <c r="H67" s="40" t="s">
        <v>4773</v>
      </c>
      <c r="I67" s="40" t="s">
        <v>4774</v>
      </c>
      <c r="J67" s="40" t="s">
        <v>1852</v>
      </c>
      <c r="K67" s="153"/>
    </row>
    <row r="68" spans="1:11" x14ac:dyDescent="0.3">
      <c r="A68" s="40" t="s">
        <v>4775</v>
      </c>
      <c r="B68" s="40" t="s">
        <v>4729</v>
      </c>
      <c r="C68" s="40" t="s">
        <v>4776</v>
      </c>
      <c r="D68" s="40" t="s">
        <v>10</v>
      </c>
      <c r="E68" s="40" t="s">
        <v>679</v>
      </c>
      <c r="F68" s="40" t="s">
        <v>4777</v>
      </c>
      <c r="G68" s="40" t="s">
        <v>4778</v>
      </c>
      <c r="H68" s="40" t="s">
        <v>4779</v>
      </c>
      <c r="I68" s="40" t="s">
        <v>3543</v>
      </c>
      <c r="J68" s="40" t="s">
        <v>1852</v>
      </c>
      <c r="K68" s="153"/>
    </row>
    <row r="69" spans="1:11" x14ac:dyDescent="0.3">
      <c r="A69" s="40" t="s">
        <v>4780</v>
      </c>
      <c r="B69" s="40" t="s">
        <v>4729</v>
      </c>
      <c r="C69" s="40" t="s">
        <v>3091</v>
      </c>
      <c r="D69" s="40" t="s">
        <v>13</v>
      </c>
      <c r="E69" s="40" t="s">
        <v>679</v>
      </c>
      <c r="F69" s="40" t="s">
        <v>4781</v>
      </c>
      <c r="G69" s="40" t="s">
        <v>4782</v>
      </c>
      <c r="H69" s="40" t="s">
        <v>4783</v>
      </c>
      <c r="I69" s="40" t="s">
        <v>4784</v>
      </c>
      <c r="J69" s="40" t="s">
        <v>1852</v>
      </c>
      <c r="K69" s="153"/>
    </row>
    <row r="70" spans="1:11" x14ac:dyDescent="0.3">
      <c r="A70" s="40" t="s">
        <v>4785</v>
      </c>
      <c r="B70" s="40" t="s">
        <v>4729</v>
      </c>
      <c r="C70" s="40" t="s">
        <v>4786</v>
      </c>
      <c r="D70" s="40" t="s">
        <v>13</v>
      </c>
      <c r="E70" s="40" t="s">
        <v>14</v>
      </c>
      <c r="F70" s="40" t="s">
        <v>4787</v>
      </c>
      <c r="G70" s="40" t="s">
        <v>4788</v>
      </c>
      <c r="H70" s="40" t="s">
        <v>4789</v>
      </c>
      <c r="I70" s="40" t="s">
        <v>14</v>
      </c>
      <c r="J70" s="40" t="s">
        <v>1852</v>
      </c>
      <c r="K70" s="154"/>
    </row>
    <row r="71" spans="1:11" x14ac:dyDescent="0.3">
      <c r="A71" s="40" t="s">
        <v>4790</v>
      </c>
      <c r="B71" s="40" t="s">
        <v>4729</v>
      </c>
      <c r="C71" s="40" t="s">
        <v>4791</v>
      </c>
      <c r="D71" s="40" t="s">
        <v>10</v>
      </c>
      <c r="E71" s="40" t="s">
        <v>14</v>
      </c>
      <c r="F71" s="40" t="s">
        <v>4792</v>
      </c>
      <c r="G71" s="40" t="s">
        <v>4793</v>
      </c>
      <c r="H71" s="40" t="s">
        <v>4353</v>
      </c>
      <c r="I71" s="40" t="s">
        <v>4794</v>
      </c>
      <c r="J71" s="40" t="s">
        <v>1868</v>
      </c>
      <c r="K71" s="153"/>
    </row>
    <row r="72" spans="1:11" x14ac:dyDescent="0.3">
      <c r="A72" s="40" t="s">
        <v>4795</v>
      </c>
      <c r="B72" s="40" t="s">
        <v>4729</v>
      </c>
      <c r="C72" s="40" t="s">
        <v>4796</v>
      </c>
      <c r="D72" s="40" t="s">
        <v>13</v>
      </c>
      <c r="E72" s="40" t="s">
        <v>14</v>
      </c>
      <c r="F72" s="40" t="s">
        <v>4797</v>
      </c>
      <c r="G72" s="40" t="s">
        <v>4798</v>
      </c>
      <c r="H72" s="40" t="s">
        <v>4799</v>
      </c>
      <c r="I72" s="40" t="s">
        <v>4800</v>
      </c>
      <c r="J72" s="40" t="s">
        <v>1868</v>
      </c>
      <c r="K72" s="154"/>
    </row>
    <row r="73" spans="1:11" x14ac:dyDescent="0.3">
      <c r="A73" s="46" t="s">
        <v>4801</v>
      </c>
      <c r="B73" s="46" t="s">
        <v>4802</v>
      </c>
      <c r="C73" s="46" t="s">
        <v>4803</v>
      </c>
      <c r="D73" s="46" t="s">
        <v>13</v>
      </c>
      <c r="E73" s="46" t="s">
        <v>4804</v>
      </c>
      <c r="F73" s="46" t="s">
        <v>4805</v>
      </c>
      <c r="G73" s="46" t="s">
        <v>4806</v>
      </c>
      <c r="H73" s="46" t="s">
        <v>4807</v>
      </c>
      <c r="I73" s="46" t="s">
        <v>14</v>
      </c>
      <c r="J73" s="46" t="s">
        <v>1852</v>
      </c>
      <c r="K73" s="153"/>
    </row>
    <row r="74" spans="1:11" x14ac:dyDescent="0.3">
      <c r="A74" s="46" t="s">
        <v>4808</v>
      </c>
      <c r="B74" s="46" t="s">
        <v>4802</v>
      </c>
      <c r="C74" s="46" t="s">
        <v>4809</v>
      </c>
      <c r="D74" s="46" t="s">
        <v>13</v>
      </c>
      <c r="E74" s="46" t="s">
        <v>4804</v>
      </c>
      <c r="F74" s="46" t="s">
        <v>4810</v>
      </c>
      <c r="G74" s="46" t="s">
        <v>4806</v>
      </c>
      <c r="H74" s="46" t="s">
        <v>4807</v>
      </c>
      <c r="I74" s="46" t="s">
        <v>14</v>
      </c>
      <c r="J74" s="46" t="s">
        <v>1852</v>
      </c>
      <c r="K74" s="153"/>
    </row>
    <row r="75" spans="1:11" x14ac:dyDescent="0.3">
      <c r="A75" s="46" t="s">
        <v>4811</v>
      </c>
      <c r="B75" s="46" t="s">
        <v>4802</v>
      </c>
      <c r="C75" s="46" t="s">
        <v>4812</v>
      </c>
      <c r="D75" s="46" t="s">
        <v>13</v>
      </c>
      <c r="E75" s="46" t="s">
        <v>4804</v>
      </c>
      <c r="F75" s="46" t="s">
        <v>4813</v>
      </c>
      <c r="G75" s="46" t="s">
        <v>4806</v>
      </c>
      <c r="H75" s="46" t="s">
        <v>4807</v>
      </c>
      <c r="I75" s="46" t="s">
        <v>14</v>
      </c>
      <c r="J75" s="46" t="s">
        <v>1852</v>
      </c>
      <c r="K75" s="153"/>
    </row>
    <row r="76" spans="1:11" x14ac:dyDescent="0.3">
      <c r="A76" s="46" t="s">
        <v>4814</v>
      </c>
      <c r="B76" s="46" t="s">
        <v>4802</v>
      </c>
      <c r="C76" s="46" t="s">
        <v>4815</v>
      </c>
      <c r="D76" s="46" t="s">
        <v>13</v>
      </c>
      <c r="E76" s="46" t="s">
        <v>4804</v>
      </c>
      <c r="F76" s="46" t="s">
        <v>4816</v>
      </c>
      <c r="G76" s="46" t="s">
        <v>4817</v>
      </c>
      <c r="H76" s="46" t="s">
        <v>4818</v>
      </c>
      <c r="I76" s="46" t="s">
        <v>4819</v>
      </c>
      <c r="J76" s="46" t="s">
        <v>1852</v>
      </c>
      <c r="K76" s="153"/>
    </row>
    <row r="77" spans="1:11" x14ac:dyDescent="0.3">
      <c r="A77" s="46" t="s">
        <v>4820</v>
      </c>
      <c r="B77" s="46" t="s">
        <v>4802</v>
      </c>
      <c r="C77" s="46" t="s">
        <v>4821</v>
      </c>
      <c r="D77" s="46" t="s">
        <v>13</v>
      </c>
      <c r="E77" s="46" t="s">
        <v>4804</v>
      </c>
      <c r="F77" s="46" t="s">
        <v>4816</v>
      </c>
      <c r="G77" s="46" t="s">
        <v>4822</v>
      </c>
      <c r="H77" s="46" t="s">
        <v>4823</v>
      </c>
      <c r="I77" s="46" t="s">
        <v>4824</v>
      </c>
      <c r="J77" s="46" t="s">
        <v>1868</v>
      </c>
      <c r="K77" s="153"/>
    </row>
    <row r="78" spans="1:11" x14ac:dyDescent="0.3">
      <c r="A78" s="46" t="s">
        <v>4825</v>
      </c>
      <c r="B78" s="46" t="s">
        <v>4802</v>
      </c>
      <c r="C78" s="46" t="s">
        <v>4826</v>
      </c>
      <c r="D78" s="46" t="s">
        <v>10</v>
      </c>
      <c r="E78" s="46" t="s">
        <v>648</v>
      </c>
      <c r="F78" s="46" t="s">
        <v>4827</v>
      </c>
      <c r="G78" s="46" t="s">
        <v>4828</v>
      </c>
      <c r="H78" s="46" t="s">
        <v>4829</v>
      </c>
      <c r="I78" s="46" t="s">
        <v>4830</v>
      </c>
      <c r="J78" s="46" t="s">
        <v>1852</v>
      </c>
      <c r="K78" s="153"/>
    </row>
    <row r="79" spans="1:11" x14ac:dyDescent="0.3">
      <c r="A79" s="46" t="s">
        <v>4831</v>
      </c>
      <c r="B79" s="46" t="s">
        <v>4802</v>
      </c>
      <c r="C79" s="46" t="s">
        <v>4832</v>
      </c>
      <c r="D79" s="46" t="s">
        <v>10</v>
      </c>
      <c r="E79" s="46" t="s">
        <v>4804</v>
      </c>
      <c r="F79" s="46" t="s">
        <v>4833</v>
      </c>
      <c r="G79" s="46" t="s">
        <v>4834</v>
      </c>
      <c r="H79" s="46" t="s">
        <v>4835</v>
      </c>
      <c r="I79" s="46" t="s">
        <v>4836</v>
      </c>
      <c r="J79" s="46" t="s">
        <v>1852</v>
      </c>
      <c r="K79" s="153"/>
    </row>
    <row r="80" spans="1:11" x14ac:dyDescent="0.3">
      <c r="A80" s="46" t="s">
        <v>4837</v>
      </c>
      <c r="B80" s="46" t="s">
        <v>4802</v>
      </c>
      <c r="C80" s="46" t="s">
        <v>4838</v>
      </c>
      <c r="D80" s="46" t="s">
        <v>10</v>
      </c>
      <c r="E80" s="46" t="s">
        <v>624</v>
      </c>
      <c r="F80" s="46" t="s">
        <v>3429</v>
      </c>
      <c r="G80" s="46" t="s">
        <v>4839</v>
      </c>
      <c r="H80" s="46" t="s">
        <v>4840</v>
      </c>
      <c r="I80" s="46" t="s">
        <v>4841</v>
      </c>
      <c r="J80" s="46" t="s">
        <v>1852</v>
      </c>
      <c r="K80" s="153"/>
    </row>
    <row r="81" spans="1:11" x14ac:dyDescent="0.3">
      <c r="A81" s="46" t="s">
        <v>4842</v>
      </c>
      <c r="B81" s="46" t="s">
        <v>4802</v>
      </c>
      <c r="C81" s="46" t="s">
        <v>4843</v>
      </c>
      <c r="D81" s="46" t="s">
        <v>10</v>
      </c>
      <c r="E81" s="46" t="s">
        <v>624</v>
      </c>
      <c r="F81" s="46" t="s">
        <v>3407</v>
      </c>
      <c r="G81" s="46" t="s">
        <v>4839</v>
      </c>
      <c r="H81" s="46" t="s">
        <v>4840</v>
      </c>
      <c r="I81" s="46" t="s">
        <v>4844</v>
      </c>
      <c r="J81" s="46" t="s">
        <v>1852</v>
      </c>
      <c r="K81" s="153"/>
    </row>
    <row r="82" spans="1:11" x14ac:dyDescent="0.3">
      <c r="A82" s="46" t="s">
        <v>4845</v>
      </c>
      <c r="B82" s="46" t="s">
        <v>4802</v>
      </c>
      <c r="C82" s="46" t="s">
        <v>4846</v>
      </c>
      <c r="D82" s="46" t="s">
        <v>13</v>
      </c>
      <c r="E82" s="46" t="s">
        <v>639</v>
      </c>
      <c r="F82" s="46" t="s">
        <v>4847</v>
      </c>
      <c r="G82" s="46" t="s">
        <v>4848</v>
      </c>
      <c r="H82" s="46" t="s">
        <v>4849</v>
      </c>
      <c r="I82" s="46" t="s">
        <v>4653</v>
      </c>
      <c r="J82" s="46" t="s">
        <v>1852</v>
      </c>
      <c r="K82" s="153"/>
    </row>
    <row r="83" spans="1:11" x14ac:dyDescent="0.3">
      <c r="A83" s="46" t="s">
        <v>4850</v>
      </c>
      <c r="B83" s="46" t="s">
        <v>4802</v>
      </c>
      <c r="C83" s="46" t="s">
        <v>4851</v>
      </c>
      <c r="D83" s="46" t="s">
        <v>13</v>
      </c>
      <c r="E83" s="46" t="s">
        <v>4804</v>
      </c>
      <c r="F83" s="46" t="s">
        <v>4852</v>
      </c>
      <c r="G83" s="46" t="s">
        <v>4853</v>
      </c>
      <c r="H83" s="46" t="s">
        <v>12888</v>
      </c>
      <c r="I83" s="46" t="s">
        <v>4854</v>
      </c>
      <c r="J83" s="46" t="s">
        <v>1868</v>
      </c>
      <c r="K83" s="155"/>
    </row>
    <row r="84" spans="1:11" x14ac:dyDescent="0.3">
      <c r="A84" s="46" t="s">
        <v>4855</v>
      </c>
      <c r="B84" s="46" t="s">
        <v>4802</v>
      </c>
      <c r="C84" s="46" t="s">
        <v>12889</v>
      </c>
      <c r="D84" s="46" t="s">
        <v>10</v>
      </c>
      <c r="E84" s="46" t="s">
        <v>4804</v>
      </c>
      <c r="F84" s="46" t="s">
        <v>4856</v>
      </c>
      <c r="G84" s="46" t="s">
        <v>4857</v>
      </c>
      <c r="H84" s="46" t="s">
        <v>12890</v>
      </c>
      <c r="I84" s="46" t="s">
        <v>4858</v>
      </c>
      <c r="J84" s="46" t="s">
        <v>1868</v>
      </c>
      <c r="K84" s="153"/>
    </row>
    <row r="85" spans="1:11" x14ac:dyDescent="0.3">
      <c r="A85" s="46" t="s">
        <v>4859</v>
      </c>
      <c r="B85" s="46" t="s">
        <v>4802</v>
      </c>
      <c r="C85" s="46" t="s">
        <v>4860</v>
      </c>
      <c r="D85" s="46" t="s">
        <v>13</v>
      </c>
      <c r="E85" s="46" t="s">
        <v>4804</v>
      </c>
      <c r="F85" s="46" t="s">
        <v>4861</v>
      </c>
      <c r="G85" s="46" t="s">
        <v>4862</v>
      </c>
      <c r="H85" s="46" t="s">
        <v>4807</v>
      </c>
      <c r="I85" s="46" t="s">
        <v>14</v>
      </c>
      <c r="J85" s="46" t="s">
        <v>1852</v>
      </c>
      <c r="K85" s="153"/>
    </row>
    <row r="86" spans="1:11" x14ac:dyDescent="0.3">
      <c r="A86" s="46" t="s">
        <v>4863</v>
      </c>
      <c r="B86" s="46" t="s">
        <v>4802</v>
      </c>
      <c r="C86" s="46" t="s">
        <v>4864</v>
      </c>
      <c r="D86" s="46" t="s">
        <v>13</v>
      </c>
      <c r="E86" s="46" t="s">
        <v>4804</v>
      </c>
      <c r="F86" s="46" t="s">
        <v>4865</v>
      </c>
      <c r="G86" s="46" t="s">
        <v>4866</v>
      </c>
      <c r="H86" s="46" t="s">
        <v>4807</v>
      </c>
      <c r="I86" s="46" t="s">
        <v>14</v>
      </c>
      <c r="J86" s="46" t="s">
        <v>1852</v>
      </c>
      <c r="K86" s="153"/>
    </row>
    <row r="87" spans="1:11" x14ac:dyDescent="0.3">
      <c r="A87" s="46" t="s">
        <v>4867</v>
      </c>
      <c r="B87" s="46" t="s">
        <v>4802</v>
      </c>
      <c r="C87" s="46" t="s">
        <v>4868</v>
      </c>
      <c r="D87" s="46" t="s">
        <v>13</v>
      </c>
      <c r="E87" s="46" t="s">
        <v>4088</v>
      </c>
      <c r="F87" s="46" t="s">
        <v>4869</v>
      </c>
      <c r="G87" s="46" t="s">
        <v>4870</v>
      </c>
      <c r="H87" s="46" t="s">
        <v>4871</v>
      </c>
      <c r="I87" s="46" t="s">
        <v>14</v>
      </c>
      <c r="J87" s="46" t="s">
        <v>1868</v>
      </c>
      <c r="K87" s="153"/>
    </row>
    <row r="88" spans="1:11" x14ac:dyDescent="0.3">
      <c r="A88" s="90" t="s">
        <v>4872</v>
      </c>
      <c r="B88" s="90" t="s">
        <v>4873</v>
      </c>
      <c r="C88" s="90" t="s">
        <v>4874</v>
      </c>
      <c r="D88" s="90" t="s">
        <v>13</v>
      </c>
      <c r="E88" s="90" t="s">
        <v>486</v>
      </c>
      <c r="F88" s="90" t="s">
        <v>4875</v>
      </c>
      <c r="G88" s="90" t="s">
        <v>4876</v>
      </c>
      <c r="H88" s="90" t="s">
        <v>4877</v>
      </c>
      <c r="I88" s="90" t="s">
        <v>14</v>
      </c>
      <c r="J88" s="90" t="s">
        <v>1852</v>
      </c>
      <c r="K88" s="153"/>
    </row>
    <row r="89" spans="1:11" x14ac:dyDescent="0.3">
      <c r="A89" s="90" t="s">
        <v>4878</v>
      </c>
      <c r="B89" s="90" t="s">
        <v>4873</v>
      </c>
      <c r="C89" s="90" t="s">
        <v>12891</v>
      </c>
      <c r="D89" s="90" t="s">
        <v>21</v>
      </c>
      <c r="E89" s="90" t="s">
        <v>486</v>
      </c>
      <c r="F89" s="90" t="s">
        <v>12892</v>
      </c>
      <c r="G89" s="90" t="s">
        <v>4540</v>
      </c>
      <c r="H89" s="90" t="s">
        <v>12893</v>
      </c>
      <c r="I89" s="90" t="s">
        <v>4879</v>
      </c>
      <c r="J89" s="90" t="s">
        <v>1852</v>
      </c>
    </row>
    <row r="90" spans="1:11" x14ac:dyDescent="0.3">
      <c r="A90" s="90" t="s">
        <v>4880</v>
      </c>
      <c r="B90" s="90" t="s">
        <v>4873</v>
      </c>
      <c r="C90" s="90" t="s">
        <v>4881</v>
      </c>
      <c r="D90" s="90" t="s">
        <v>13</v>
      </c>
      <c r="E90" s="90" t="s">
        <v>486</v>
      </c>
      <c r="F90" s="90" t="s">
        <v>4882</v>
      </c>
      <c r="G90" s="90" t="s">
        <v>4540</v>
      </c>
      <c r="H90" s="90" t="s">
        <v>4877</v>
      </c>
      <c r="I90" s="90" t="s">
        <v>14</v>
      </c>
      <c r="J90" s="90" t="s">
        <v>1868</v>
      </c>
      <c r="K90" s="153"/>
    </row>
    <row r="91" spans="1:11" x14ac:dyDescent="0.3">
      <c r="A91" s="90" t="s">
        <v>4883</v>
      </c>
      <c r="B91" s="90" t="s">
        <v>4873</v>
      </c>
      <c r="C91" s="90" t="s">
        <v>4884</v>
      </c>
      <c r="D91" s="90" t="s">
        <v>21</v>
      </c>
      <c r="E91" s="90" t="s">
        <v>486</v>
      </c>
      <c r="F91" s="90" t="s">
        <v>4885</v>
      </c>
      <c r="G91" s="90" t="s">
        <v>4540</v>
      </c>
      <c r="H91" s="90" t="s">
        <v>4886</v>
      </c>
      <c r="I91" s="90" t="s">
        <v>4879</v>
      </c>
      <c r="J91" s="90" t="s">
        <v>1868</v>
      </c>
      <c r="K91" s="153"/>
    </row>
    <row r="92" spans="1:11" x14ac:dyDescent="0.3">
      <c r="A92" s="90" t="s">
        <v>4887</v>
      </c>
      <c r="B92" s="90" t="s">
        <v>4873</v>
      </c>
      <c r="C92" s="90" t="s">
        <v>4888</v>
      </c>
      <c r="D92" s="90" t="s">
        <v>13</v>
      </c>
      <c r="E92" s="90" t="s">
        <v>486</v>
      </c>
      <c r="F92" s="90" t="s">
        <v>4889</v>
      </c>
      <c r="G92" s="90" t="s">
        <v>4540</v>
      </c>
      <c r="H92" s="90" t="s">
        <v>4890</v>
      </c>
      <c r="I92" s="90" t="s">
        <v>14</v>
      </c>
      <c r="J92" s="90" t="s">
        <v>1852</v>
      </c>
      <c r="K92" s="153"/>
    </row>
    <row r="93" spans="1:11" x14ac:dyDescent="0.3">
      <c r="A93" s="90" t="s">
        <v>4891</v>
      </c>
      <c r="B93" s="90" t="s">
        <v>4873</v>
      </c>
      <c r="C93" s="90" t="s">
        <v>4892</v>
      </c>
      <c r="D93" s="90" t="s">
        <v>13</v>
      </c>
      <c r="E93" s="90" t="s">
        <v>486</v>
      </c>
      <c r="F93" s="90" t="s">
        <v>4893</v>
      </c>
      <c r="G93" s="90" t="s">
        <v>4540</v>
      </c>
      <c r="H93" s="90" t="s">
        <v>4894</v>
      </c>
      <c r="I93" s="90" t="s">
        <v>4895</v>
      </c>
      <c r="J93" s="90" t="s">
        <v>1868</v>
      </c>
      <c r="K93" s="153"/>
    </row>
    <row r="94" spans="1:11" x14ac:dyDescent="0.3">
      <c r="A94" s="90" t="s">
        <v>4896</v>
      </c>
      <c r="B94" s="90" t="s">
        <v>4873</v>
      </c>
      <c r="C94" s="90" t="s">
        <v>4897</v>
      </c>
      <c r="D94" s="90" t="s">
        <v>13</v>
      </c>
      <c r="E94" s="90" t="s">
        <v>486</v>
      </c>
      <c r="F94" s="90" t="s">
        <v>4898</v>
      </c>
      <c r="G94" s="90" t="s">
        <v>4899</v>
      </c>
      <c r="H94" s="90" t="s">
        <v>4900</v>
      </c>
      <c r="I94" s="90" t="s">
        <v>14</v>
      </c>
      <c r="J94" s="90" t="s">
        <v>1868</v>
      </c>
      <c r="K94" s="153"/>
    </row>
    <row r="95" spans="1:11" x14ac:dyDescent="0.3">
      <c r="A95" s="90" t="s">
        <v>4901</v>
      </c>
      <c r="B95" s="90" t="s">
        <v>4873</v>
      </c>
      <c r="C95" s="90" t="s">
        <v>4902</v>
      </c>
      <c r="D95" s="90" t="s">
        <v>13</v>
      </c>
      <c r="E95" s="90" t="s">
        <v>4903</v>
      </c>
      <c r="F95" s="90" t="s">
        <v>4904</v>
      </c>
      <c r="G95" s="90" t="s">
        <v>4905</v>
      </c>
      <c r="H95" s="90" t="s">
        <v>4906</v>
      </c>
      <c r="I95" s="90" t="s">
        <v>14</v>
      </c>
      <c r="J95" s="90" t="s">
        <v>1868</v>
      </c>
      <c r="K95" s="153"/>
    </row>
    <row r="96" spans="1:11" ht="43.2" x14ac:dyDescent="0.3">
      <c r="A96" s="90" t="s">
        <v>4907</v>
      </c>
      <c r="B96" s="90" t="s">
        <v>4873</v>
      </c>
      <c r="C96" s="90" t="s">
        <v>4908</v>
      </c>
      <c r="D96" s="90" t="s">
        <v>13</v>
      </c>
      <c r="E96" s="90" t="s">
        <v>486</v>
      </c>
      <c r="F96" s="90" t="s">
        <v>4909</v>
      </c>
      <c r="G96" s="90" t="s">
        <v>4910</v>
      </c>
      <c r="H96" s="90" t="s">
        <v>4911</v>
      </c>
      <c r="I96" s="90" t="s">
        <v>4912</v>
      </c>
      <c r="J96" s="90" t="s">
        <v>1868</v>
      </c>
      <c r="K96" s="156" t="s">
        <v>12843</v>
      </c>
    </row>
    <row r="97" spans="1:11" x14ac:dyDescent="0.3">
      <c r="A97" s="91" t="s">
        <v>4913</v>
      </c>
      <c r="B97" s="91" t="s">
        <v>4914</v>
      </c>
      <c r="C97" s="91" t="s">
        <v>4915</v>
      </c>
      <c r="D97" s="91" t="s">
        <v>10</v>
      </c>
      <c r="E97" s="91" t="s">
        <v>22</v>
      </c>
      <c r="F97" s="91" t="s">
        <v>4916</v>
      </c>
      <c r="G97" s="91" t="s">
        <v>4917</v>
      </c>
      <c r="H97" s="91" t="s">
        <v>4918</v>
      </c>
      <c r="I97" s="91" t="s">
        <v>4915</v>
      </c>
      <c r="J97" s="91" t="s">
        <v>1852</v>
      </c>
      <c r="K97" s="153"/>
    </row>
    <row r="98" spans="1:11" x14ac:dyDescent="0.3">
      <c r="A98" s="91" t="s">
        <v>4919</v>
      </c>
      <c r="B98" s="91" t="s">
        <v>4914</v>
      </c>
      <c r="C98" s="91" t="s">
        <v>4920</v>
      </c>
      <c r="D98" s="91" t="s">
        <v>13</v>
      </c>
      <c r="E98" s="91" t="s">
        <v>22</v>
      </c>
      <c r="F98" s="91" t="s">
        <v>4921</v>
      </c>
      <c r="G98" s="91" t="s">
        <v>4917</v>
      </c>
      <c r="H98" s="91" t="s">
        <v>4922</v>
      </c>
      <c r="I98" s="91" t="s">
        <v>4923</v>
      </c>
      <c r="J98" s="91" t="s">
        <v>1852</v>
      </c>
      <c r="K98" s="153"/>
    </row>
    <row r="99" spans="1:11" x14ac:dyDescent="0.3">
      <c r="A99" s="91" t="s">
        <v>4924</v>
      </c>
      <c r="B99" s="91" t="s">
        <v>4914</v>
      </c>
      <c r="C99" s="91" t="s">
        <v>4925</v>
      </c>
      <c r="D99" s="91" t="s">
        <v>10</v>
      </c>
      <c r="E99" s="91" t="s">
        <v>22</v>
      </c>
      <c r="F99" s="91" t="s">
        <v>4926</v>
      </c>
      <c r="G99" s="91" t="s">
        <v>4927</v>
      </c>
      <c r="H99" s="91" t="s">
        <v>4928</v>
      </c>
      <c r="I99" s="91" t="s">
        <v>4929</v>
      </c>
      <c r="J99" s="91" t="s">
        <v>1852</v>
      </c>
      <c r="K99" s="153"/>
    </row>
    <row r="100" spans="1:11" x14ac:dyDescent="0.3">
      <c r="A100" s="91" t="s">
        <v>4930</v>
      </c>
      <c r="B100" s="91" t="s">
        <v>4914</v>
      </c>
      <c r="C100" s="91" t="s">
        <v>4931</v>
      </c>
      <c r="D100" s="91" t="s">
        <v>13</v>
      </c>
      <c r="E100" s="91" t="s">
        <v>2571</v>
      </c>
      <c r="F100" s="91" t="s">
        <v>4932</v>
      </c>
      <c r="G100" s="91" t="s">
        <v>4933</v>
      </c>
      <c r="H100" s="91" t="s">
        <v>4934</v>
      </c>
      <c r="I100" s="91" t="s">
        <v>4935</v>
      </c>
      <c r="J100" s="91" t="s">
        <v>1852</v>
      </c>
      <c r="K100" s="153"/>
    </row>
    <row r="101" spans="1:11" x14ac:dyDescent="0.3">
      <c r="A101" s="91" t="s">
        <v>4936</v>
      </c>
      <c r="B101" s="91" t="s">
        <v>4914</v>
      </c>
      <c r="C101" s="91" t="s">
        <v>4937</v>
      </c>
      <c r="D101" s="91" t="s">
        <v>10</v>
      </c>
      <c r="E101" s="91" t="s">
        <v>22</v>
      </c>
      <c r="F101" s="91" t="s">
        <v>4938</v>
      </c>
      <c r="G101" s="91" t="s">
        <v>4939</v>
      </c>
      <c r="H101" s="91" t="s">
        <v>4940</v>
      </c>
      <c r="I101" s="91" t="s">
        <v>4941</v>
      </c>
      <c r="J101" s="91" t="s">
        <v>1852</v>
      </c>
      <c r="K101" s="153"/>
    </row>
    <row r="102" spans="1:11" x14ac:dyDescent="0.3">
      <c r="A102" s="91" t="s">
        <v>4942</v>
      </c>
      <c r="B102" s="91" t="s">
        <v>4914</v>
      </c>
      <c r="C102" s="91" t="s">
        <v>4943</v>
      </c>
      <c r="D102" s="91" t="s">
        <v>10</v>
      </c>
      <c r="E102" s="91" t="s">
        <v>22</v>
      </c>
      <c r="F102" s="91" t="s">
        <v>4944</v>
      </c>
      <c r="G102" s="91" t="s">
        <v>4945</v>
      </c>
      <c r="H102" s="91" t="s">
        <v>4946</v>
      </c>
      <c r="I102" s="91" t="s">
        <v>4947</v>
      </c>
      <c r="J102" s="91" t="s">
        <v>1852</v>
      </c>
      <c r="K102" s="153"/>
    </row>
    <row r="103" spans="1:11" x14ac:dyDescent="0.3">
      <c r="A103" s="91" t="s">
        <v>4948</v>
      </c>
      <c r="B103" s="91" t="s">
        <v>4914</v>
      </c>
      <c r="C103" s="91" t="s">
        <v>4949</v>
      </c>
      <c r="D103" s="91" t="s">
        <v>13</v>
      </c>
      <c r="E103" s="91" t="s">
        <v>22</v>
      </c>
      <c r="F103" s="91" t="s">
        <v>4950</v>
      </c>
      <c r="G103" s="91" t="s">
        <v>4945</v>
      </c>
      <c r="H103" s="91" t="s">
        <v>4951</v>
      </c>
      <c r="I103" s="91" t="s">
        <v>14</v>
      </c>
      <c r="J103" s="91" t="s">
        <v>1868</v>
      </c>
      <c r="K103" s="153"/>
    </row>
    <row r="104" spans="1:11" x14ac:dyDescent="0.3">
      <c r="A104" s="91" t="s">
        <v>4952</v>
      </c>
      <c r="B104" s="91" t="s">
        <v>4914</v>
      </c>
      <c r="C104" s="91" t="s">
        <v>4953</v>
      </c>
      <c r="D104" s="91" t="s">
        <v>13</v>
      </c>
      <c r="E104" s="91" t="s">
        <v>22</v>
      </c>
      <c r="F104" s="91" t="s">
        <v>4954</v>
      </c>
      <c r="G104" s="91" t="s">
        <v>4945</v>
      </c>
      <c r="H104" s="91" t="s">
        <v>4951</v>
      </c>
      <c r="I104" s="91" t="s">
        <v>14</v>
      </c>
      <c r="J104" s="91" t="s">
        <v>1868</v>
      </c>
      <c r="K104" s="153"/>
    </row>
    <row r="105" spans="1:11" x14ac:dyDescent="0.3">
      <c r="A105" s="91" t="s">
        <v>4955</v>
      </c>
      <c r="B105" s="91" t="s">
        <v>4914</v>
      </c>
      <c r="C105" s="91" t="s">
        <v>4956</v>
      </c>
      <c r="D105" s="91" t="s">
        <v>10</v>
      </c>
      <c r="E105" s="91" t="s">
        <v>22</v>
      </c>
      <c r="F105" s="91" t="s">
        <v>4957</v>
      </c>
      <c r="G105" s="91" t="s">
        <v>4958</v>
      </c>
      <c r="H105" s="91" t="s">
        <v>4959</v>
      </c>
      <c r="I105" s="91" t="s">
        <v>14</v>
      </c>
      <c r="J105" s="91" t="s">
        <v>1868</v>
      </c>
      <c r="K105" s="153"/>
    </row>
    <row r="106" spans="1:11" x14ac:dyDescent="0.3">
      <c r="A106" s="91" t="s">
        <v>4960</v>
      </c>
      <c r="B106" s="91" t="s">
        <v>4914</v>
      </c>
      <c r="C106" s="91" t="s">
        <v>4961</v>
      </c>
      <c r="D106" s="91" t="s">
        <v>10</v>
      </c>
      <c r="E106" s="91" t="s">
        <v>674</v>
      </c>
      <c r="F106" s="91" t="s">
        <v>4962</v>
      </c>
      <c r="G106" s="91" t="s">
        <v>4963</v>
      </c>
      <c r="H106" s="91" t="s">
        <v>4964</v>
      </c>
      <c r="I106" s="91" t="s">
        <v>4965</v>
      </c>
      <c r="J106" s="91" t="s">
        <v>1852</v>
      </c>
      <c r="K106" s="153"/>
    </row>
    <row r="107" spans="1:11" x14ac:dyDescent="0.3">
      <c r="A107" s="91" t="s">
        <v>4966</v>
      </c>
      <c r="B107" s="91" t="s">
        <v>4914</v>
      </c>
      <c r="C107" s="91" t="s">
        <v>4967</v>
      </c>
      <c r="D107" s="91" t="s">
        <v>13</v>
      </c>
      <c r="E107" s="91" t="s">
        <v>674</v>
      </c>
      <c r="F107" s="91" t="s">
        <v>4968</v>
      </c>
      <c r="G107" s="91" t="s">
        <v>4969</v>
      </c>
      <c r="H107" s="91" t="s">
        <v>4970</v>
      </c>
      <c r="I107" s="91" t="s">
        <v>14</v>
      </c>
      <c r="J107" s="91" t="s">
        <v>1868</v>
      </c>
      <c r="K107" s="153"/>
    </row>
    <row r="108" spans="1:11" x14ac:dyDescent="0.3">
      <c r="A108" s="91" t="s">
        <v>4971</v>
      </c>
      <c r="B108" s="91" t="s">
        <v>4914</v>
      </c>
      <c r="C108" s="91" t="s">
        <v>4972</v>
      </c>
      <c r="D108" s="91" t="s">
        <v>13</v>
      </c>
      <c r="E108" s="91" t="s">
        <v>4973</v>
      </c>
      <c r="F108" s="91" t="s">
        <v>4974</v>
      </c>
      <c r="G108" s="91" t="s">
        <v>4975</v>
      </c>
      <c r="H108" s="91" t="s">
        <v>4976</v>
      </c>
      <c r="I108" s="91" t="s">
        <v>14</v>
      </c>
      <c r="J108" s="91" t="s">
        <v>1868</v>
      </c>
      <c r="K108" s="153"/>
    </row>
    <row r="109" spans="1:11" x14ac:dyDescent="0.3">
      <c r="A109" s="92" t="s">
        <v>4977</v>
      </c>
      <c r="B109" s="92" t="s">
        <v>4978</v>
      </c>
      <c r="C109" s="92" t="s">
        <v>4979</v>
      </c>
      <c r="D109" s="92" t="s">
        <v>13</v>
      </c>
      <c r="E109" s="92" t="s">
        <v>24</v>
      </c>
      <c r="F109" s="92" t="s">
        <v>4980</v>
      </c>
      <c r="G109" s="92" t="s">
        <v>4981</v>
      </c>
      <c r="H109" s="92" t="s">
        <v>4982</v>
      </c>
      <c r="I109" s="92" t="s">
        <v>4983</v>
      </c>
      <c r="J109" s="92" t="s">
        <v>1852</v>
      </c>
      <c r="K109" s="153"/>
    </row>
    <row r="110" spans="1:11" x14ac:dyDescent="0.3">
      <c r="A110" s="92" t="s">
        <v>4984</v>
      </c>
      <c r="B110" s="92" t="s">
        <v>4978</v>
      </c>
      <c r="C110" s="92" t="s">
        <v>4985</v>
      </c>
      <c r="D110" s="92" t="s">
        <v>13</v>
      </c>
      <c r="E110" s="92" t="s">
        <v>24</v>
      </c>
      <c r="F110" s="92" t="s">
        <v>4986</v>
      </c>
      <c r="G110" s="92" t="s">
        <v>4987</v>
      </c>
      <c r="H110" s="92" t="s">
        <v>4988</v>
      </c>
      <c r="I110" s="92" t="s">
        <v>4989</v>
      </c>
      <c r="J110" s="92" t="s">
        <v>1868</v>
      </c>
      <c r="K110" s="153"/>
    </row>
    <row r="111" spans="1:11" x14ac:dyDescent="0.3">
      <c r="A111" s="92" t="s">
        <v>4990</v>
      </c>
      <c r="B111" s="92" t="s">
        <v>4978</v>
      </c>
      <c r="C111" s="92" t="s">
        <v>4991</v>
      </c>
      <c r="D111" s="92" t="s">
        <v>13</v>
      </c>
      <c r="E111" s="92" t="s">
        <v>4992</v>
      </c>
      <c r="F111" s="92" t="s">
        <v>4993</v>
      </c>
      <c r="G111" s="92" t="s">
        <v>4994</v>
      </c>
      <c r="H111" s="92" t="s">
        <v>4995</v>
      </c>
      <c r="I111" s="92" t="s">
        <v>4996</v>
      </c>
      <c r="J111" s="92" t="s">
        <v>1852</v>
      </c>
      <c r="K111" s="153"/>
    </row>
    <row r="112" spans="1:11" x14ac:dyDescent="0.3">
      <c r="A112" s="92" t="s">
        <v>4997</v>
      </c>
      <c r="B112" s="92" t="s">
        <v>4978</v>
      </c>
      <c r="C112" s="92" t="s">
        <v>4998</v>
      </c>
      <c r="D112" s="92" t="s">
        <v>10</v>
      </c>
      <c r="E112" s="92" t="s">
        <v>694</v>
      </c>
      <c r="F112" s="92" t="s">
        <v>4999</v>
      </c>
      <c r="G112" s="92" t="s">
        <v>5000</v>
      </c>
      <c r="H112" s="92" t="s">
        <v>5001</v>
      </c>
      <c r="I112" s="92" t="s">
        <v>5002</v>
      </c>
      <c r="J112" s="92" t="s">
        <v>1868</v>
      </c>
      <c r="K112" s="153"/>
    </row>
    <row r="113" spans="1:11" x14ac:dyDescent="0.3">
      <c r="A113" s="92" t="s">
        <v>5003</v>
      </c>
      <c r="B113" s="92" t="s">
        <v>4978</v>
      </c>
      <c r="C113" s="92" t="s">
        <v>5004</v>
      </c>
      <c r="D113" s="92" t="s">
        <v>10</v>
      </c>
      <c r="E113" s="92" t="s">
        <v>694</v>
      </c>
      <c r="F113" s="92" t="s">
        <v>5005</v>
      </c>
      <c r="G113" s="92" t="s">
        <v>5006</v>
      </c>
      <c r="H113" s="92" t="s">
        <v>5007</v>
      </c>
      <c r="I113" s="92" t="s">
        <v>5008</v>
      </c>
      <c r="J113" s="92" t="s">
        <v>1868</v>
      </c>
      <c r="K113" s="153"/>
    </row>
    <row r="114" spans="1:11" x14ac:dyDescent="0.3">
      <c r="A114" s="92" t="s">
        <v>5009</v>
      </c>
      <c r="B114" s="92" t="s">
        <v>4978</v>
      </c>
      <c r="C114" s="92" t="s">
        <v>5010</v>
      </c>
      <c r="D114" s="92" t="s">
        <v>10</v>
      </c>
      <c r="E114" s="92" t="s">
        <v>694</v>
      </c>
      <c r="F114" s="92" t="s">
        <v>27</v>
      </c>
      <c r="G114" s="92" t="s">
        <v>5011</v>
      </c>
      <c r="H114" s="92" t="s">
        <v>5012</v>
      </c>
      <c r="I114" s="92" t="s">
        <v>5013</v>
      </c>
      <c r="J114" s="92" t="s">
        <v>1868</v>
      </c>
      <c r="K114" s="153"/>
    </row>
    <row r="115" spans="1:11" x14ac:dyDescent="0.3">
      <c r="A115" s="92" t="s">
        <v>5014</v>
      </c>
      <c r="B115" s="92" t="s">
        <v>4978</v>
      </c>
      <c r="C115" s="92" t="s">
        <v>5015</v>
      </c>
      <c r="D115" s="92" t="s">
        <v>10</v>
      </c>
      <c r="E115" s="92" t="s">
        <v>694</v>
      </c>
      <c r="F115" s="92" t="s">
        <v>5016</v>
      </c>
      <c r="G115" s="92" t="s">
        <v>5017</v>
      </c>
      <c r="H115" s="92" t="s">
        <v>5018</v>
      </c>
      <c r="I115" s="92" t="s">
        <v>5019</v>
      </c>
      <c r="J115" s="92" t="s">
        <v>1868</v>
      </c>
      <c r="K115" s="153"/>
    </row>
    <row r="116" spans="1:11" x14ac:dyDescent="0.3">
      <c r="A116" s="92" t="s">
        <v>5020</v>
      </c>
      <c r="B116" s="92" t="s">
        <v>4978</v>
      </c>
      <c r="C116" s="92" t="s">
        <v>5021</v>
      </c>
      <c r="D116" s="92" t="s">
        <v>10</v>
      </c>
      <c r="E116" s="92" t="s">
        <v>5022</v>
      </c>
      <c r="F116" s="92" t="s">
        <v>5023</v>
      </c>
      <c r="G116" s="92" t="s">
        <v>5024</v>
      </c>
      <c r="H116" s="92" t="s">
        <v>5025</v>
      </c>
      <c r="I116" s="92" t="s">
        <v>5021</v>
      </c>
      <c r="J116" s="92" t="s">
        <v>1852</v>
      </c>
      <c r="K116" s="153"/>
    </row>
    <row r="117" spans="1:11" x14ac:dyDescent="0.3">
      <c r="A117" s="92" t="s">
        <v>5026</v>
      </c>
      <c r="B117" s="92" t="s">
        <v>4978</v>
      </c>
      <c r="C117" s="92" t="s">
        <v>5027</v>
      </c>
      <c r="D117" s="92" t="s">
        <v>13</v>
      </c>
      <c r="E117" s="92" t="s">
        <v>5028</v>
      </c>
      <c r="F117" s="92" t="s">
        <v>5029</v>
      </c>
      <c r="G117" s="92" t="s">
        <v>4381</v>
      </c>
      <c r="H117" s="92" t="s">
        <v>5030</v>
      </c>
      <c r="I117" s="92" t="s">
        <v>5031</v>
      </c>
      <c r="J117" s="92" t="s">
        <v>1868</v>
      </c>
      <c r="K117" s="153"/>
    </row>
    <row r="118" spans="1:11" x14ac:dyDescent="0.3">
      <c r="A118" s="92" t="s">
        <v>5032</v>
      </c>
      <c r="B118" s="92" t="s">
        <v>4978</v>
      </c>
      <c r="C118" s="92" t="s">
        <v>5033</v>
      </c>
      <c r="D118" s="92" t="s">
        <v>10</v>
      </c>
      <c r="E118" s="92" t="s">
        <v>694</v>
      </c>
      <c r="F118" s="92" t="s">
        <v>5034</v>
      </c>
      <c r="G118" s="92" t="s">
        <v>697</v>
      </c>
      <c r="H118" s="92" t="s">
        <v>4773</v>
      </c>
      <c r="I118" s="92" t="s">
        <v>5035</v>
      </c>
      <c r="J118" s="92" t="s">
        <v>1852</v>
      </c>
      <c r="K118" s="153"/>
    </row>
    <row r="119" spans="1:11" x14ac:dyDescent="0.3">
      <c r="A119" s="92" t="s">
        <v>5036</v>
      </c>
      <c r="B119" s="92" t="s">
        <v>4978</v>
      </c>
      <c r="C119" s="92" t="s">
        <v>5037</v>
      </c>
      <c r="D119" s="92" t="s">
        <v>10</v>
      </c>
      <c r="E119" s="92" t="s">
        <v>694</v>
      </c>
      <c r="F119" s="92" t="s">
        <v>5038</v>
      </c>
      <c r="G119" s="92" t="s">
        <v>5039</v>
      </c>
      <c r="H119" s="92" t="s">
        <v>5040</v>
      </c>
      <c r="I119" s="92" t="s">
        <v>5041</v>
      </c>
      <c r="J119" s="92" t="s">
        <v>1868</v>
      </c>
      <c r="K119" s="153"/>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11A1-CD2A-454F-BEFF-CBFA8D942621}">
  <dimension ref="A1:K200"/>
  <sheetViews>
    <sheetView workbookViewId="0">
      <pane ySplit="1" topLeftCell="A33" activePane="bottomLeft" state="frozen"/>
      <selection pane="bottomLeft"/>
    </sheetView>
  </sheetViews>
  <sheetFormatPr defaultRowHeight="14.4" x14ac:dyDescent="0.3"/>
  <cols>
    <col min="1" max="1" width="26.88671875" customWidth="1"/>
    <col min="2" max="2" width="40.77734375" customWidth="1"/>
    <col min="3" max="3" width="55.5546875" customWidth="1"/>
    <col min="4" max="4" width="9.21875" customWidth="1"/>
    <col min="5" max="5" width="18.5546875" customWidth="1"/>
    <col min="6"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6980</v>
      </c>
      <c r="B2" s="46" t="s">
        <v>6981</v>
      </c>
      <c r="C2" s="46" t="s">
        <v>6982</v>
      </c>
      <c r="D2" s="46" t="s">
        <v>13</v>
      </c>
      <c r="E2" s="46" t="s">
        <v>26</v>
      </c>
      <c r="F2" s="46" t="s">
        <v>6983</v>
      </c>
      <c r="G2" s="46" t="s">
        <v>6984</v>
      </c>
      <c r="H2" s="46" t="s">
        <v>6985</v>
      </c>
      <c r="I2" s="46" t="s">
        <v>14</v>
      </c>
      <c r="J2" s="46" t="s">
        <v>1852</v>
      </c>
      <c r="K2" s="153"/>
    </row>
    <row r="3" spans="1:11" ht="43.2" x14ac:dyDescent="0.3">
      <c r="A3" s="46" t="s">
        <v>6986</v>
      </c>
      <c r="B3" s="46" t="s">
        <v>6981</v>
      </c>
      <c r="C3" s="46" t="s">
        <v>6987</v>
      </c>
      <c r="D3" s="46" t="s">
        <v>13</v>
      </c>
      <c r="E3" s="46" t="s">
        <v>576</v>
      </c>
      <c r="F3" s="46" t="s">
        <v>6988</v>
      </c>
      <c r="G3" s="146" t="s">
        <v>6989</v>
      </c>
      <c r="H3" s="46" t="s">
        <v>6990</v>
      </c>
      <c r="I3" s="46" t="s">
        <v>6991</v>
      </c>
      <c r="J3" s="46" t="s">
        <v>1852</v>
      </c>
      <c r="K3" s="156"/>
    </row>
    <row r="4" spans="1:11" x14ac:dyDescent="0.3">
      <c r="A4" s="46" t="s">
        <v>6992</v>
      </c>
      <c r="B4" s="46" t="s">
        <v>6981</v>
      </c>
      <c r="C4" s="46" t="s">
        <v>6993</v>
      </c>
      <c r="D4" s="46" t="s">
        <v>13</v>
      </c>
      <c r="E4" s="46" t="s">
        <v>26</v>
      </c>
      <c r="F4" s="46" t="s">
        <v>6994</v>
      </c>
      <c r="G4" s="46" t="s">
        <v>6995</v>
      </c>
      <c r="H4" s="46" t="s">
        <v>6996</v>
      </c>
      <c r="I4" s="46" t="s">
        <v>14</v>
      </c>
      <c r="J4" s="46" t="s">
        <v>1852</v>
      </c>
      <c r="K4" s="153"/>
    </row>
    <row r="5" spans="1:11" x14ac:dyDescent="0.3">
      <c r="A5" s="46" t="s">
        <v>6997</v>
      </c>
      <c r="B5" s="46" t="s">
        <v>6981</v>
      </c>
      <c r="C5" s="46" t="s">
        <v>6998</v>
      </c>
      <c r="D5" s="46" t="s">
        <v>13</v>
      </c>
      <c r="E5" s="46" t="s">
        <v>26</v>
      </c>
      <c r="F5" s="46" t="s">
        <v>6999</v>
      </c>
      <c r="G5" s="46" t="s">
        <v>7000</v>
      </c>
      <c r="H5" s="46" t="s">
        <v>6996</v>
      </c>
      <c r="I5" s="46" t="s">
        <v>14</v>
      </c>
      <c r="J5" s="46" t="s">
        <v>1852</v>
      </c>
      <c r="K5" s="153"/>
    </row>
    <row r="6" spans="1:11" x14ac:dyDescent="0.3">
      <c r="A6" s="46" t="s">
        <v>7001</v>
      </c>
      <c r="B6" s="46" t="s">
        <v>6981</v>
      </c>
      <c r="C6" s="46" t="s">
        <v>7002</v>
      </c>
      <c r="D6" s="46" t="s">
        <v>13</v>
      </c>
      <c r="E6" s="46" t="s">
        <v>1823</v>
      </c>
      <c r="F6" s="46" t="s">
        <v>7003</v>
      </c>
      <c r="G6" s="46" t="s">
        <v>7004</v>
      </c>
      <c r="H6" s="46" t="s">
        <v>6996</v>
      </c>
      <c r="I6" s="46" t="s">
        <v>14</v>
      </c>
      <c r="J6" s="46" t="s">
        <v>1852</v>
      </c>
      <c r="K6" s="153"/>
    </row>
    <row r="7" spans="1:11" x14ac:dyDescent="0.3">
      <c r="A7" s="46" t="s">
        <v>7005</v>
      </c>
      <c r="B7" s="46" t="s">
        <v>6981</v>
      </c>
      <c r="C7" s="46" t="s">
        <v>7006</v>
      </c>
      <c r="D7" s="46" t="s">
        <v>13</v>
      </c>
      <c r="E7" s="46" t="s">
        <v>26</v>
      </c>
      <c r="F7" s="46" t="s">
        <v>7007</v>
      </c>
      <c r="G7" s="46" t="s">
        <v>7008</v>
      </c>
      <c r="H7" s="46" t="s">
        <v>6996</v>
      </c>
      <c r="I7" s="46" t="s">
        <v>14</v>
      </c>
      <c r="J7" s="46" t="s">
        <v>1852</v>
      </c>
      <c r="K7" s="153"/>
    </row>
    <row r="8" spans="1:11" x14ac:dyDescent="0.3">
      <c r="A8" s="46" t="s">
        <v>7009</v>
      </c>
      <c r="B8" s="46" t="s">
        <v>6981</v>
      </c>
      <c r="C8" s="46" t="s">
        <v>7010</v>
      </c>
      <c r="D8" s="46" t="s">
        <v>13</v>
      </c>
      <c r="E8" s="46" t="s">
        <v>1802</v>
      </c>
      <c r="F8" s="46" t="s">
        <v>7011</v>
      </c>
      <c r="G8" s="46" t="s">
        <v>7012</v>
      </c>
      <c r="H8" s="46" t="s">
        <v>6996</v>
      </c>
      <c r="I8" s="46" t="s">
        <v>14</v>
      </c>
      <c r="J8" s="46" t="s">
        <v>1852</v>
      </c>
      <c r="K8" s="153"/>
    </row>
    <row r="9" spans="1:11" x14ac:dyDescent="0.3">
      <c r="A9" s="46" t="s">
        <v>7013</v>
      </c>
      <c r="B9" s="46" t="s">
        <v>6981</v>
      </c>
      <c r="C9" s="46" t="s">
        <v>7014</v>
      </c>
      <c r="D9" s="46" t="s">
        <v>10</v>
      </c>
      <c r="E9" s="46" t="s">
        <v>14</v>
      </c>
      <c r="F9" s="46" t="s">
        <v>7015</v>
      </c>
      <c r="G9" s="46" t="s">
        <v>7016</v>
      </c>
      <c r="H9" s="46" t="s">
        <v>7017</v>
      </c>
      <c r="I9" s="46" t="s">
        <v>7018</v>
      </c>
      <c r="J9" s="46" t="s">
        <v>1852</v>
      </c>
      <c r="K9" s="153"/>
    </row>
    <row r="10" spans="1:11" x14ac:dyDescent="0.3">
      <c r="A10" s="46" t="s">
        <v>7019</v>
      </c>
      <c r="B10" s="46" t="s">
        <v>6981</v>
      </c>
      <c r="C10" s="46" t="s">
        <v>7020</v>
      </c>
      <c r="D10" s="46" t="s">
        <v>10</v>
      </c>
      <c r="E10" s="46" t="s">
        <v>14</v>
      </c>
      <c r="F10" s="46" t="s">
        <v>7015</v>
      </c>
      <c r="G10" s="46" t="s">
        <v>7021</v>
      </c>
      <c r="H10" s="46" t="s">
        <v>7022</v>
      </c>
      <c r="I10" s="46" t="s">
        <v>7023</v>
      </c>
      <c r="J10" s="46" t="s">
        <v>1852</v>
      </c>
      <c r="K10" s="153"/>
    </row>
    <row r="11" spans="1:11" x14ac:dyDescent="0.3">
      <c r="A11" s="46" t="s">
        <v>7024</v>
      </c>
      <c r="B11" s="46" t="s">
        <v>6981</v>
      </c>
      <c r="C11" s="46" t="s">
        <v>7025</v>
      </c>
      <c r="D11" s="46" t="s">
        <v>13</v>
      </c>
      <c r="E11" s="46" t="s">
        <v>4804</v>
      </c>
      <c r="F11" s="46" t="s">
        <v>6988</v>
      </c>
      <c r="G11" s="46" t="s">
        <v>7026</v>
      </c>
      <c r="H11" s="46" t="s">
        <v>7027</v>
      </c>
      <c r="I11" s="46" t="s">
        <v>14</v>
      </c>
      <c r="J11" s="46" t="s">
        <v>1852</v>
      </c>
      <c r="K11" s="153"/>
    </row>
    <row r="12" spans="1:11" x14ac:dyDescent="0.3">
      <c r="A12" s="46" t="s">
        <v>7028</v>
      </c>
      <c r="B12" s="46" t="s">
        <v>6981</v>
      </c>
      <c r="C12" s="46" t="s">
        <v>7029</v>
      </c>
      <c r="D12" s="46" t="s">
        <v>13</v>
      </c>
      <c r="E12" s="46" t="s">
        <v>654</v>
      </c>
      <c r="F12" s="46" t="s">
        <v>7030</v>
      </c>
      <c r="G12" s="46" t="s">
        <v>7031</v>
      </c>
      <c r="H12" s="46" t="s">
        <v>7032</v>
      </c>
      <c r="I12" s="46" t="s">
        <v>14</v>
      </c>
      <c r="J12" s="46" t="s">
        <v>1852</v>
      </c>
      <c r="K12" s="153"/>
    </row>
    <row r="13" spans="1:11" x14ac:dyDescent="0.3">
      <c r="A13" s="46" t="s">
        <v>7033</v>
      </c>
      <c r="B13" s="46" t="s">
        <v>6981</v>
      </c>
      <c r="C13" s="46" t="s">
        <v>7034</v>
      </c>
      <c r="D13" s="46" t="s">
        <v>13</v>
      </c>
      <c r="E13" s="46" t="s">
        <v>576</v>
      </c>
      <c r="F13" s="46" t="s">
        <v>6988</v>
      </c>
      <c r="G13" s="46" t="s">
        <v>7035</v>
      </c>
      <c r="H13" s="46" t="s">
        <v>7036</v>
      </c>
      <c r="I13" s="46" t="s">
        <v>14</v>
      </c>
      <c r="J13" s="46" t="s">
        <v>1868</v>
      </c>
      <c r="K13" s="153"/>
    </row>
    <row r="14" spans="1:11" x14ac:dyDescent="0.3">
      <c r="A14" s="46" t="s">
        <v>7037</v>
      </c>
      <c r="B14" s="46" t="s">
        <v>6981</v>
      </c>
      <c r="C14" s="46" t="s">
        <v>7038</v>
      </c>
      <c r="D14" s="46" t="s">
        <v>10</v>
      </c>
      <c r="E14" s="46" t="s">
        <v>14</v>
      </c>
      <c r="F14" s="46" t="s">
        <v>7015</v>
      </c>
      <c r="G14" s="46" t="s">
        <v>7039</v>
      </c>
      <c r="H14" s="46" t="s">
        <v>13879</v>
      </c>
      <c r="I14" s="46" t="s">
        <v>12894</v>
      </c>
      <c r="J14" s="46" t="s">
        <v>1868</v>
      </c>
      <c r="K14" s="155"/>
    </row>
    <row r="15" spans="1:11" x14ac:dyDescent="0.3">
      <c r="A15" s="46" t="s">
        <v>7040</v>
      </c>
      <c r="B15" s="46" t="s">
        <v>6981</v>
      </c>
      <c r="C15" s="46" t="s">
        <v>7041</v>
      </c>
      <c r="D15" s="46" t="s">
        <v>10</v>
      </c>
      <c r="E15" s="46" t="s">
        <v>176</v>
      </c>
      <c r="F15" s="46" t="s">
        <v>7042</v>
      </c>
      <c r="G15" s="46" t="s">
        <v>7043</v>
      </c>
      <c r="H15" s="46" t="s">
        <v>7044</v>
      </c>
      <c r="I15" s="46" t="s">
        <v>7045</v>
      </c>
      <c r="J15" s="46" t="s">
        <v>1852</v>
      </c>
      <c r="K15" s="153"/>
    </row>
    <row r="16" spans="1:11" x14ac:dyDescent="0.3">
      <c r="A16" s="46" t="s">
        <v>7046</v>
      </c>
      <c r="B16" s="46" t="s">
        <v>6981</v>
      </c>
      <c r="C16" s="46" t="s">
        <v>7047</v>
      </c>
      <c r="D16" s="46" t="s">
        <v>13</v>
      </c>
      <c r="E16" s="46" t="s">
        <v>14</v>
      </c>
      <c r="F16" s="46" t="s">
        <v>7015</v>
      </c>
      <c r="G16" s="46" t="s">
        <v>7048</v>
      </c>
      <c r="H16" s="46" t="s">
        <v>7049</v>
      </c>
      <c r="I16" s="46" t="s">
        <v>14</v>
      </c>
      <c r="J16" s="46" t="s">
        <v>1868</v>
      </c>
      <c r="K16" s="153"/>
    </row>
    <row r="17" spans="1:11" x14ac:dyDescent="0.3">
      <c r="A17" s="46" t="s">
        <v>7050</v>
      </c>
      <c r="B17" s="46" t="s">
        <v>6981</v>
      </c>
      <c r="C17" s="46" t="s">
        <v>7051</v>
      </c>
      <c r="D17" s="46" t="s">
        <v>13</v>
      </c>
      <c r="E17" s="46" t="s">
        <v>4804</v>
      </c>
      <c r="F17" s="46" t="s">
        <v>7052</v>
      </c>
      <c r="G17" s="46" t="s">
        <v>7053</v>
      </c>
      <c r="H17" s="46" t="s">
        <v>7054</v>
      </c>
      <c r="I17" s="46" t="s">
        <v>14</v>
      </c>
      <c r="J17" s="46" t="s">
        <v>1868</v>
      </c>
      <c r="K17" s="153"/>
    </row>
    <row r="18" spans="1:11" x14ac:dyDescent="0.3">
      <c r="A18" s="89" t="s">
        <v>7055</v>
      </c>
      <c r="B18" s="89" t="s">
        <v>7056</v>
      </c>
      <c r="C18" s="89" t="s">
        <v>7057</v>
      </c>
      <c r="D18" s="89" t="s">
        <v>13</v>
      </c>
      <c r="E18" s="89" t="s">
        <v>4804</v>
      </c>
      <c r="F18" s="89" t="s">
        <v>7058</v>
      </c>
      <c r="G18" s="89" t="s">
        <v>7059</v>
      </c>
      <c r="H18" s="89" t="s">
        <v>7060</v>
      </c>
      <c r="I18" s="89" t="s">
        <v>14</v>
      </c>
      <c r="J18" s="89" t="s">
        <v>1852</v>
      </c>
      <c r="K18" s="153"/>
    </row>
    <row r="19" spans="1:11" x14ac:dyDescent="0.3">
      <c r="A19" s="89" t="s">
        <v>7061</v>
      </c>
      <c r="B19" s="89" t="s">
        <v>7056</v>
      </c>
      <c r="C19" s="89" t="s">
        <v>7062</v>
      </c>
      <c r="D19" s="89" t="s">
        <v>13</v>
      </c>
      <c r="E19" s="89" t="s">
        <v>4804</v>
      </c>
      <c r="F19" s="89" t="s">
        <v>7058</v>
      </c>
      <c r="G19" s="89" t="s">
        <v>7063</v>
      </c>
      <c r="H19" s="89" t="s">
        <v>7064</v>
      </c>
      <c r="I19" s="89" t="s">
        <v>14</v>
      </c>
      <c r="J19" s="89" t="s">
        <v>1852</v>
      </c>
      <c r="K19" s="153"/>
    </row>
    <row r="20" spans="1:11" x14ac:dyDescent="0.3">
      <c r="A20" s="89" t="s">
        <v>7065</v>
      </c>
      <c r="B20" s="89" t="s">
        <v>7056</v>
      </c>
      <c r="C20" s="89" t="s">
        <v>7066</v>
      </c>
      <c r="D20" s="89" t="s">
        <v>13</v>
      </c>
      <c r="E20" s="89" t="s">
        <v>4804</v>
      </c>
      <c r="F20" s="89" t="s">
        <v>7058</v>
      </c>
      <c r="G20" s="89" t="s">
        <v>7067</v>
      </c>
      <c r="H20" s="89" t="s">
        <v>7068</v>
      </c>
      <c r="I20" s="89" t="s">
        <v>14</v>
      </c>
      <c r="J20" s="89" t="s">
        <v>1852</v>
      </c>
      <c r="K20" s="153"/>
    </row>
    <row r="21" spans="1:11" x14ac:dyDescent="0.3">
      <c r="A21" s="89" t="s">
        <v>7069</v>
      </c>
      <c r="B21" s="89" t="s">
        <v>7056</v>
      </c>
      <c r="C21" s="89" t="s">
        <v>7070</v>
      </c>
      <c r="D21" s="89" t="s">
        <v>13</v>
      </c>
      <c r="E21" s="89" t="s">
        <v>4804</v>
      </c>
      <c r="F21" s="89" t="s">
        <v>7058</v>
      </c>
      <c r="G21" s="89" t="s">
        <v>7071</v>
      </c>
      <c r="H21" s="89" t="s">
        <v>7072</v>
      </c>
      <c r="I21" s="89" t="s">
        <v>14</v>
      </c>
      <c r="J21" s="89" t="s">
        <v>1868</v>
      </c>
      <c r="K21" s="153"/>
    </row>
    <row r="22" spans="1:11" x14ac:dyDescent="0.3">
      <c r="A22" s="89" t="s">
        <v>7073</v>
      </c>
      <c r="B22" s="89" t="s">
        <v>7056</v>
      </c>
      <c r="C22" s="89" t="s">
        <v>7074</v>
      </c>
      <c r="D22" s="89" t="s">
        <v>13</v>
      </c>
      <c r="E22" s="89" t="s">
        <v>808</v>
      </c>
      <c r="F22" s="89" t="s">
        <v>4805</v>
      </c>
      <c r="G22" s="89" t="s">
        <v>7075</v>
      </c>
      <c r="H22" s="89" t="s">
        <v>7076</v>
      </c>
      <c r="I22" s="89" t="s">
        <v>14</v>
      </c>
      <c r="J22" s="89" t="s">
        <v>1852</v>
      </c>
      <c r="K22" s="153"/>
    </row>
    <row r="23" spans="1:11" x14ac:dyDescent="0.3">
      <c r="A23" s="89" t="s">
        <v>7077</v>
      </c>
      <c r="B23" s="89" t="s">
        <v>7056</v>
      </c>
      <c r="C23" s="89" t="s">
        <v>7078</v>
      </c>
      <c r="D23" s="89" t="s">
        <v>13</v>
      </c>
      <c r="E23" s="89" t="s">
        <v>808</v>
      </c>
      <c r="F23" s="89" t="s">
        <v>4810</v>
      </c>
      <c r="G23" s="89" t="s">
        <v>7075</v>
      </c>
      <c r="H23" s="89" t="s">
        <v>7076</v>
      </c>
      <c r="I23" s="89" t="s">
        <v>14</v>
      </c>
      <c r="J23" s="89" t="s">
        <v>1852</v>
      </c>
      <c r="K23" s="153"/>
    </row>
    <row r="24" spans="1:11" x14ac:dyDescent="0.3">
      <c r="A24" s="89" t="s">
        <v>7079</v>
      </c>
      <c r="B24" s="89" t="s">
        <v>7056</v>
      </c>
      <c r="C24" s="89" t="s">
        <v>7080</v>
      </c>
      <c r="D24" s="89" t="s">
        <v>13</v>
      </c>
      <c r="E24" s="89" t="s">
        <v>808</v>
      </c>
      <c r="F24" s="89" t="s">
        <v>4813</v>
      </c>
      <c r="G24" s="89" t="s">
        <v>7075</v>
      </c>
      <c r="H24" s="89" t="s">
        <v>7076</v>
      </c>
      <c r="I24" s="89" t="s">
        <v>14</v>
      </c>
      <c r="J24" s="89" t="s">
        <v>1852</v>
      </c>
      <c r="K24" s="153"/>
    </row>
    <row r="25" spans="1:11" x14ac:dyDescent="0.3">
      <c r="A25" s="89" t="s">
        <v>7081</v>
      </c>
      <c r="B25" s="89" t="s">
        <v>7056</v>
      </c>
      <c r="C25" s="89" t="s">
        <v>7082</v>
      </c>
      <c r="D25" s="89" t="s">
        <v>13</v>
      </c>
      <c r="E25" s="89" t="s">
        <v>7083</v>
      </c>
      <c r="F25" s="89" t="s">
        <v>7084</v>
      </c>
      <c r="G25" s="89" t="s">
        <v>7075</v>
      </c>
      <c r="H25" s="89" t="s">
        <v>7085</v>
      </c>
      <c r="I25" s="89" t="s">
        <v>14</v>
      </c>
      <c r="J25" s="89" t="s">
        <v>1852</v>
      </c>
      <c r="K25" s="153"/>
    </row>
    <row r="26" spans="1:11" x14ac:dyDescent="0.3">
      <c r="A26" s="89" t="s">
        <v>7086</v>
      </c>
      <c r="B26" s="89" t="s">
        <v>7056</v>
      </c>
      <c r="C26" s="89" t="s">
        <v>7087</v>
      </c>
      <c r="D26" s="89" t="s">
        <v>13</v>
      </c>
      <c r="E26" s="89" t="s">
        <v>808</v>
      </c>
      <c r="F26" s="89" t="s">
        <v>7088</v>
      </c>
      <c r="G26" s="89" t="s">
        <v>7075</v>
      </c>
      <c r="H26" s="89" t="s">
        <v>7089</v>
      </c>
      <c r="I26" s="89" t="s">
        <v>14</v>
      </c>
      <c r="J26" s="89" t="s">
        <v>1852</v>
      </c>
      <c r="K26" s="153"/>
    </row>
    <row r="27" spans="1:11" x14ac:dyDescent="0.3">
      <c r="A27" s="89" t="s">
        <v>7090</v>
      </c>
      <c r="B27" s="89" t="s">
        <v>7056</v>
      </c>
      <c r="C27" s="89" t="s">
        <v>7091</v>
      </c>
      <c r="D27" s="89" t="s">
        <v>13</v>
      </c>
      <c r="E27" s="89" t="s">
        <v>1802</v>
      </c>
      <c r="F27" s="89" t="s">
        <v>7092</v>
      </c>
      <c r="G27" s="89" t="s">
        <v>7093</v>
      </c>
      <c r="H27" s="89" t="s">
        <v>7094</v>
      </c>
      <c r="I27" s="89" t="s">
        <v>14</v>
      </c>
      <c r="J27" s="89" t="s">
        <v>1852</v>
      </c>
      <c r="K27" s="153"/>
    </row>
    <row r="28" spans="1:11" x14ac:dyDescent="0.3">
      <c r="A28" s="89" t="s">
        <v>7095</v>
      </c>
      <c r="B28" s="89" t="s">
        <v>7056</v>
      </c>
      <c r="C28" s="89" t="s">
        <v>7096</v>
      </c>
      <c r="D28" s="89" t="s">
        <v>13</v>
      </c>
      <c r="E28" s="89" t="s">
        <v>26</v>
      </c>
      <c r="F28" s="89" t="s">
        <v>7097</v>
      </c>
      <c r="G28" s="89" t="s">
        <v>7098</v>
      </c>
      <c r="H28" s="89" t="s">
        <v>7099</v>
      </c>
      <c r="I28" s="89" t="s">
        <v>14</v>
      </c>
      <c r="J28" s="89" t="s">
        <v>1852</v>
      </c>
      <c r="K28" s="153"/>
    </row>
    <row r="29" spans="1:11" x14ac:dyDescent="0.3">
      <c r="A29" s="89" t="s">
        <v>7100</v>
      </c>
      <c r="B29" s="89" t="s">
        <v>7056</v>
      </c>
      <c r="C29" s="89" t="s">
        <v>7101</v>
      </c>
      <c r="D29" s="89" t="s">
        <v>13</v>
      </c>
      <c r="E29" s="89" t="s">
        <v>4804</v>
      </c>
      <c r="F29" s="89" t="s">
        <v>7102</v>
      </c>
      <c r="G29" s="89" t="s">
        <v>7103</v>
      </c>
      <c r="H29" s="89" t="s">
        <v>7104</v>
      </c>
      <c r="I29" s="89" t="s">
        <v>7105</v>
      </c>
      <c r="J29" s="89" t="s">
        <v>1868</v>
      </c>
      <c r="K29" s="153"/>
    </row>
    <row r="30" spans="1:11" x14ac:dyDescent="0.3">
      <c r="A30" s="47" t="s">
        <v>7106</v>
      </c>
      <c r="B30" s="47" t="s">
        <v>7107</v>
      </c>
      <c r="C30" s="47" t="s">
        <v>7108</v>
      </c>
      <c r="D30" s="47" t="s">
        <v>10</v>
      </c>
      <c r="E30" s="47" t="s">
        <v>4804</v>
      </c>
      <c r="F30" s="47" t="s">
        <v>7109</v>
      </c>
      <c r="G30" s="47" t="s">
        <v>7110</v>
      </c>
      <c r="H30" s="47" t="s">
        <v>7111</v>
      </c>
      <c r="I30" s="47" t="s">
        <v>7112</v>
      </c>
      <c r="J30" s="47" t="s">
        <v>1852</v>
      </c>
      <c r="K30" s="153"/>
    </row>
    <row r="31" spans="1:11" x14ac:dyDescent="0.3">
      <c r="A31" s="47" t="s">
        <v>7113</v>
      </c>
      <c r="B31" s="47" t="s">
        <v>7107</v>
      </c>
      <c r="C31" s="47" t="s">
        <v>7114</v>
      </c>
      <c r="D31" s="47" t="s">
        <v>10</v>
      </c>
      <c r="E31" s="47" t="s">
        <v>4804</v>
      </c>
      <c r="F31" s="47" t="s">
        <v>7115</v>
      </c>
      <c r="G31" s="47" t="s">
        <v>7110</v>
      </c>
      <c r="H31" s="47" t="s">
        <v>7116</v>
      </c>
      <c r="I31" s="47" t="s">
        <v>7112</v>
      </c>
      <c r="J31" s="47" t="s">
        <v>1852</v>
      </c>
      <c r="K31" s="153"/>
    </row>
    <row r="32" spans="1:11" x14ac:dyDescent="0.3">
      <c r="A32" s="47" t="s">
        <v>7117</v>
      </c>
      <c r="B32" s="47" t="s">
        <v>7107</v>
      </c>
      <c r="C32" s="47" t="s">
        <v>7118</v>
      </c>
      <c r="D32" s="47" t="s">
        <v>10</v>
      </c>
      <c r="E32" s="47" t="s">
        <v>4804</v>
      </c>
      <c r="F32" s="47" t="s">
        <v>7119</v>
      </c>
      <c r="G32" s="47" t="s">
        <v>4857</v>
      </c>
      <c r="H32" s="47" t="s">
        <v>7120</v>
      </c>
      <c r="I32" s="47" t="s">
        <v>7112</v>
      </c>
      <c r="J32" s="47" t="s">
        <v>1852</v>
      </c>
      <c r="K32" s="153"/>
    </row>
    <row r="33" spans="1:11" x14ac:dyDescent="0.3">
      <c r="A33" s="47" t="s">
        <v>7121</v>
      </c>
      <c r="B33" s="47" t="s">
        <v>7107</v>
      </c>
      <c r="C33" s="47" t="s">
        <v>7122</v>
      </c>
      <c r="D33" s="47" t="s">
        <v>10</v>
      </c>
      <c r="E33" s="47" t="s">
        <v>4804</v>
      </c>
      <c r="F33" s="47" t="s">
        <v>7123</v>
      </c>
      <c r="G33" s="47" t="s">
        <v>4857</v>
      </c>
      <c r="H33" s="47" t="s">
        <v>7124</v>
      </c>
      <c r="I33" s="47" t="s">
        <v>7112</v>
      </c>
      <c r="J33" s="47" t="s">
        <v>1852</v>
      </c>
      <c r="K33" s="153"/>
    </row>
    <row r="34" spans="1:11" x14ac:dyDescent="0.3">
      <c r="A34" s="47" t="s">
        <v>7125</v>
      </c>
      <c r="B34" s="47" t="s">
        <v>7107</v>
      </c>
      <c r="C34" s="47" t="s">
        <v>7126</v>
      </c>
      <c r="D34" s="47" t="s">
        <v>10</v>
      </c>
      <c r="E34" s="47" t="s">
        <v>654</v>
      </c>
      <c r="F34" s="47" t="s">
        <v>7127</v>
      </c>
      <c r="G34" s="47" t="s">
        <v>7128</v>
      </c>
      <c r="H34" s="47" t="s">
        <v>7129</v>
      </c>
      <c r="I34" s="47" t="s">
        <v>7130</v>
      </c>
      <c r="J34" s="47" t="s">
        <v>1852</v>
      </c>
      <c r="K34" s="153"/>
    </row>
    <row r="35" spans="1:11" x14ac:dyDescent="0.3">
      <c r="A35" s="47" t="s">
        <v>7131</v>
      </c>
      <c r="B35" s="47" t="s">
        <v>7107</v>
      </c>
      <c r="C35" s="47" t="s">
        <v>7132</v>
      </c>
      <c r="D35" s="47" t="s">
        <v>10</v>
      </c>
      <c r="E35" s="47" t="s">
        <v>654</v>
      </c>
      <c r="F35" s="47" t="s">
        <v>7127</v>
      </c>
      <c r="G35" s="47" t="s">
        <v>7133</v>
      </c>
      <c r="H35" s="47" t="s">
        <v>7134</v>
      </c>
      <c r="I35" s="47" t="s">
        <v>7135</v>
      </c>
      <c r="J35" s="47" t="s">
        <v>1852</v>
      </c>
      <c r="K35" s="153"/>
    </row>
    <row r="36" spans="1:11" x14ac:dyDescent="0.3">
      <c r="A36" s="47" t="s">
        <v>7136</v>
      </c>
      <c r="B36" s="47" t="s">
        <v>7107</v>
      </c>
      <c r="C36" s="47" t="s">
        <v>7137</v>
      </c>
      <c r="D36" s="47" t="s">
        <v>10</v>
      </c>
      <c r="E36" s="47" t="s">
        <v>808</v>
      </c>
      <c r="F36" s="47" t="s">
        <v>7138</v>
      </c>
      <c r="G36" s="47" t="s">
        <v>7139</v>
      </c>
      <c r="H36" s="47" t="s">
        <v>7140</v>
      </c>
      <c r="I36" s="47" t="s">
        <v>7141</v>
      </c>
      <c r="J36" s="47" t="s">
        <v>1852</v>
      </c>
      <c r="K36" s="153"/>
    </row>
    <row r="37" spans="1:11" x14ac:dyDescent="0.3">
      <c r="A37" s="47" t="s">
        <v>7142</v>
      </c>
      <c r="B37" s="47" t="s">
        <v>7107</v>
      </c>
      <c r="C37" s="47" t="s">
        <v>7143</v>
      </c>
      <c r="D37" s="47" t="s">
        <v>10</v>
      </c>
      <c r="E37" s="47" t="s">
        <v>1783</v>
      </c>
      <c r="F37" s="47" t="s">
        <v>7144</v>
      </c>
      <c r="G37" s="47" t="s">
        <v>7145</v>
      </c>
      <c r="H37" s="47" t="s">
        <v>7146</v>
      </c>
      <c r="I37" s="47" t="s">
        <v>7147</v>
      </c>
      <c r="J37" s="47" t="s">
        <v>1852</v>
      </c>
      <c r="K37" s="153"/>
    </row>
    <row r="38" spans="1:11" x14ac:dyDescent="0.3">
      <c r="A38" s="47" t="s">
        <v>7148</v>
      </c>
      <c r="B38" s="47" t="s">
        <v>7107</v>
      </c>
      <c r="C38" s="47" t="s">
        <v>7149</v>
      </c>
      <c r="D38" s="47" t="s">
        <v>10</v>
      </c>
      <c r="E38" s="47" t="s">
        <v>4804</v>
      </c>
      <c r="F38" s="47" t="s">
        <v>7150</v>
      </c>
      <c r="G38" s="47" t="s">
        <v>7151</v>
      </c>
      <c r="H38" s="47" t="s">
        <v>7152</v>
      </c>
      <c r="I38" s="47" t="s">
        <v>7153</v>
      </c>
      <c r="J38" s="47" t="s">
        <v>1868</v>
      </c>
      <c r="K38" s="153"/>
    </row>
    <row r="39" spans="1:11" x14ac:dyDescent="0.3">
      <c r="A39" s="47" t="s">
        <v>7154</v>
      </c>
      <c r="B39" s="47" t="s">
        <v>7107</v>
      </c>
      <c r="C39" s="47" t="s">
        <v>7155</v>
      </c>
      <c r="D39" s="47" t="s">
        <v>10</v>
      </c>
      <c r="E39" s="47" t="s">
        <v>13026</v>
      </c>
      <c r="F39" s="47" t="s">
        <v>7156</v>
      </c>
      <c r="G39" s="47" t="s">
        <v>7157</v>
      </c>
      <c r="H39" s="47" t="s">
        <v>7158</v>
      </c>
      <c r="I39" s="47" t="s">
        <v>7159</v>
      </c>
      <c r="J39" s="47" t="s">
        <v>1852</v>
      </c>
      <c r="K39" s="153"/>
    </row>
    <row r="40" spans="1:11" ht="43.2" x14ac:dyDescent="0.3">
      <c r="A40" s="47" t="s">
        <v>7160</v>
      </c>
      <c r="B40" s="47" t="s">
        <v>7107</v>
      </c>
      <c r="C40" s="47" t="s">
        <v>7161</v>
      </c>
      <c r="D40" s="47" t="s">
        <v>10</v>
      </c>
      <c r="E40" s="47" t="s">
        <v>1802</v>
      </c>
      <c r="F40" s="47" t="s">
        <v>7162</v>
      </c>
      <c r="G40" s="47" t="s">
        <v>7163</v>
      </c>
      <c r="H40" s="47" t="s">
        <v>13779</v>
      </c>
      <c r="I40" s="47" t="s">
        <v>7164</v>
      </c>
      <c r="J40" s="47" t="s">
        <v>1852</v>
      </c>
      <c r="K40" s="154" t="s">
        <v>12849</v>
      </c>
    </row>
    <row r="41" spans="1:11" x14ac:dyDescent="0.3">
      <c r="A41" s="47" t="s">
        <v>7165</v>
      </c>
      <c r="B41" s="47" t="s">
        <v>7107</v>
      </c>
      <c r="C41" s="47" t="s">
        <v>7166</v>
      </c>
      <c r="D41" s="47" t="s">
        <v>10</v>
      </c>
      <c r="E41" s="47" t="s">
        <v>176</v>
      </c>
      <c r="F41" s="47" t="s">
        <v>7167</v>
      </c>
      <c r="G41" s="47" t="s">
        <v>7168</v>
      </c>
      <c r="H41" s="47" t="s">
        <v>7169</v>
      </c>
      <c r="I41" s="47" t="s">
        <v>7170</v>
      </c>
      <c r="J41" s="47" t="s">
        <v>1852</v>
      </c>
      <c r="K41" s="153"/>
    </row>
    <row r="42" spans="1:11" x14ac:dyDescent="0.3">
      <c r="A42" s="40" t="s">
        <v>7171</v>
      </c>
      <c r="B42" s="40" t="s">
        <v>7172</v>
      </c>
      <c r="C42" s="40" t="s">
        <v>7173</v>
      </c>
      <c r="D42" s="40" t="s">
        <v>13</v>
      </c>
      <c r="E42" s="40" t="s">
        <v>4462</v>
      </c>
      <c r="F42" s="40" t="s">
        <v>7174</v>
      </c>
      <c r="G42" s="40" t="s">
        <v>7175</v>
      </c>
      <c r="H42" s="40" t="s">
        <v>7176</v>
      </c>
      <c r="I42" s="40" t="s">
        <v>14</v>
      </c>
      <c r="J42" s="40" t="s">
        <v>1852</v>
      </c>
      <c r="K42" s="153"/>
    </row>
    <row r="43" spans="1:11" x14ac:dyDescent="0.3">
      <c r="A43" s="40" t="s">
        <v>7177</v>
      </c>
      <c r="B43" s="40" t="s">
        <v>7172</v>
      </c>
      <c r="C43" s="40" t="s">
        <v>7178</v>
      </c>
      <c r="D43" s="40" t="s">
        <v>10</v>
      </c>
      <c r="E43" s="40" t="s">
        <v>26</v>
      </c>
      <c r="F43" s="40" t="s">
        <v>7179</v>
      </c>
      <c r="G43" s="40" t="s">
        <v>7180</v>
      </c>
      <c r="H43" s="40" t="s">
        <v>13780</v>
      </c>
      <c r="I43" s="40" t="s">
        <v>7181</v>
      </c>
      <c r="J43" s="40" t="s">
        <v>1852</v>
      </c>
      <c r="K43" s="153"/>
    </row>
    <row r="44" spans="1:11" x14ac:dyDescent="0.3">
      <c r="A44" s="40" t="s">
        <v>7182</v>
      </c>
      <c r="B44" s="40" t="s">
        <v>7172</v>
      </c>
      <c r="C44" s="40" t="s">
        <v>7183</v>
      </c>
      <c r="D44" s="40" t="s">
        <v>10</v>
      </c>
      <c r="E44" s="40" t="s">
        <v>26</v>
      </c>
      <c r="F44" s="40" t="s">
        <v>7184</v>
      </c>
      <c r="G44" s="40" t="s">
        <v>7180</v>
      </c>
      <c r="H44" s="40" t="s">
        <v>13769</v>
      </c>
      <c r="I44" s="40" t="s">
        <v>7185</v>
      </c>
      <c r="J44" s="40" t="s">
        <v>1852</v>
      </c>
      <c r="K44" s="153"/>
    </row>
    <row r="45" spans="1:11" x14ac:dyDescent="0.3">
      <c r="A45" s="40" t="s">
        <v>7186</v>
      </c>
      <c r="B45" s="40" t="s">
        <v>7172</v>
      </c>
      <c r="C45" s="40" t="s">
        <v>7187</v>
      </c>
      <c r="D45" s="40" t="s">
        <v>10</v>
      </c>
      <c r="E45" s="40" t="s">
        <v>26</v>
      </c>
      <c r="F45" s="40" t="s">
        <v>7188</v>
      </c>
      <c r="G45" s="40" t="s">
        <v>7180</v>
      </c>
      <c r="H45" s="40" t="s">
        <v>13781</v>
      </c>
      <c r="I45" s="40" t="s">
        <v>7189</v>
      </c>
      <c r="J45" s="40" t="s">
        <v>1852</v>
      </c>
      <c r="K45" s="153"/>
    </row>
    <row r="46" spans="1:11" x14ac:dyDescent="0.3">
      <c r="A46" s="40" t="s">
        <v>7190</v>
      </c>
      <c r="B46" s="40" t="s">
        <v>7172</v>
      </c>
      <c r="C46" s="40" t="s">
        <v>7191</v>
      </c>
      <c r="D46" s="40" t="s">
        <v>10</v>
      </c>
      <c r="E46" s="40" t="s">
        <v>1823</v>
      </c>
      <c r="F46" s="40" t="s">
        <v>7192</v>
      </c>
      <c r="G46" s="40" t="s">
        <v>7180</v>
      </c>
      <c r="H46" s="40" t="s">
        <v>4498</v>
      </c>
      <c r="I46" s="40" t="s">
        <v>4499</v>
      </c>
      <c r="J46" s="40" t="s">
        <v>1852</v>
      </c>
      <c r="K46" s="153"/>
    </row>
    <row r="47" spans="1:11" x14ac:dyDescent="0.3">
      <c r="A47" s="40" t="s">
        <v>7193</v>
      </c>
      <c r="B47" s="40" t="s">
        <v>7172</v>
      </c>
      <c r="C47" s="40" t="s">
        <v>7194</v>
      </c>
      <c r="D47" s="40" t="s">
        <v>13</v>
      </c>
      <c r="E47" s="40" t="s">
        <v>1823</v>
      </c>
      <c r="F47" s="40" t="s">
        <v>7195</v>
      </c>
      <c r="G47" s="40" t="s">
        <v>7196</v>
      </c>
      <c r="H47" s="40" t="s">
        <v>7197</v>
      </c>
      <c r="I47" s="40" t="s">
        <v>14</v>
      </c>
      <c r="J47" s="40" t="s">
        <v>1852</v>
      </c>
      <c r="K47" s="153"/>
    </row>
    <row r="48" spans="1:11" x14ac:dyDescent="0.3">
      <c r="A48" s="40" t="s">
        <v>7198</v>
      </c>
      <c r="B48" s="40" t="s">
        <v>7172</v>
      </c>
      <c r="C48" s="40" t="s">
        <v>7199</v>
      </c>
      <c r="D48" s="40" t="s">
        <v>10</v>
      </c>
      <c r="E48" s="40" t="s">
        <v>1802</v>
      </c>
      <c r="F48" s="40" t="s">
        <v>7200</v>
      </c>
      <c r="G48" s="40" t="s">
        <v>7201</v>
      </c>
      <c r="H48" s="40" t="s">
        <v>13771</v>
      </c>
      <c r="I48" s="40" t="s">
        <v>7202</v>
      </c>
      <c r="J48" s="40" t="s">
        <v>1852</v>
      </c>
      <c r="K48" s="153"/>
    </row>
    <row r="49" spans="1:11" x14ac:dyDescent="0.3">
      <c r="A49" s="40" t="s">
        <v>7203</v>
      </c>
      <c r="B49" s="40" t="s">
        <v>7172</v>
      </c>
      <c r="C49" s="40" t="s">
        <v>7204</v>
      </c>
      <c r="D49" s="40" t="s">
        <v>13</v>
      </c>
      <c r="E49" s="40" t="s">
        <v>1802</v>
      </c>
      <c r="F49" s="40" t="s">
        <v>7205</v>
      </c>
      <c r="G49" s="40" t="s">
        <v>7206</v>
      </c>
      <c r="H49" s="40" t="s">
        <v>7207</v>
      </c>
      <c r="I49" s="40" t="s">
        <v>14</v>
      </c>
      <c r="J49" s="40" t="s">
        <v>1852</v>
      </c>
      <c r="K49" s="153"/>
    </row>
    <row r="50" spans="1:11" x14ac:dyDescent="0.3">
      <c r="A50" s="40" t="s">
        <v>7208</v>
      </c>
      <c r="B50" s="40" t="s">
        <v>7172</v>
      </c>
      <c r="C50" s="40" t="s">
        <v>7209</v>
      </c>
      <c r="D50" s="40" t="s">
        <v>10</v>
      </c>
      <c r="E50" s="40" t="s">
        <v>1798</v>
      </c>
      <c r="F50" s="40" t="s">
        <v>7210</v>
      </c>
      <c r="G50" s="40" t="s">
        <v>7211</v>
      </c>
      <c r="H50" s="40" t="s">
        <v>13769</v>
      </c>
      <c r="I50" s="40" t="s">
        <v>7212</v>
      </c>
      <c r="J50" s="40" t="s">
        <v>1852</v>
      </c>
      <c r="K50" s="153"/>
    </row>
    <row r="51" spans="1:11" x14ac:dyDescent="0.3">
      <c r="A51" s="40" t="s">
        <v>7213</v>
      </c>
      <c r="B51" s="40" t="s">
        <v>7172</v>
      </c>
      <c r="C51" s="40" t="s">
        <v>7214</v>
      </c>
      <c r="D51" s="40" t="s">
        <v>10</v>
      </c>
      <c r="E51" s="40" t="s">
        <v>4804</v>
      </c>
      <c r="F51" s="40" t="s">
        <v>7215</v>
      </c>
      <c r="G51" s="40" t="s">
        <v>7180</v>
      </c>
      <c r="H51" s="40" t="s">
        <v>7216</v>
      </c>
      <c r="I51" s="40" t="s">
        <v>7217</v>
      </c>
      <c r="J51" s="40" t="s">
        <v>1852</v>
      </c>
      <c r="K51" s="153"/>
    </row>
    <row r="52" spans="1:11" x14ac:dyDescent="0.3">
      <c r="A52" s="40" t="s">
        <v>7218</v>
      </c>
      <c r="B52" s="40" t="s">
        <v>7172</v>
      </c>
      <c r="C52" s="40" t="s">
        <v>7219</v>
      </c>
      <c r="D52" s="40" t="s">
        <v>13</v>
      </c>
      <c r="E52" s="40" t="s">
        <v>4804</v>
      </c>
      <c r="F52" s="40" t="s">
        <v>7220</v>
      </c>
      <c r="G52" s="40" t="s">
        <v>7175</v>
      </c>
      <c r="H52" s="40" t="s">
        <v>7221</v>
      </c>
      <c r="I52" s="40" t="s">
        <v>7222</v>
      </c>
      <c r="J52" s="40" t="s">
        <v>1868</v>
      </c>
      <c r="K52" s="153"/>
    </row>
    <row r="53" spans="1:11" x14ac:dyDescent="0.3">
      <c r="A53" s="40" t="s">
        <v>7223</v>
      </c>
      <c r="B53" s="40" t="s">
        <v>7172</v>
      </c>
      <c r="C53" s="40" t="s">
        <v>7224</v>
      </c>
      <c r="D53" s="40" t="s">
        <v>10</v>
      </c>
      <c r="E53" s="40" t="s">
        <v>4804</v>
      </c>
      <c r="F53" s="40" t="s">
        <v>7225</v>
      </c>
      <c r="G53" s="40" t="s">
        <v>7180</v>
      </c>
      <c r="H53" s="40" t="s">
        <v>7226</v>
      </c>
      <c r="I53" s="40" t="s">
        <v>7227</v>
      </c>
      <c r="J53" s="40" t="s">
        <v>1868</v>
      </c>
      <c r="K53" s="153"/>
    </row>
    <row r="54" spans="1:11" x14ac:dyDescent="0.3">
      <c r="A54" s="40" t="s">
        <v>7228</v>
      </c>
      <c r="B54" s="40" t="s">
        <v>7172</v>
      </c>
      <c r="C54" s="40" t="s">
        <v>7229</v>
      </c>
      <c r="D54" s="40" t="s">
        <v>13</v>
      </c>
      <c r="E54" s="40" t="s">
        <v>16</v>
      </c>
      <c r="F54" s="40" t="s">
        <v>7230</v>
      </c>
      <c r="G54" s="40" t="s">
        <v>7231</v>
      </c>
      <c r="H54" s="40" t="s">
        <v>7232</v>
      </c>
      <c r="I54" s="40" t="s">
        <v>14</v>
      </c>
      <c r="J54" s="40" t="s">
        <v>1868</v>
      </c>
      <c r="K54" s="153"/>
    </row>
    <row r="55" spans="1:11" ht="43.2" x14ac:dyDescent="0.3">
      <c r="A55" s="40" t="s">
        <v>7233</v>
      </c>
      <c r="B55" s="40" t="s">
        <v>7172</v>
      </c>
      <c r="C55" s="40" t="s">
        <v>13880</v>
      </c>
      <c r="D55" s="40" t="s">
        <v>10</v>
      </c>
      <c r="E55" s="40" t="s">
        <v>13875</v>
      </c>
      <c r="F55" s="40" t="s">
        <v>7235</v>
      </c>
      <c r="G55" s="40" t="s">
        <v>7236</v>
      </c>
      <c r="H55" s="40" t="s">
        <v>13881</v>
      </c>
      <c r="I55" s="40" t="s">
        <v>7237</v>
      </c>
      <c r="J55" s="40" t="s">
        <v>1852</v>
      </c>
      <c r="K55" s="154" t="s">
        <v>12850</v>
      </c>
    </row>
    <row r="56" spans="1:11" x14ac:dyDescent="0.3">
      <c r="A56" s="90" t="s">
        <v>7238</v>
      </c>
      <c r="B56" s="90" t="s">
        <v>7239</v>
      </c>
      <c r="C56" s="90" t="s">
        <v>7240</v>
      </c>
      <c r="D56" s="90" t="s">
        <v>10</v>
      </c>
      <c r="E56" s="90" t="s">
        <v>624</v>
      </c>
      <c r="F56" s="90" t="s">
        <v>7241</v>
      </c>
      <c r="G56" s="90" t="s">
        <v>7242</v>
      </c>
      <c r="H56" s="90" t="s">
        <v>7243</v>
      </c>
      <c r="I56" s="90" t="s">
        <v>7244</v>
      </c>
      <c r="J56" s="90" t="s">
        <v>1852</v>
      </c>
      <c r="K56" s="153"/>
    </row>
    <row r="57" spans="1:11" x14ac:dyDescent="0.3">
      <c r="A57" s="90" t="s">
        <v>7245</v>
      </c>
      <c r="B57" s="90" t="s">
        <v>7239</v>
      </c>
      <c r="C57" s="90" t="s">
        <v>7246</v>
      </c>
      <c r="D57" s="90" t="s">
        <v>10</v>
      </c>
      <c r="E57" s="90" t="s">
        <v>4804</v>
      </c>
      <c r="F57" s="90" t="s">
        <v>7247</v>
      </c>
      <c r="G57" s="90" t="s">
        <v>7248</v>
      </c>
      <c r="H57" s="90" t="s">
        <v>7111</v>
      </c>
      <c r="I57" s="90" t="s">
        <v>7249</v>
      </c>
      <c r="J57" s="90" t="s">
        <v>1852</v>
      </c>
      <c r="K57" s="153"/>
    </row>
    <row r="58" spans="1:11" x14ac:dyDescent="0.3">
      <c r="A58" s="90" t="s">
        <v>7250</v>
      </c>
      <c r="B58" s="90" t="s">
        <v>7239</v>
      </c>
      <c r="C58" s="90" t="s">
        <v>7251</v>
      </c>
      <c r="D58" s="90" t="s">
        <v>10</v>
      </c>
      <c r="E58" s="90" t="s">
        <v>4804</v>
      </c>
      <c r="F58" s="90" t="s">
        <v>7252</v>
      </c>
      <c r="G58" s="90" t="s">
        <v>7248</v>
      </c>
      <c r="H58" s="90" t="s">
        <v>7116</v>
      </c>
      <c r="I58" s="90" t="s">
        <v>7253</v>
      </c>
      <c r="J58" s="90" t="s">
        <v>1852</v>
      </c>
      <c r="K58" s="153"/>
    </row>
    <row r="59" spans="1:11" x14ac:dyDescent="0.3">
      <c r="A59" s="90" t="s">
        <v>7254</v>
      </c>
      <c r="B59" s="90" t="s">
        <v>7239</v>
      </c>
      <c r="C59" s="90" t="s">
        <v>7255</v>
      </c>
      <c r="D59" s="90" t="s">
        <v>10</v>
      </c>
      <c r="E59" s="90" t="s">
        <v>1783</v>
      </c>
      <c r="F59" s="90" t="s">
        <v>7256</v>
      </c>
      <c r="G59" s="90" t="s">
        <v>7257</v>
      </c>
      <c r="H59" s="90" t="s">
        <v>7258</v>
      </c>
      <c r="I59" s="90" t="s">
        <v>7259</v>
      </c>
      <c r="J59" s="90" t="s">
        <v>1852</v>
      </c>
      <c r="K59" s="153"/>
    </row>
    <row r="60" spans="1:11" x14ac:dyDescent="0.3">
      <c r="A60" s="90" t="s">
        <v>7260</v>
      </c>
      <c r="B60" s="90" t="s">
        <v>7239</v>
      </c>
      <c r="C60" s="90" t="s">
        <v>7261</v>
      </c>
      <c r="D60" s="90" t="s">
        <v>13</v>
      </c>
      <c r="E60" s="90" t="s">
        <v>639</v>
      </c>
      <c r="F60" s="90" t="s">
        <v>7262</v>
      </c>
      <c r="G60" s="90" t="s">
        <v>7263</v>
      </c>
      <c r="H60" s="90" t="s">
        <v>7264</v>
      </c>
      <c r="I60" s="90" t="s">
        <v>14</v>
      </c>
      <c r="J60" s="90" t="s">
        <v>1852</v>
      </c>
      <c r="K60" s="153"/>
    </row>
    <row r="61" spans="1:11" x14ac:dyDescent="0.3">
      <c r="A61" s="90" t="s">
        <v>7265</v>
      </c>
      <c r="B61" s="90" t="s">
        <v>7239</v>
      </c>
      <c r="C61" s="90" t="s">
        <v>7266</v>
      </c>
      <c r="D61" s="90" t="s">
        <v>13</v>
      </c>
      <c r="E61" s="90" t="s">
        <v>639</v>
      </c>
      <c r="F61" s="90" t="s">
        <v>7267</v>
      </c>
      <c r="G61" s="90" t="s">
        <v>7268</v>
      </c>
      <c r="H61" s="90" t="s">
        <v>7269</v>
      </c>
      <c r="I61" s="90" t="s">
        <v>14</v>
      </c>
      <c r="J61" s="90" t="s">
        <v>1852</v>
      </c>
      <c r="K61" s="153"/>
    </row>
    <row r="62" spans="1:11" x14ac:dyDescent="0.3">
      <c r="A62" s="90" t="s">
        <v>7270</v>
      </c>
      <c r="B62" s="90" t="s">
        <v>7239</v>
      </c>
      <c r="C62" s="90" t="s">
        <v>7271</v>
      </c>
      <c r="D62" s="90" t="s">
        <v>13</v>
      </c>
      <c r="E62" s="90" t="s">
        <v>4804</v>
      </c>
      <c r="F62" s="90" t="s">
        <v>7272</v>
      </c>
      <c r="G62" s="90" t="s">
        <v>7273</v>
      </c>
      <c r="H62" s="90" t="s">
        <v>7274</v>
      </c>
      <c r="I62" s="90" t="s">
        <v>14</v>
      </c>
      <c r="J62" s="90" t="s">
        <v>1868</v>
      </c>
      <c r="K62" s="153"/>
    </row>
    <row r="63" spans="1:11" x14ac:dyDescent="0.3">
      <c r="A63" s="90" t="s">
        <v>7275</v>
      </c>
      <c r="B63" s="90" t="s">
        <v>7239</v>
      </c>
      <c r="C63" s="90" t="s">
        <v>7276</v>
      </c>
      <c r="D63" s="90" t="s">
        <v>10</v>
      </c>
      <c r="E63" s="90" t="s">
        <v>4804</v>
      </c>
      <c r="F63" s="90" t="s">
        <v>7247</v>
      </c>
      <c r="G63" s="90" t="s">
        <v>7277</v>
      </c>
      <c r="H63" s="90" t="s">
        <v>7278</v>
      </c>
      <c r="I63" s="90" t="s">
        <v>7279</v>
      </c>
      <c r="J63" s="90" t="s">
        <v>1868</v>
      </c>
      <c r="K63" s="153"/>
    </row>
    <row r="64" spans="1:11" x14ac:dyDescent="0.3">
      <c r="A64" s="90" t="s">
        <v>7280</v>
      </c>
      <c r="B64" s="90" t="s">
        <v>7239</v>
      </c>
      <c r="C64" s="90" t="s">
        <v>7281</v>
      </c>
      <c r="D64" s="90" t="s">
        <v>10</v>
      </c>
      <c r="E64" s="90" t="s">
        <v>654</v>
      </c>
      <c r="F64" s="90" t="s">
        <v>7282</v>
      </c>
      <c r="G64" s="90" t="s">
        <v>7283</v>
      </c>
      <c r="H64" s="90" t="s">
        <v>7284</v>
      </c>
      <c r="I64" s="90" t="s">
        <v>7285</v>
      </c>
      <c r="J64" s="90" t="s">
        <v>1852</v>
      </c>
      <c r="K64" s="153"/>
    </row>
    <row r="65" spans="1:11" x14ac:dyDescent="0.3">
      <c r="A65" s="90" t="s">
        <v>7286</v>
      </c>
      <c r="B65" s="90" t="s">
        <v>7239</v>
      </c>
      <c r="C65" s="90" t="s">
        <v>7287</v>
      </c>
      <c r="D65" s="90" t="s">
        <v>10</v>
      </c>
      <c r="E65" s="90" t="s">
        <v>176</v>
      </c>
      <c r="F65" s="90" t="s">
        <v>7288</v>
      </c>
      <c r="G65" s="90" t="s">
        <v>7289</v>
      </c>
      <c r="H65" s="90" t="s">
        <v>7290</v>
      </c>
      <c r="I65" s="90" t="s">
        <v>7291</v>
      </c>
      <c r="J65" s="90" t="s">
        <v>1852</v>
      </c>
      <c r="K65" s="153"/>
    </row>
    <row r="66" spans="1:11" x14ac:dyDescent="0.3">
      <c r="A66" s="90" t="s">
        <v>7292</v>
      </c>
      <c r="B66" s="90" t="s">
        <v>7239</v>
      </c>
      <c r="C66" s="90" t="s">
        <v>7293</v>
      </c>
      <c r="D66" s="90" t="s">
        <v>10</v>
      </c>
      <c r="E66" s="90" t="s">
        <v>176</v>
      </c>
      <c r="F66" s="90" t="s">
        <v>7294</v>
      </c>
      <c r="G66" s="90" t="s">
        <v>7295</v>
      </c>
      <c r="H66" s="90" t="s">
        <v>7296</v>
      </c>
      <c r="I66" s="90" t="s">
        <v>7297</v>
      </c>
      <c r="J66" s="90" t="s">
        <v>1852</v>
      </c>
      <c r="K66" s="153"/>
    </row>
    <row r="67" spans="1:11" x14ac:dyDescent="0.3">
      <c r="A67" s="90" t="s">
        <v>7298</v>
      </c>
      <c r="B67" s="90" t="s">
        <v>7239</v>
      </c>
      <c r="C67" s="90" t="s">
        <v>7299</v>
      </c>
      <c r="D67" s="90" t="s">
        <v>10</v>
      </c>
      <c r="E67" s="90" t="s">
        <v>4804</v>
      </c>
      <c r="F67" s="90" t="s">
        <v>7300</v>
      </c>
      <c r="G67" s="90" t="s">
        <v>7301</v>
      </c>
      <c r="H67" s="90" t="s">
        <v>7120</v>
      </c>
      <c r="I67" s="90" t="s">
        <v>7302</v>
      </c>
      <c r="J67" s="90" t="s">
        <v>1868</v>
      </c>
      <c r="K67" s="153"/>
    </row>
    <row r="68" spans="1:11" x14ac:dyDescent="0.3">
      <c r="A68" s="91" t="s">
        <v>7303</v>
      </c>
      <c r="B68" s="91" t="s">
        <v>7304</v>
      </c>
      <c r="C68" s="91" t="s">
        <v>7305</v>
      </c>
      <c r="D68" s="91" t="s">
        <v>13</v>
      </c>
      <c r="E68" s="91" t="s">
        <v>654</v>
      </c>
      <c r="F68" s="91" t="s">
        <v>7306</v>
      </c>
      <c r="G68" s="91" t="s">
        <v>7307</v>
      </c>
      <c r="H68" s="91" t="s">
        <v>7308</v>
      </c>
      <c r="I68" s="91" t="s">
        <v>14</v>
      </c>
      <c r="J68" s="91" t="s">
        <v>1852</v>
      </c>
      <c r="K68" s="153"/>
    </row>
    <row r="69" spans="1:11" x14ac:dyDescent="0.3">
      <c r="A69" s="91" t="s">
        <v>7309</v>
      </c>
      <c r="B69" s="91" t="s">
        <v>7304</v>
      </c>
      <c r="C69" s="91" t="s">
        <v>7310</v>
      </c>
      <c r="D69" s="91" t="s">
        <v>13</v>
      </c>
      <c r="E69" s="91" t="s">
        <v>654</v>
      </c>
      <c r="F69" s="91" t="s">
        <v>7311</v>
      </c>
      <c r="G69" s="91" t="s">
        <v>7312</v>
      </c>
      <c r="H69" s="91" t="s">
        <v>7308</v>
      </c>
      <c r="I69" s="91" t="s">
        <v>14</v>
      </c>
      <c r="J69" s="91" t="s">
        <v>1852</v>
      </c>
      <c r="K69" s="153"/>
    </row>
    <row r="70" spans="1:11" x14ac:dyDescent="0.3">
      <c r="A70" s="91" t="s">
        <v>7313</v>
      </c>
      <c r="B70" s="91" t="s">
        <v>7304</v>
      </c>
      <c r="C70" s="91" t="s">
        <v>7314</v>
      </c>
      <c r="D70" s="91" t="s">
        <v>13</v>
      </c>
      <c r="E70" s="91" t="s">
        <v>654</v>
      </c>
      <c r="F70" s="91" t="s">
        <v>7315</v>
      </c>
      <c r="G70" s="91" t="s">
        <v>7316</v>
      </c>
      <c r="H70" s="91" t="s">
        <v>7308</v>
      </c>
      <c r="I70" s="91" t="s">
        <v>14</v>
      </c>
      <c r="J70" s="91" t="s">
        <v>1852</v>
      </c>
      <c r="K70" s="153"/>
    </row>
    <row r="71" spans="1:11" x14ac:dyDescent="0.3">
      <c r="A71" s="91" t="s">
        <v>7317</v>
      </c>
      <c r="B71" s="91" t="s">
        <v>7304</v>
      </c>
      <c r="C71" s="91" t="s">
        <v>7318</v>
      </c>
      <c r="D71" s="91" t="s">
        <v>13</v>
      </c>
      <c r="E71" s="91" t="s">
        <v>654</v>
      </c>
      <c r="F71" s="91" t="s">
        <v>7319</v>
      </c>
      <c r="G71" s="91" t="s">
        <v>7320</v>
      </c>
      <c r="H71" s="91" t="s">
        <v>7308</v>
      </c>
      <c r="I71" s="91" t="s">
        <v>14</v>
      </c>
      <c r="J71" s="91" t="s">
        <v>1852</v>
      </c>
      <c r="K71" s="153"/>
    </row>
    <row r="72" spans="1:11" x14ac:dyDescent="0.3">
      <c r="A72" s="91" t="s">
        <v>7321</v>
      </c>
      <c r="B72" s="91" t="s">
        <v>7304</v>
      </c>
      <c r="C72" s="91" t="s">
        <v>7322</v>
      </c>
      <c r="D72" s="91" t="s">
        <v>13</v>
      </c>
      <c r="E72" s="91" t="s">
        <v>654</v>
      </c>
      <c r="F72" s="91" t="s">
        <v>7323</v>
      </c>
      <c r="G72" s="91" t="s">
        <v>7324</v>
      </c>
      <c r="H72" s="91" t="s">
        <v>7308</v>
      </c>
      <c r="I72" s="91" t="s">
        <v>14</v>
      </c>
      <c r="J72" s="91" t="s">
        <v>1852</v>
      </c>
      <c r="K72" s="153"/>
    </row>
    <row r="73" spans="1:11" x14ac:dyDescent="0.3">
      <c r="A73" s="91" t="s">
        <v>7325</v>
      </c>
      <c r="B73" s="91" t="s">
        <v>7304</v>
      </c>
      <c r="C73" s="91" t="s">
        <v>7326</v>
      </c>
      <c r="D73" s="91" t="s">
        <v>13</v>
      </c>
      <c r="E73" s="91" t="s">
        <v>654</v>
      </c>
      <c r="F73" s="91" t="s">
        <v>7327</v>
      </c>
      <c r="G73" s="91" t="s">
        <v>7093</v>
      </c>
      <c r="H73" s="91" t="s">
        <v>7308</v>
      </c>
      <c r="I73" s="91" t="s">
        <v>14</v>
      </c>
      <c r="J73" s="91" t="s">
        <v>1852</v>
      </c>
      <c r="K73" s="153"/>
    </row>
    <row r="74" spans="1:11" x14ac:dyDescent="0.3">
      <c r="A74" s="91" t="s">
        <v>7328</v>
      </c>
      <c r="B74" s="91" t="s">
        <v>7304</v>
      </c>
      <c r="C74" s="91" t="s">
        <v>7329</v>
      </c>
      <c r="D74" s="91" t="s">
        <v>10</v>
      </c>
      <c r="E74" s="91" t="s">
        <v>654</v>
      </c>
      <c r="F74" s="91" t="s">
        <v>7330</v>
      </c>
      <c r="G74" s="91" t="s">
        <v>7331</v>
      </c>
      <c r="H74" s="91" t="s">
        <v>7332</v>
      </c>
      <c r="I74" s="91" t="s">
        <v>7333</v>
      </c>
      <c r="J74" s="91" t="s">
        <v>1852</v>
      </c>
      <c r="K74" s="153"/>
    </row>
    <row r="75" spans="1:11" x14ac:dyDescent="0.3">
      <c r="A75" s="91" t="s">
        <v>7334</v>
      </c>
      <c r="B75" s="91" t="s">
        <v>7304</v>
      </c>
      <c r="C75" s="91" t="s">
        <v>7335</v>
      </c>
      <c r="D75" s="91" t="s">
        <v>13</v>
      </c>
      <c r="E75" s="91" t="s">
        <v>694</v>
      </c>
      <c r="F75" s="91" t="s">
        <v>7336</v>
      </c>
      <c r="G75" s="91" t="s">
        <v>7337</v>
      </c>
      <c r="H75" s="91" t="s">
        <v>7338</v>
      </c>
      <c r="I75" s="91" t="s">
        <v>7339</v>
      </c>
      <c r="J75" s="91" t="s">
        <v>1852</v>
      </c>
      <c r="K75" s="153"/>
    </row>
    <row r="76" spans="1:11" x14ac:dyDescent="0.3">
      <c r="A76" s="91" t="s">
        <v>7340</v>
      </c>
      <c r="B76" s="91" t="s">
        <v>7304</v>
      </c>
      <c r="C76" s="91" t="s">
        <v>7341</v>
      </c>
      <c r="D76" s="91" t="s">
        <v>10</v>
      </c>
      <c r="E76" s="91" t="s">
        <v>694</v>
      </c>
      <c r="F76" s="91" t="s">
        <v>4774</v>
      </c>
      <c r="G76" s="91" t="s">
        <v>7342</v>
      </c>
      <c r="H76" s="91" t="s">
        <v>7343</v>
      </c>
      <c r="I76" s="91" t="s">
        <v>7344</v>
      </c>
      <c r="J76" s="91" t="s">
        <v>1852</v>
      </c>
      <c r="K76" s="153"/>
    </row>
    <row r="77" spans="1:11" x14ac:dyDescent="0.3">
      <c r="A77" s="91" t="s">
        <v>7345</v>
      </c>
      <c r="B77" s="91" t="s">
        <v>7304</v>
      </c>
      <c r="C77" s="91" t="s">
        <v>7346</v>
      </c>
      <c r="D77" s="91" t="s">
        <v>13</v>
      </c>
      <c r="E77" s="91" t="s">
        <v>1420</v>
      </c>
      <c r="F77" s="91" t="s">
        <v>4787</v>
      </c>
      <c r="G77" s="91" t="s">
        <v>7347</v>
      </c>
      <c r="H77" s="91" t="s">
        <v>7348</v>
      </c>
      <c r="I77" s="91" t="s">
        <v>14</v>
      </c>
      <c r="J77" s="91" t="s">
        <v>1868</v>
      </c>
      <c r="K77" s="153"/>
    </row>
    <row r="78" spans="1:11" x14ac:dyDescent="0.3">
      <c r="A78" s="91" t="s">
        <v>7349</v>
      </c>
      <c r="B78" s="91" t="s">
        <v>7304</v>
      </c>
      <c r="C78" s="91" t="s">
        <v>7350</v>
      </c>
      <c r="D78" s="91" t="s">
        <v>13</v>
      </c>
      <c r="E78" s="91" t="s">
        <v>1420</v>
      </c>
      <c r="F78" s="91" t="s">
        <v>7351</v>
      </c>
      <c r="G78" s="91" t="s">
        <v>7352</v>
      </c>
      <c r="H78" s="91" t="s">
        <v>7353</v>
      </c>
      <c r="I78" s="91" t="s">
        <v>14</v>
      </c>
      <c r="J78" s="91" t="s">
        <v>1868</v>
      </c>
      <c r="K78" s="153"/>
    </row>
    <row r="79" spans="1:11" x14ac:dyDescent="0.3">
      <c r="A79" s="91" t="s">
        <v>7354</v>
      </c>
      <c r="B79" s="91" t="s">
        <v>7304</v>
      </c>
      <c r="C79" s="91" t="s">
        <v>7355</v>
      </c>
      <c r="D79" s="91" t="s">
        <v>10</v>
      </c>
      <c r="E79" s="91" t="s">
        <v>7356</v>
      </c>
      <c r="F79" s="91" t="s">
        <v>7357</v>
      </c>
      <c r="G79" s="91" t="s">
        <v>7358</v>
      </c>
      <c r="H79" s="91" t="s">
        <v>7359</v>
      </c>
      <c r="I79" s="91" t="s">
        <v>7360</v>
      </c>
      <c r="J79" s="91" t="s">
        <v>1852</v>
      </c>
      <c r="K79" s="153"/>
    </row>
    <row r="80" spans="1:11" x14ac:dyDescent="0.3">
      <c r="A80" s="91" t="s">
        <v>7361</v>
      </c>
      <c r="B80" s="91" t="s">
        <v>7304</v>
      </c>
      <c r="C80" s="91" t="s">
        <v>7362</v>
      </c>
      <c r="D80" s="91" t="s">
        <v>13</v>
      </c>
      <c r="E80" s="91" t="s">
        <v>14</v>
      </c>
      <c r="F80" s="91" t="s">
        <v>6544</v>
      </c>
      <c r="G80" s="91" t="s">
        <v>7363</v>
      </c>
      <c r="H80" s="91" t="s">
        <v>7364</v>
      </c>
      <c r="I80" s="91" t="s">
        <v>14</v>
      </c>
      <c r="J80" s="91" t="s">
        <v>1868</v>
      </c>
      <c r="K80" s="153"/>
    </row>
    <row r="81" spans="1:11" x14ac:dyDescent="0.3">
      <c r="A81" s="91" t="s">
        <v>7365</v>
      </c>
      <c r="B81" s="91" t="s">
        <v>7304</v>
      </c>
      <c r="C81" s="91" t="s">
        <v>7366</v>
      </c>
      <c r="D81" s="91" t="s">
        <v>10</v>
      </c>
      <c r="E81" s="91" t="s">
        <v>654</v>
      </c>
      <c r="F81" s="91" t="s">
        <v>7367</v>
      </c>
      <c r="G81" s="91" t="s">
        <v>7128</v>
      </c>
      <c r="H81" s="91" t="s">
        <v>7368</v>
      </c>
      <c r="I81" s="91" t="s">
        <v>7369</v>
      </c>
      <c r="J81" s="91" t="s">
        <v>1852</v>
      </c>
      <c r="K81" s="153"/>
    </row>
    <row r="82" spans="1:11" x14ac:dyDescent="0.3">
      <c r="A82" s="92" t="s">
        <v>7370</v>
      </c>
      <c r="B82" s="92" t="s">
        <v>7371</v>
      </c>
      <c r="C82" s="92" t="s">
        <v>7372</v>
      </c>
      <c r="D82" s="92" t="s">
        <v>13</v>
      </c>
      <c r="E82" s="92" t="s">
        <v>7373</v>
      </c>
      <c r="F82" s="92" t="s">
        <v>7374</v>
      </c>
      <c r="G82" s="92" t="s">
        <v>7307</v>
      </c>
      <c r="H82" s="92" t="s">
        <v>7375</v>
      </c>
      <c r="I82" s="92" t="s">
        <v>14</v>
      </c>
      <c r="J82" s="92" t="s">
        <v>1852</v>
      </c>
      <c r="K82" s="153"/>
    </row>
    <row r="83" spans="1:11" x14ac:dyDescent="0.3">
      <c r="A83" s="92" t="s">
        <v>7376</v>
      </c>
      <c r="B83" s="92" t="s">
        <v>7371</v>
      </c>
      <c r="C83" s="92" t="s">
        <v>7377</v>
      </c>
      <c r="D83" s="92" t="s">
        <v>13</v>
      </c>
      <c r="E83" s="92" t="s">
        <v>571</v>
      </c>
      <c r="F83" s="92" t="s">
        <v>7378</v>
      </c>
      <c r="G83" s="92" t="s">
        <v>7379</v>
      </c>
      <c r="H83" s="92" t="s">
        <v>7380</v>
      </c>
      <c r="I83" s="92" t="s">
        <v>14</v>
      </c>
      <c r="J83" s="92" t="s">
        <v>1852</v>
      </c>
      <c r="K83" s="153"/>
    </row>
    <row r="84" spans="1:11" x14ac:dyDescent="0.3">
      <c r="A84" s="92" t="s">
        <v>7381</v>
      </c>
      <c r="B84" s="92" t="s">
        <v>7371</v>
      </c>
      <c r="C84" s="92" t="s">
        <v>7382</v>
      </c>
      <c r="D84" s="92" t="s">
        <v>13</v>
      </c>
      <c r="E84" s="92" t="s">
        <v>571</v>
      </c>
      <c r="F84" s="92" t="s">
        <v>7383</v>
      </c>
      <c r="G84" s="92" t="s">
        <v>7379</v>
      </c>
      <c r="H84" s="92" t="s">
        <v>7384</v>
      </c>
      <c r="I84" s="92" t="s">
        <v>14</v>
      </c>
      <c r="J84" s="92" t="s">
        <v>1868</v>
      </c>
      <c r="K84" s="153"/>
    </row>
    <row r="85" spans="1:11" x14ac:dyDescent="0.3">
      <c r="A85" s="92" t="s">
        <v>7385</v>
      </c>
      <c r="B85" s="92" t="s">
        <v>7371</v>
      </c>
      <c r="C85" s="92" t="s">
        <v>7386</v>
      </c>
      <c r="D85" s="92" t="s">
        <v>13</v>
      </c>
      <c r="E85" s="92" t="s">
        <v>571</v>
      </c>
      <c r="F85" s="92" t="s">
        <v>7387</v>
      </c>
      <c r="G85" s="92" t="s">
        <v>7388</v>
      </c>
      <c r="H85" s="92" t="s">
        <v>7389</v>
      </c>
      <c r="I85" s="92" t="s">
        <v>14</v>
      </c>
      <c r="J85" s="92" t="s">
        <v>1868</v>
      </c>
      <c r="K85" s="153"/>
    </row>
    <row r="86" spans="1:11" x14ac:dyDescent="0.3">
      <c r="A86" s="92" t="s">
        <v>7390</v>
      </c>
      <c r="B86" s="92" t="s">
        <v>7371</v>
      </c>
      <c r="C86" s="92" t="s">
        <v>7391</v>
      </c>
      <c r="D86" s="92" t="s">
        <v>13</v>
      </c>
      <c r="E86" s="92" t="s">
        <v>25</v>
      </c>
      <c r="F86" s="92" t="s">
        <v>7392</v>
      </c>
      <c r="G86" s="92" t="s">
        <v>7393</v>
      </c>
      <c r="H86" s="92" t="s">
        <v>7394</v>
      </c>
      <c r="I86" s="92" t="s">
        <v>7395</v>
      </c>
      <c r="J86" s="92" t="s">
        <v>1852</v>
      </c>
      <c r="K86" s="153"/>
    </row>
    <row r="87" spans="1:11" x14ac:dyDescent="0.3">
      <c r="A87" s="92" t="s">
        <v>7396</v>
      </c>
      <c r="B87" s="92" t="s">
        <v>7371</v>
      </c>
      <c r="C87" s="92" t="s">
        <v>7397</v>
      </c>
      <c r="D87" s="92" t="s">
        <v>10</v>
      </c>
      <c r="E87" s="92" t="s">
        <v>571</v>
      </c>
      <c r="F87" s="92" t="s">
        <v>7398</v>
      </c>
      <c r="G87" s="92" t="s">
        <v>7399</v>
      </c>
      <c r="H87" s="92" t="s">
        <v>7400</v>
      </c>
      <c r="I87" s="92" t="s">
        <v>7401</v>
      </c>
      <c r="J87" s="92" t="s">
        <v>1852</v>
      </c>
      <c r="K87" s="153"/>
    </row>
    <row r="88" spans="1:11" x14ac:dyDescent="0.3">
      <c r="A88" s="92" t="s">
        <v>7402</v>
      </c>
      <c r="B88" s="92" t="s">
        <v>7371</v>
      </c>
      <c r="C88" s="92" t="s">
        <v>7403</v>
      </c>
      <c r="D88" s="92" t="s">
        <v>13</v>
      </c>
      <c r="E88" s="92" t="s">
        <v>571</v>
      </c>
      <c r="F88" s="92" t="s">
        <v>7220</v>
      </c>
      <c r="G88" s="92" t="s">
        <v>7379</v>
      </c>
      <c r="H88" s="92" t="s">
        <v>7404</v>
      </c>
      <c r="I88" s="92" t="s">
        <v>7405</v>
      </c>
      <c r="J88" s="92" t="s">
        <v>1868</v>
      </c>
      <c r="K88" s="153"/>
    </row>
    <row r="89" spans="1:11" x14ac:dyDescent="0.3">
      <c r="A89" s="92" t="s">
        <v>7406</v>
      </c>
      <c r="B89" s="92" t="s">
        <v>7371</v>
      </c>
      <c r="C89" s="92" t="s">
        <v>7407</v>
      </c>
      <c r="D89" s="92" t="s">
        <v>13</v>
      </c>
      <c r="E89" s="92" t="s">
        <v>7408</v>
      </c>
      <c r="F89" s="92" t="s">
        <v>7409</v>
      </c>
      <c r="G89" s="92" t="s">
        <v>7379</v>
      </c>
      <c r="H89" s="92" t="s">
        <v>7410</v>
      </c>
      <c r="I89" s="92" t="s">
        <v>14</v>
      </c>
      <c r="J89" s="92" t="s">
        <v>1852</v>
      </c>
      <c r="K89" s="153"/>
    </row>
    <row r="90" spans="1:11" x14ac:dyDescent="0.3">
      <c r="A90" s="92" t="s">
        <v>7411</v>
      </c>
      <c r="B90" s="92" t="s">
        <v>7371</v>
      </c>
      <c r="C90" s="92" t="s">
        <v>7412</v>
      </c>
      <c r="D90" s="92" t="s">
        <v>13</v>
      </c>
      <c r="E90" s="92" t="s">
        <v>1802</v>
      </c>
      <c r="F90" s="92" t="s">
        <v>7413</v>
      </c>
      <c r="G90" s="92" t="s">
        <v>7414</v>
      </c>
      <c r="H90" s="92" t="s">
        <v>7415</v>
      </c>
      <c r="I90" s="92" t="s">
        <v>14</v>
      </c>
      <c r="J90" s="92" t="s">
        <v>1868</v>
      </c>
      <c r="K90" s="153"/>
    </row>
    <row r="91" spans="1:11" x14ac:dyDescent="0.3">
      <c r="A91" s="92" t="s">
        <v>7416</v>
      </c>
      <c r="B91" s="92" t="s">
        <v>7371</v>
      </c>
      <c r="C91" s="92" t="s">
        <v>7417</v>
      </c>
      <c r="D91" s="92" t="s">
        <v>13</v>
      </c>
      <c r="E91" s="92" t="s">
        <v>477</v>
      </c>
      <c r="F91" s="92" t="s">
        <v>7418</v>
      </c>
      <c r="G91" s="92" t="s">
        <v>7419</v>
      </c>
      <c r="H91" s="92" t="s">
        <v>7420</v>
      </c>
      <c r="I91" s="92" t="s">
        <v>14</v>
      </c>
      <c r="J91" s="92" t="s">
        <v>1868</v>
      </c>
      <c r="K91" s="153"/>
    </row>
    <row r="92" spans="1:11" x14ac:dyDescent="0.3">
      <c r="A92" s="93" t="s">
        <v>7421</v>
      </c>
      <c r="B92" s="93" t="s">
        <v>7422</v>
      </c>
      <c r="C92" s="93" t="s">
        <v>2719</v>
      </c>
      <c r="D92" s="93" t="s">
        <v>13</v>
      </c>
      <c r="E92" s="93" t="s">
        <v>13026</v>
      </c>
      <c r="F92" s="93" t="s">
        <v>7423</v>
      </c>
      <c r="G92" s="93" t="s">
        <v>4164</v>
      </c>
      <c r="H92" s="93" t="s">
        <v>7424</v>
      </c>
      <c r="I92" s="93" t="s">
        <v>7425</v>
      </c>
      <c r="J92" s="93" t="s">
        <v>1852</v>
      </c>
      <c r="K92" s="153"/>
    </row>
    <row r="93" spans="1:11" x14ac:dyDescent="0.3">
      <c r="A93" s="93" t="s">
        <v>7426</v>
      </c>
      <c r="B93" s="93" t="s">
        <v>7422</v>
      </c>
      <c r="C93" s="93" t="s">
        <v>7427</v>
      </c>
      <c r="D93" s="93" t="s">
        <v>13</v>
      </c>
      <c r="E93" s="93" t="s">
        <v>23</v>
      </c>
      <c r="F93" s="93" t="s">
        <v>7428</v>
      </c>
      <c r="G93" s="93" t="s">
        <v>7429</v>
      </c>
      <c r="H93" s="93" t="s">
        <v>7430</v>
      </c>
      <c r="I93" s="93" t="s">
        <v>7431</v>
      </c>
      <c r="J93" s="93" t="s">
        <v>1852</v>
      </c>
      <c r="K93" s="153"/>
    </row>
    <row r="94" spans="1:11" x14ac:dyDescent="0.3">
      <c r="A94" s="93" t="s">
        <v>7432</v>
      </c>
      <c r="B94" s="93" t="s">
        <v>7422</v>
      </c>
      <c r="C94" s="93" t="s">
        <v>7433</v>
      </c>
      <c r="D94" s="93" t="s">
        <v>13</v>
      </c>
      <c r="E94" s="93" t="s">
        <v>176</v>
      </c>
      <c r="F94" s="93" t="s">
        <v>7434</v>
      </c>
      <c r="G94" s="93" t="s">
        <v>7435</v>
      </c>
      <c r="H94" s="93" t="s">
        <v>7436</v>
      </c>
      <c r="I94" s="93" t="s">
        <v>14</v>
      </c>
      <c r="J94" s="93" t="s">
        <v>1868</v>
      </c>
      <c r="K94" s="153"/>
    </row>
    <row r="95" spans="1:11" x14ac:dyDescent="0.3">
      <c r="A95" s="93" t="s">
        <v>7437</v>
      </c>
      <c r="B95" s="93" t="s">
        <v>7422</v>
      </c>
      <c r="C95" s="93" t="s">
        <v>7438</v>
      </c>
      <c r="D95" s="93" t="s">
        <v>10</v>
      </c>
      <c r="E95" s="93" t="s">
        <v>721</v>
      </c>
      <c r="F95" s="93" t="s">
        <v>7439</v>
      </c>
      <c r="G95" s="93" t="s">
        <v>7440</v>
      </c>
      <c r="H95" s="93" t="s">
        <v>7441</v>
      </c>
      <c r="I95" s="93" t="s">
        <v>7442</v>
      </c>
      <c r="J95" s="93" t="s">
        <v>1852</v>
      </c>
      <c r="K95" s="153"/>
    </row>
    <row r="96" spans="1:11" x14ac:dyDescent="0.3">
      <c r="A96" s="93" t="s">
        <v>7443</v>
      </c>
      <c r="B96" s="93" t="s">
        <v>7422</v>
      </c>
      <c r="C96" s="93" t="s">
        <v>7444</v>
      </c>
      <c r="D96" s="93" t="s">
        <v>13</v>
      </c>
      <c r="E96" s="93" t="s">
        <v>7445</v>
      </c>
      <c r="F96" s="93" t="s">
        <v>7446</v>
      </c>
      <c r="G96" s="93" t="s">
        <v>7447</v>
      </c>
      <c r="H96" s="93" t="s">
        <v>7448</v>
      </c>
      <c r="I96" s="93" t="s">
        <v>14</v>
      </c>
      <c r="J96" s="93" t="s">
        <v>1868</v>
      </c>
      <c r="K96" s="153"/>
    </row>
    <row r="97" spans="1:11" x14ac:dyDescent="0.3">
      <c r="A97" s="93" t="s">
        <v>7449</v>
      </c>
      <c r="B97" s="93" t="s">
        <v>7422</v>
      </c>
      <c r="C97" s="93" t="s">
        <v>7450</v>
      </c>
      <c r="D97" s="93" t="s">
        <v>13</v>
      </c>
      <c r="E97" s="93" t="s">
        <v>7445</v>
      </c>
      <c r="F97" s="93" t="s">
        <v>7451</v>
      </c>
      <c r="G97" s="93" t="s">
        <v>7103</v>
      </c>
      <c r="H97" s="93" t="s">
        <v>7452</v>
      </c>
      <c r="I97" s="93" t="s">
        <v>7453</v>
      </c>
      <c r="J97" s="93" t="s">
        <v>1868</v>
      </c>
      <c r="K97" s="153"/>
    </row>
    <row r="98" spans="1:11" x14ac:dyDescent="0.3">
      <c r="A98" s="93" t="s">
        <v>7454</v>
      </c>
      <c r="B98" s="93" t="s">
        <v>7422</v>
      </c>
      <c r="C98" s="93" t="s">
        <v>7455</v>
      </c>
      <c r="D98" s="93" t="s">
        <v>13</v>
      </c>
      <c r="E98" s="93" t="s">
        <v>2230</v>
      </c>
      <c r="F98" s="93" t="s">
        <v>7456</v>
      </c>
      <c r="G98" s="93" t="s">
        <v>7457</v>
      </c>
      <c r="H98" s="93" t="s">
        <v>7458</v>
      </c>
      <c r="I98" s="93" t="s">
        <v>14</v>
      </c>
      <c r="J98" s="93" t="s">
        <v>1852</v>
      </c>
      <c r="K98" s="153"/>
    </row>
    <row r="99" spans="1:11" x14ac:dyDescent="0.3">
      <c r="A99" s="93" t="s">
        <v>7459</v>
      </c>
      <c r="B99" s="93" t="s">
        <v>7422</v>
      </c>
      <c r="C99" s="93" t="s">
        <v>7460</v>
      </c>
      <c r="D99" s="93" t="s">
        <v>13</v>
      </c>
      <c r="E99" s="93" t="s">
        <v>309</v>
      </c>
      <c r="F99" s="93" t="s">
        <v>7461</v>
      </c>
      <c r="G99" s="93" t="s">
        <v>7462</v>
      </c>
      <c r="H99" s="93" t="s">
        <v>7463</v>
      </c>
      <c r="I99" s="93" t="s">
        <v>14</v>
      </c>
      <c r="J99" s="93" t="s">
        <v>1868</v>
      </c>
      <c r="K99" s="153"/>
    </row>
    <row r="100" spans="1:11" x14ac:dyDescent="0.3">
      <c r="A100" s="93" t="s">
        <v>7464</v>
      </c>
      <c r="B100" s="93" t="s">
        <v>7422</v>
      </c>
      <c r="C100" s="93" t="s">
        <v>7465</v>
      </c>
      <c r="D100" s="93" t="s">
        <v>13</v>
      </c>
      <c r="E100" s="93" t="s">
        <v>3674</v>
      </c>
      <c r="F100" s="93" t="s">
        <v>7466</v>
      </c>
      <c r="G100" s="93" t="s">
        <v>7467</v>
      </c>
      <c r="H100" s="93" t="s">
        <v>7468</v>
      </c>
      <c r="I100" s="93" t="s">
        <v>14</v>
      </c>
      <c r="J100" s="93" t="s">
        <v>1868</v>
      </c>
      <c r="K100" s="153"/>
    </row>
    <row r="101" spans="1:11" x14ac:dyDescent="0.3">
      <c r="A101" s="93" t="s">
        <v>7469</v>
      </c>
      <c r="B101" s="93" t="s">
        <v>7422</v>
      </c>
      <c r="C101" s="93" t="s">
        <v>7470</v>
      </c>
      <c r="D101" s="93" t="s">
        <v>13</v>
      </c>
      <c r="E101" s="93" t="s">
        <v>486</v>
      </c>
      <c r="F101" s="93" t="s">
        <v>7471</v>
      </c>
      <c r="G101" s="93" t="s">
        <v>7472</v>
      </c>
      <c r="H101" s="93" t="s">
        <v>7473</v>
      </c>
      <c r="I101" s="93" t="s">
        <v>14</v>
      </c>
      <c r="J101" s="93" t="s">
        <v>1868</v>
      </c>
      <c r="K101" s="153"/>
    </row>
    <row r="102" spans="1:11" x14ac:dyDescent="0.3">
      <c r="A102" s="87" t="s">
        <v>7474</v>
      </c>
      <c r="B102" s="87" t="s">
        <v>7475</v>
      </c>
      <c r="C102" s="87" t="s">
        <v>7476</v>
      </c>
      <c r="D102" s="87" t="s">
        <v>13</v>
      </c>
      <c r="E102" s="87" t="s">
        <v>808</v>
      </c>
      <c r="F102" s="87" t="s">
        <v>7150</v>
      </c>
      <c r="G102" s="87" t="s">
        <v>7075</v>
      </c>
      <c r="H102" s="87" t="s">
        <v>7477</v>
      </c>
      <c r="I102" s="87" t="s">
        <v>14</v>
      </c>
      <c r="J102" s="87" t="s">
        <v>1852</v>
      </c>
      <c r="K102" s="153"/>
    </row>
    <row r="103" spans="1:11" x14ac:dyDescent="0.3">
      <c r="A103" s="87" t="s">
        <v>7478</v>
      </c>
      <c r="B103" s="87" t="s">
        <v>7475</v>
      </c>
      <c r="C103" s="87" t="s">
        <v>7479</v>
      </c>
      <c r="D103" s="87" t="s">
        <v>13</v>
      </c>
      <c r="E103" s="87" t="s">
        <v>808</v>
      </c>
      <c r="F103" s="87" t="s">
        <v>7150</v>
      </c>
      <c r="G103" s="87" t="s">
        <v>7480</v>
      </c>
      <c r="H103" s="87" t="s">
        <v>7481</v>
      </c>
      <c r="I103" s="87" t="s">
        <v>14</v>
      </c>
      <c r="J103" s="87" t="s">
        <v>1852</v>
      </c>
      <c r="K103" s="153"/>
    </row>
    <row r="104" spans="1:11" x14ac:dyDescent="0.3">
      <c r="A104" s="87" t="s">
        <v>7482</v>
      </c>
      <c r="B104" s="87" t="s">
        <v>7475</v>
      </c>
      <c r="C104" s="87" t="s">
        <v>7483</v>
      </c>
      <c r="D104" s="87" t="s">
        <v>13</v>
      </c>
      <c r="E104" s="87" t="s">
        <v>808</v>
      </c>
      <c r="F104" s="87" t="s">
        <v>7150</v>
      </c>
      <c r="G104" s="87" t="s">
        <v>7484</v>
      </c>
      <c r="H104" s="87" t="s">
        <v>7485</v>
      </c>
      <c r="I104" s="87" t="s">
        <v>14</v>
      </c>
      <c r="J104" s="87" t="s">
        <v>1852</v>
      </c>
      <c r="K104" s="153"/>
    </row>
    <row r="105" spans="1:11" x14ac:dyDescent="0.3">
      <c r="A105" s="87" t="s">
        <v>7486</v>
      </c>
      <c r="B105" s="87" t="s">
        <v>7475</v>
      </c>
      <c r="C105" s="87" t="s">
        <v>7487</v>
      </c>
      <c r="D105" s="87" t="s">
        <v>10</v>
      </c>
      <c r="E105" s="87" t="s">
        <v>833</v>
      </c>
      <c r="F105" s="87" t="s">
        <v>7488</v>
      </c>
      <c r="G105" s="87" t="s">
        <v>7489</v>
      </c>
      <c r="H105" s="87" t="s">
        <v>7490</v>
      </c>
      <c r="I105" s="87" t="s">
        <v>7491</v>
      </c>
      <c r="J105" s="87" t="s">
        <v>1852</v>
      </c>
      <c r="K105" s="153"/>
    </row>
    <row r="106" spans="1:11" x14ac:dyDescent="0.3">
      <c r="A106" s="87" t="s">
        <v>7492</v>
      </c>
      <c r="B106" s="87" t="s">
        <v>7475</v>
      </c>
      <c r="C106" s="87" t="s">
        <v>7493</v>
      </c>
      <c r="D106" s="87" t="s">
        <v>13</v>
      </c>
      <c r="E106" s="87" t="s">
        <v>808</v>
      </c>
      <c r="F106" s="87" t="s">
        <v>7494</v>
      </c>
      <c r="G106" s="87" t="s">
        <v>7495</v>
      </c>
      <c r="H106" s="87" t="s">
        <v>7496</v>
      </c>
      <c r="I106" s="87" t="s">
        <v>14</v>
      </c>
      <c r="J106" s="87" t="s">
        <v>1868</v>
      </c>
      <c r="K106" s="153"/>
    </row>
    <row r="107" spans="1:11" x14ac:dyDescent="0.3">
      <c r="A107" s="87" t="s">
        <v>7497</v>
      </c>
      <c r="B107" s="87" t="s">
        <v>7475</v>
      </c>
      <c r="C107" s="87" t="s">
        <v>7498</v>
      </c>
      <c r="D107" s="87" t="s">
        <v>13</v>
      </c>
      <c r="E107" s="87" t="s">
        <v>7499</v>
      </c>
      <c r="F107" s="87" t="s">
        <v>7500</v>
      </c>
      <c r="G107" s="87" t="s">
        <v>6942</v>
      </c>
      <c r="H107" s="87" t="s">
        <v>7501</v>
      </c>
      <c r="I107" s="87" t="s">
        <v>14</v>
      </c>
      <c r="J107" s="87" t="s">
        <v>1852</v>
      </c>
      <c r="K107" s="153"/>
    </row>
    <row r="108" spans="1:11" x14ac:dyDescent="0.3">
      <c r="A108" s="87" t="s">
        <v>7502</v>
      </c>
      <c r="B108" s="87" t="s">
        <v>7475</v>
      </c>
      <c r="C108" s="87" t="s">
        <v>7503</v>
      </c>
      <c r="D108" s="87" t="s">
        <v>13</v>
      </c>
      <c r="E108" s="87" t="s">
        <v>808</v>
      </c>
      <c r="F108" s="87" t="s">
        <v>7504</v>
      </c>
      <c r="G108" s="87" t="s">
        <v>6942</v>
      </c>
      <c r="H108" s="87" t="s">
        <v>7505</v>
      </c>
      <c r="I108" s="87" t="s">
        <v>14</v>
      </c>
      <c r="J108" s="87" t="s">
        <v>1868</v>
      </c>
      <c r="K108" s="153"/>
    </row>
    <row r="109" spans="1:11" x14ac:dyDescent="0.3">
      <c r="A109" s="87" t="s">
        <v>7506</v>
      </c>
      <c r="B109" s="87" t="s">
        <v>7475</v>
      </c>
      <c r="C109" s="87" t="s">
        <v>7507</v>
      </c>
      <c r="D109" s="87" t="s">
        <v>13</v>
      </c>
      <c r="E109" s="87" t="s">
        <v>808</v>
      </c>
      <c r="F109" s="87" t="s">
        <v>7508</v>
      </c>
      <c r="G109" s="87" t="s">
        <v>6942</v>
      </c>
      <c r="H109" s="87" t="s">
        <v>7509</v>
      </c>
      <c r="I109" s="87" t="s">
        <v>14</v>
      </c>
      <c r="J109" s="87" t="s">
        <v>1868</v>
      </c>
      <c r="K109" s="153"/>
    </row>
    <row r="110" spans="1:11" x14ac:dyDescent="0.3">
      <c r="A110" s="87" t="s">
        <v>7510</v>
      </c>
      <c r="B110" s="87" t="s">
        <v>7475</v>
      </c>
      <c r="C110" s="87" t="s">
        <v>7511</v>
      </c>
      <c r="D110" s="87" t="s">
        <v>13</v>
      </c>
      <c r="E110" s="87" t="s">
        <v>7356</v>
      </c>
      <c r="F110" s="87" t="s">
        <v>7512</v>
      </c>
      <c r="G110" s="87" t="s">
        <v>7513</v>
      </c>
      <c r="H110" s="87" t="s">
        <v>7514</v>
      </c>
      <c r="I110" s="87" t="s">
        <v>14</v>
      </c>
      <c r="J110" s="87" t="s">
        <v>1868</v>
      </c>
      <c r="K110" s="153"/>
    </row>
    <row r="111" spans="1:11" x14ac:dyDescent="0.3">
      <c r="A111" s="87" t="s">
        <v>7515</v>
      </c>
      <c r="B111" s="87" t="s">
        <v>7475</v>
      </c>
      <c r="C111" s="87" t="s">
        <v>7516</v>
      </c>
      <c r="D111" s="87" t="s">
        <v>13</v>
      </c>
      <c r="E111" s="87" t="s">
        <v>4088</v>
      </c>
      <c r="F111" s="87" t="s">
        <v>7517</v>
      </c>
      <c r="G111" s="87" t="s">
        <v>7518</v>
      </c>
      <c r="H111" s="87" t="s">
        <v>7519</v>
      </c>
      <c r="I111" s="87" t="s">
        <v>14</v>
      </c>
      <c r="J111" s="87" t="s">
        <v>1868</v>
      </c>
      <c r="K111" s="153"/>
    </row>
    <row r="112" spans="1:11" x14ac:dyDescent="0.3">
      <c r="A112" s="46" t="s">
        <v>7520</v>
      </c>
      <c r="B112" s="46" t="s">
        <v>7521</v>
      </c>
      <c r="C112" s="46" t="s">
        <v>7522</v>
      </c>
      <c r="D112" s="46" t="s">
        <v>13</v>
      </c>
      <c r="E112" s="46" t="s">
        <v>4204</v>
      </c>
      <c r="F112" s="46" t="s">
        <v>7523</v>
      </c>
      <c r="G112" s="46" t="s">
        <v>7524</v>
      </c>
      <c r="H112" s="46" t="s">
        <v>7525</v>
      </c>
      <c r="I112" s="46" t="s">
        <v>7526</v>
      </c>
      <c r="J112" s="46" t="s">
        <v>1852</v>
      </c>
      <c r="K112" s="153"/>
    </row>
    <row r="113" spans="1:11" x14ac:dyDescent="0.3">
      <c r="A113" s="46" t="s">
        <v>7527</v>
      </c>
      <c r="B113" s="46" t="s">
        <v>7521</v>
      </c>
      <c r="C113" s="46" t="s">
        <v>7528</v>
      </c>
      <c r="D113" s="46" t="s">
        <v>13</v>
      </c>
      <c r="E113" s="46" t="s">
        <v>4204</v>
      </c>
      <c r="F113" s="46" t="s">
        <v>7150</v>
      </c>
      <c r="G113" s="46" t="s">
        <v>7529</v>
      </c>
      <c r="H113" s="46" t="s">
        <v>7530</v>
      </c>
      <c r="I113" s="46" t="s">
        <v>7531</v>
      </c>
      <c r="J113" s="46" t="s">
        <v>1852</v>
      </c>
      <c r="K113" s="153"/>
    </row>
    <row r="114" spans="1:11" x14ac:dyDescent="0.3">
      <c r="A114" s="46" t="s">
        <v>7532</v>
      </c>
      <c r="B114" s="46" t="s">
        <v>7521</v>
      </c>
      <c r="C114" s="46" t="s">
        <v>7533</v>
      </c>
      <c r="D114" s="46" t="s">
        <v>13</v>
      </c>
      <c r="E114" s="46" t="s">
        <v>4204</v>
      </c>
      <c r="F114" s="46" t="s">
        <v>7150</v>
      </c>
      <c r="G114" s="46" t="s">
        <v>7534</v>
      </c>
      <c r="H114" s="46" t="s">
        <v>7535</v>
      </c>
      <c r="I114" s="46" t="s">
        <v>7536</v>
      </c>
      <c r="J114" s="46" t="s">
        <v>1852</v>
      </c>
      <c r="K114" s="153"/>
    </row>
    <row r="115" spans="1:11" x14ac:dyDescent="0.3">
      <c r="A115" s="46" t="s">
        <v>7537</v>
      </c>
      <c r="B115" s="46" t="s">
        <v>7521</v>
      </c>
      <c r="C115" s="46" t="s">
        <v>7538</v>
      </c>
      <c r="D115" s="46" t="s">
        <v>13</v>
      </c>
      <c r="E115" s="46" t="s">
        <v>7539</v>
      </c>
      <c r="F115" s="46" t="s">
        <v>7540</v>
      </c>
      <c r="G115" s="46" t="s">
        <v>7541</v>
      </c>
      <c r="H115" s="46" t="s">
        <v>7542</v>
      </c>
      <c r="I115" s="46" t="s">
        <v>7543</v>
      </c>
      <c r="J115" s="46" t="s">
        <v>1868</v>
      </c>
      <c r="K115" s="153"/>
    </row>
    <row r="116" spans="1:11" x14ac:dyDescent="0.3">
      <c r="A116" s="46" t="s">
        <v>7544</v>
      </c>
      <c r="B116" s="46" t="s">
        <v>7521</v>
      </c>
      <c r="C116" s="46" t="s">
        <v>7545</v>
      </c>
      <c r="D116" s="46" t="s">
        <v>13</v>
      </c>
      <c r="E116" s="46" t="s">
        <v>4204</v>
      </c>
      <c r="F116" s="46" t="s">
        <v>7546</v>
      </c>
      <c r="G116" s="46" t="s">
        <v>7547</v>
      </c>
      <c r="H116" s="46" t="s">
        <v>7548</v>
      </c>
      <c r="I116" s="46" t="s">
        <v>7549</v>
      </c>
      <c r="J116" s="46" t="s">
        <v>1852</v>
      </c>
      <c r="K116" s="153"/>
    </row>
    <row r="117" spans="1:11" x14ac:dyDescent="0.3">
      <c r="A117" s="46" t="s">
        <v>7550</v>
      </c>
      <c r="B117" s="46" t="s">
        <v>7521</v>
      </c>
      <c r="C117" s="46" t="s">
        <v>7551</v>
      </c>
      <c r="D117" s="46" t="s">
        <v>13</v>
      </c>
      <c r="E117" s="46" t="s">
        <v>4204</v>
      </c>
      <c r="F117" s="46" t="s">
        <v>7552</v>
      </c>
      <c r="G117" s="46" t="s">
        <v>7553</v>
      </c>
      <c r="H117" s="46" t="s">
        <v>7554</v>
      </c>
      <c r="I117" s="46" t="s">
        <v>7555</v>
      </c>
      <c r="J117" s="46" t="s">
        <v>1852</v>
      </c>
      <c r="K117" s="153"/>
    </row>
    <row r="118" spans="1:11" x14ac:dyDescent="0.3">
      <c r="A118" s="46" t="s">
        <v>7556</v>
      </c>
      <c r="B118" s="46" t="s">
        <v>7521</v>
      </c>
      <c r="C118" s="46" t="s">
        <v>7557</v>
      </c>
      <c r="D118" s="46" t="s">
        <v>13</v>
      </c>
      <c r="E118" s="46" t="s">
        <v>4204</v>
      </c>
      <c r="F118" s="46" t="s">
        <v>7102</v>
      </c>
      <c r="G118" s="46" t="s">
        <v>7558</v>
      </c>
      <c r="H118" s="46" t="s">
        <v>7559</v>
      </c>
      <c r="I118" s="46" t="s">
        <v>7560</v>
      </c>
      <c r="J118" s="46" t="s">
        <v>1868</v>
      </c>
      <c r="K118" s="153"/>
    </row>
    <row r="119" spans="1:11" x14ac:dyDescent="0.3">
      <c r="A119" s="46" t="s">
        <v>7561</v>
      </c>
      <c r="B119" s="46" t="s">
        <v>7521</v>
      </c>
      <c r="C119" s="46" t="s">
        <v>7562</v>
      </c>
      <c r="D119" s="46" t="s">
        <v>13</v>
      </c>
      <c r="E119" s="46" t="s">
        <v>7539</v>
      </c>
      <c r="F119" s="46" t="s">
        <v>7563</v>
      </c>
      <c r="G119" s="46" t="s">
        <v>7564</v>
      </c>
      <c r="H119" s="46" t="s">
        <v>7565</v>
      </c>
      <c r="I119" s="46" t="s">
        <v>7566</v>
      </c>
      <c r="J119" s="46" t="s">
        <v>1868</v>
      </c>
      <c r="K119" s="153"/>
    </row>
    <row r="120" spans="1:11" x14ac:dyDescent="0.3">
      <c r="A120" s="46" t="s">
        <v>7567</v>
      </c>
      <c r="B120" s="46" t="s">
        <v>7521</v>
      </c>
      <c r="C120" s="46" t="s">
        <v>7568</v>
      </c>
      <c r="D120" s="46" t="s">
        <v>13</v>
      </c>
      <c r="E120" s="46" t="s">
        <v>4204</v>
      </c>
      <c r="F120" s="46" t="s">
        <v>7569</v>
      </c>
      <c r="G120" s="46" t="s">
        <v>7570</v>
      </c>
      <c r="H120" s="46" t="s">
        <v>7571</v>
      </c>
      <c r="I120" s="46" t="s">
        <v>7572</v>
      </c>
      <c r="J120" s="46" t="s">
        <v>1852</v>
      </c>
      <c r="K120" s="153"/>
    </row>
    <row r="121" spans="1:11" x14ac:dyDescent="0.3">
      <c r="A121" s="46" t="s">
        <v>7573</v>
      </c>
      <c r="B121" s="46" t="s">
        <v>7521</v>
      </c>
      <c r="C121" s="46" t="s">
        <v>7574</v>
      </c>
      <c r="D121" s="46" t="s">
        <v>13</v>
      </c>
      <c r="E121" s="46" t="s">
        <v>7575</v>
      </c>
      <c r="F121" s="46" t="s">
        <v>7576</v>
      </c>
      <c r="G121" s="46" t="s">
        <v>7577</v>
      </c>
      <c r="H121" s="46" t="s">
        <v>7578</v>
      </c>
      <c r="I121" s="46" t="s">
        <v>7579</v>
      </c>
      <c r="J121" s="46" t="s">
        <v>1868</v>
      </c>
      <c r="K121" s="153"/>
    </row>
    <row r="122" spans="1:11" ht="57.6" x14ac:dyDescent="0.3">
      <c r="A122" s="89" t="s">
        <v>7580</v>
      </c>
      <c r="B122" s="89" t="s">
        <v>7581</v>
      </c>
      <c r="C122" s="89" t="s">
        <v>7582</v>
      </c>
      <c r="D122" s="89" t="s">
        <v>13</v>
      </c>
      <c r="E122" s="89" t="s">
        <v>4804</v>
      </c>
      <c r="F122" s="89" t="s">
        <v>7583</v>
      </c>
      <c r="G122" s="89" t="s">
        <v>7584</v>
      </c>
      <c r="H122" s="89" t="s">
        <v>7585</v>
      </c>
      <c r="I122" s="89" t="s">
        <v>7586</v>
      </c>
      <c r="J122" s="89" t="s">
        <v>1852</v>
      </c>
      <c r="K122" s="154" t="s">
        <v>12851</v>
      </c>
    </row>
    <row r="123" spans="1:11" x14ac:dyDescent="0.3">
      <c r="A123" s="89" t="s">
        <v>7587</v>
      </c>
      <c r="B123" s="89" t="s">
        <v>7581</v>
      </c>
      <c r="C123" s="89" t="s">
        <v>7588</v>
      </c>
      <c r="D123" s="89" t="s">
        <v>10</v>
      </c>
      <c r="E123" s="89" t="s">
        <v>4804</v>
      </c>
      <c r="F123" s="89" t="s">
        <v>7589</v>
      </c>
      <c r="G123" s="89" t="s">
        <v>7180</v>
      </c>
      <c r="H123" s="89" t="s">
        <v>7590</v>
      </c>
      <c r="I123" s="89" t="s">
        <v>7591</v>
      </c>
      <c r="J123" s="89" t="s">
        <v>1852</v>
      </c>
      <c r="K123" s="153"/>
    </row>
    <row r="124" spans="1:11" x14ac:dyDescent="0.3">
      <c r="A124" s="89" t="s">
        <v>7592</v>
      </c>
      <c r="B124" s="89" t="s">
        <v>7581</v>
      </c>
      <c r="C124" s="89" t="s">
        <v>7593</v>
      </c>
      <c r="D124" s="89" t="s">
        <v>13</v>
      </c>
      <c r="E124" s="89" t="s">
        <v>4804</v>
      </c>
      <c r="F124" s="89" t="s">
        <v>7594</v>
      </c>
      <c r="G124" s="89" t="s">
        <v>7595</v>
      </c>
      <c r="H124" s="89" t="s">
        <v>7596</v>
      </c>
      <c r="I124" s="89" t="s">
        <v>14</v>
      </c>
      <c r="J124" s="89" t="s">
        <v>1852</v>
      </c>
      <c r="K124" s="153"/>
    </row>
    <row r="125" spans="1:11" x14ac:dyDescent="0.3">
      <c r="A125" s="89" t="s">
        <v>7597</v>
      </c>
      <c r="B125" s="89" t="s">
        <v>7581</v>
      </c>
      <c r="C125" s="89" t="s">
        <v>7598</v>
      </c>
      <c r="D125" s="89" t="s">
        <v>13</v>
      </c>
      <c r="E125" s="89" t="s">
        <v>5655</v>
      </c>
      <c r="F125" s="89" t="s">
        <v>7599</v>
      </c>
      <c r="G125" s="89" t="s">
        <v>7600</v>
      </c>
      <c r="H125" s="89" t="s">
        <v>7601</v>
      </c>
      <c r="I125" s="89" t="s">
        <v>14</v>
      </c>
      <c r="J125" s="89" t="s">
        <v>1868</v>
      </c>
      <c r="K125" s="153"/>
    </row>
    <row r="126" spans="1:11" x14ac:dyDescent="0.3">
      <c r="A126" s="89" t="s">
        <v>7602</v>
      </c>
      <c r="B126" s="89" t="s">
        <v>7581</v>
      </c>
      <c r="C126" s="89" t="s">
        <v>7603</v>
      </c>
      <c r="D126" s="89" t="s">
        <v>13</v>
      </c>
      <c r="E126" s="89" t="s">
        <v>7604</v>
      </c>
      <c r="F126" s="89" t="s">
        <v>7605</v>
      </c>
      <c r="G126" s="89" t="s">
        <v>7606</v>
      </c>
      <c r="H126" s="89" t="s">
        <v>7607</v>
      </c>
      <c r="I126" s="89" t="s">
        <v>14</v>
      </c>
      <c r="J126" s="89" t="s">
        <v>1868</v>
      </c>
      <c r="K126" s="153"/>
    </row>
    <row r="127" spans="1:11" x14ac:dyDescent="0.3">
      <c r="A127" s="89" t="s">
        <v>7608</v>
      </c>
      <c r="B127" s="89" t="s">
        <v>7581</v>
      </c>
      <c r="C127" s="89" t="s">
        <v>7609</v>
      </c>
      <c r="D127" s="89" t="s">
        <v>13</v>
      </c>
      <c r="E127" s="89" t="s">
        <v>5655</v>
      </c>
      <c r="F127" s="89" t="s">
        <v>7610</v>
      </c>
      <c r="G127" s="89" t="s">
        <v>7611</v>
      </c>
      <c r="H127" s="89" t="s">
        <v>7612</v>
      </c>
      <c r="I127" s="89" t="s">
        <v>14</v>
      </c>
      <c r="J127" s="89" t="s">
        <v>1868</v>
      </c>
      <c r="K127" s="153"/>
    </row>
    <row r="128" spans="1:11" x14ac:dyDescent="0.3">
      <c r="A128" s="89" t="s">
        <v>7613</v>
      </c>
      <c r="B128" s="89" t="s">
        <v>7581</v>
      </c>
      <c r="C128" s="89" t="s">
        <v>7614</v>
      </c>
      <c r="D128" s="89" t="s">
        <v>13</v>
      </c>
      <c r="E128" s="89" t="s">
        <v>7615</v>
      </c>
      <c r="F128" s="89" t="s">
        <v>7616</v>
      </c>
      <c r="G128" s="89" t="s">
        <v>7617</v>
      </c>
      <c r="H128" s="89" t="s">
        <v>7618</v>
      </c>
      <c r="I128" s="89" t="s">
        <v>14</v>
      </c>
      <c r="J128" s="89" t="s">
        <v>1868</v>
      </c>
      <c r="K128" s="153"/>
    </row>
    <row r="129" spans="1:11" x14ac:dyDescent="0.3">
      <c r="A129" s="89" t="s">
        <v>7619</v>
      </c>
      <c r="B129" s="89" t="s">
        <v>7581</v>
      </c>
      <c r="C129" s="89" t="s">
        <v>7620</v>
      </c>
      <c r="D129" s="89" t="s">
        <v>10</v>
      </c>
      <c r="E129" s="89" t="s">
        <v>4804</v>
      </c>
      <c r="F129" s="89" t="s">
        <v>7621</v>
      </c>
      <c r="G129" s="89" t="s">
        <v>7622</v>
      </c>
      <c r="H129" s="89" t="s">
        <v>7623</v>
      </c>
      <c r="I129" s="89" t="s">
        <v>7624</v>
      </c>
      <c r="J129" s="89" t="s">
        <v>1868</v>
      </c>
      <c r="K129" s="153"/>
    </row>
    <row r="130" spans="1:11" x14ac:dyDescent="0.3">
      <c r="A130" s="47" t="s">
        <v>7625</v>
      </c>
      <c r="B130" s="47" t="s">
        <v>7626</v>
      </c>
      <c r="C130" s="47" t="s">
        <v>7627</v>
      </c>
      <c r="D130" s="47" t="s">
        <v>21</v>
      </c>
      <c r="E130" s="47" t="s">
        <v>86</v>
      </c>
      <c r="F130" s="47" t="s">
        <v>7628</v>
      </c>
      <c r="G130" s="47" t="s">
        <v>3466</v>
      </c>
      <c r="H130" s="47" t="s">
        <v>102</v>
      </c>
      <c r="I130" s="47" t="s">
        <v>7629</v>
      </c>
      <c r="J130" s="47" t="s">
        <v>1852</v>
      </c>
      <c r="K130" s="153"/>
    </row>
    <row r="131" spans="1:11" x14ac:dyDescent="0.3">
      <c r="A131" s="47" t="s">
        <v>7630</v>
      </c>
      <c r="B131" s="47" t="s">
        <v>7626</v>
      </c>
      <c r="C131" s="47" t="s">
        <v>7631</v>
      </c>
      <c r="D131" s="47" t="s">
        <v>21</v>
      </c>
      <c r="E131" s="47" t="s">
        <v>7632</v>
      </c>
      <c r="F131" s="47" t="s">
        <v>7633</v>
      </c>
      <c r="G131" s="47" t="s">
        <v>7634</v>
      </c>
      <c r="H131" s="47" t="s">
        <v>7635</v>
      </c>
      <c r="I131" s="47" t="s">
        <v>7636</v>
      </c>
      <c r="J131" s="47" t="s">
        <v>1852</v>
      </c>
      <c r="K131" s="153"/>
    </row>
    <row r="132" spans="1:11" x14ac:dyDescent="0.3">
      <c r="A132" s="47" t="s">
        <v>7637</v>
      </c>
      <c r="B132" s="47" t="s">
        <v>7626</v>
      </c>
      <c r="C132" s="47" t="s">
        <v>7638</v>
      </c>
      <c r="D132" s="47" t="s">
        <v>21</v>
      </c>
      <c r="E132" s="47" t="s">
        <v>106</v>
      </c>
      <c r="F132" s="47" t="s">
        <v>7639</v>
      </c>
      <c r="G132" s="47" t="s">
        <v>7640</v>
      </c>
      <c r="H132" s="47" t="s">
        <v>7641</v>
      </c>
      <c r="I132" s="47" t="s">
        <v>14</v>
      </c>
      <c r="J132" s="47" t="s">
        <v>1868</v>
      </c>
      <c r="K132" s="153"/>
    </row>
    <row r="133" spans="1:11" x14ac:dyDescent="0.3">
      <c r="A133" s="47" t="s">
        <v>7642</v>
      </c>
      <c r="B133" s="47" t="s">
        <v>7626</v>
      </c>
      <c r="C133" s="47" t="s">
        <v>7643</v>
      </c>
      <c r="D133" s="47" t="s">
        <v>21</v>
      </c>
      <c r="E133" s="47" t="s">
        <v>106</v>
      </c>
      <c r="F133" s="47" t="s">
        <v>7644</v>
      </c>
      <c r="G133" s="47" t="s">
        <v>7645</v>
      </c>
      <c r="H133" s="47" t="s">
        <v>7646</v>
      </c>
      <c r="I133" s="47" t="s">
        <v>7572</v>
      </c>
      <c r="J133" s="47" t="s">
        <v>1868</v>
      </c>
      <c r="K133" s="153"/>
    </row>
    <row r="134" spans="1:11" x14ac:dyDescent="0.3">
      <c r="A134" s="47" t="s">
        <v>7647</v>
      </c>
      <c r="B134" s="47" t="s">
        <v>7626</v>
      </c>
      <c r="C134" s="47" t="s">
        <v>7648</v>
      </c>
      <c r="D134" s="47" t="s">
        <v>21</v>
      </c>
      <c r="E134" s="47" t="s">
        <v>152</v>
      </c>
      <c r="F134" s="47" t="s">
        <v>7649</v>
      </c>
      <c r="G134" s="47" t="s">
        <v>7650</v>
      </c>
      <c r="H134" s="47" t="s">
        <v>7651</v>
      </c>
      <c r="I134" s="47" t="s">
        <v>5815</v>
      </c>
      <c r="J134" s="47" t="s">
        <v>1852</v>
      </c>
      <c r="K134" s="153"/>
    </row>
    <row r="135" spans="1:11" x14ac:dyDescent="0.3">
      <c r="A135" s="47" t="s">
        <v>7652</v>
      </c>
      <c r="B135" s="47" t="s">
        <v>7626</v>
      </c>
      <c r="C135" s="47" t="s">
        <v>7653</v>
      </c>
      <c r="D135" s="47" t="s">
        <v>21</v>
      </c>
      <c r="E135" s="47" t="s">
        <v>152</v>
      </c>
      <c r="F135" s="47" t="s">
        <v>7654</v>
      </c>
      <c r="G135" s="47" t="s">
        <v>7655</v>
      </c>
      <c r="H135" s="47" t="s">
        <v>7656</v>
      </c>
      <c r="I135" s="47" t="s">
        <v>7657</v>
      </c>
      <c r="J135" s="47" t="s">
        <v>1852</v>
      </c>
      <c r="K135" s="153"/>
    </row>
    <row r="136" spans="1:11" x14ac:dyDescent="0.3">
      <c r="A136" s="47" t="s">
        <v>7658</v>
      </c>
      <c r="B136" s="47" t="s">
        <v>7626</v>
      </c>
      <c r="C136" s="47" t="s">
        <v>7659</v>
      </c>
      <c r="D136" s="47" t="s">
        <v>21</v>
      </c>
      <c r="E136" s="47" t="s">
        <v>694</v>
      </c>
      <c r="F136" s="47" t="s">
        <v>7660</v>
      </c>
      <c r="G136" s="47" t="s">
        <v>7661</v>
      </c>
      <c r="H136" s="47" t="s">
        <v>7343</v>
      </c>
      <c r="I136" s="47" t="s">
        <v>7662</v>
      </c>
      <c r="J136" s="47" t="s">
        <v>1852</v>
      </c>
      <c r="K136" s="153"/>
    </row>
    <row r="137" spans="1:11" x14ac:dyDescent="0.3">
      <c r="A137" s="47" t="s">
        <v>7663</v>
      </c>
      <c r="B137" s="47" t="s">
        <v>7626</v>
      </c>
      <c r="C137" s="47" t="s">
        <v>7664</v>
      </c>
      <c r="D137" s="47" t="s">
        <v>21</v>
      </c>
      <c r="E137" s="47" t="s">
        <v>134</v>
      </c>
      <c r="F137" s="47" t="s">
        <v>7665</v>
      </c>
      <c r="G137" s="47" t="s">
        <v>4310</v>
      </c>
      <c r="H137" s="47" t="s">
        <v>7666</v>
      </c>
      <c r="I137" s="47" t="s">
        <v>7667</v>
      </c>
      <c r="J137" s="47" t="s">
        <v>1852</v>
      </c>
      <c r="K137" s="153"/>
    </row>
    <row r="138" spans="1:11" x14ac:dyDescent="0.3">
      <c r="A138" s="47" t="s">
        <v>7668</v>
      </c>
      <c r="B138" s="47" t="s">
        <v>7626</v>
      </c>
      <c r="C138" s="47" t="s">
        <v>7669</v>
      </c>
      <c r="D138" s="47" t="s">
        <v>21</v>
      </c>
      <c r="E138" s="47" t="s">
        <v>134</v>
      </c>
      <c r="F138" s="47" t="s">
        <v>7670</v>
      </c>
      <c r="G138" s="47" t="s">
        <v>4315</v>
      </c>
      <c r="H138" s="47" t="s">
        <v>7671</v>
      </c>
      <c r="I138" s="47" t="s">
        <v>14</v>
      </c>
      <c r="J138" s="47" t="s">
        <v>1868</v>
      </c>
      <c r="K138" s="153"/>
    </row>
    <row r="139" spans="1:11" x14ac:dyDescent="0.3">
      <c r="A139" s="47" t="s">
        <v>7672</v>
      </c>
      <c r="B139" s="47" t="s">
        <v>7626</v>
      </c>
      <c r="C139" s="47" t="s">
        <v>7673</v>
      </c>
      <c r="D139" s="47" t="s">
        <v>21</v>
      </c>
      <c r="E139" s="47" t="s">
        <v>7674</v>
      </c>
      <c r="F139" s="47" t="s">
        <v>7675</v>
      </c>
      <c r="G139" s="47" t="s">
        <v>7676</v>
      </c>
      <c r="H139" s="47" t="s">
        <v>7677</v>
      </c>
      <c r="I139" s="47" t="s">
        <v>14</v>
      </c>
      <c r="J139" s="47" t="s">
        <v>1868</v>
      </c>
      <c r="K139" s="153"/>
    </row>
    <row r="140" spans="1:11" x14ac:dyDescent="0.3">
      <c r="A140" s="47" t="s">
        <v>7678</v>
      </c>
      <c r="B140" s="47" t="s">
        <v>7626</v>
      </c>
      <c r="C140" s="47" t="s">
        <v>7679</v>
      </c>
      <c r="D140" s="47" t="s">
        <v>21</v>
      </c>
      <c r="E140" s="47" t="s">
        <v>122</v>
      </c>
      <c r="F140" s="47" t="s">
        <v>7680</v>
      </c>
      <c r="G140" s="47" t="s">
        <v>7681</v>
      </c>
      <c r="H140" s="47" t="s">
        <v>5793</v>
      </c>
      <c r="I140" s="47" t="s">
        <v>14</v>
      </c>
      <c r="J140" s="47" t="s">
        <v>1868</v>
      </c>
      <c r="K140" s="153"/>
    </row>
    <row r="141" spans="1:11" x14ac:dyDescent="0.3">
      <c r="A141" s="47" t="s">
        <v>7682</v>
      </c>
      <c r="B141" s="47" t="s">
        <v>7626</v>
      </c>
      <c r="C141" s="47" t="s">
        <v>7683</v>
      </c>
      <c r="D141" s="47" t="s">
        <v>21</v>
      </c>
      <c r="E141" s="47" t="s">
        <v>122</v>
      </c>
      <c r="F141" s="47" t="s">
        <v>7684</v>
      </c>
      <c r="G141" s="47" t="s">
        <v>7685</v>
      </c>
      <c r="H141" s="47" t="s">
        <v>7686</v>
      </c>
      <c r="I141" s="47" t="s">
        <v>14</v>
      </c>
      <c r="J141" s="47" t="s">
        <v>1868</v>
      </c>
      <c r="K141" s="153"/>
    </row>
    <row r="142" spans="1:11" x14ac:dyDescent="0.3">
      <c r="A142" s="47" t="s">
        <v>7687</v>
      </c>
      <c r="B142" s="47" t="s">
        <v>7626</v>
      </c>
      <c r="C142" s="47" t="s">
        <v>7688</v>
      </c>
      <c r="D142" s="47" t="s">
        <v>21</v>
      </c>
      <c r="E142" s="47" t="s">
        <v>176</v>
      </c>
      <c r="F142" s="47" t="s">
        <v>7689</v>
      </c>
      <c r="G142" s="47" t="s">
        <v>7035</v>
      </c>
      <c r="H142" s="47" t="s">
        <v>7690</v>
      </c>
      <c r="I142" s="47" t="s">
        <v>14</v>
      </c>
      <c r="J142" s="47" t="s">
        <v>1868</v>
      </c>
      <c r="K142" s="153"/>
    </row>
    <row r="143" spans="1:11" x14ac:dyDescent="0.3">
      <c r="A143" s="47" t="s">
        <v>7691</v>
      </c>
      <c r="B143" s="47" t="s">
        <v>7626</v>
      </c>
      <c r="C143" s="47" t="s">
        <v>7692</v>
      </c>
      <c r="D143" s="47" t="s">
        <v>21</v>
      </c>
      <c r="E143" s="47" t="s">
        <v>176</v>
      </c>
      <c r="F143" s="47" t="s">
        <v>7693</v>
      </c>
      <c r="G143" s="47" t="s">
        <v>7035</v>
      </c>
      <c r="H143" s="47" t="s">
        <v>12950</v>
      </c>
      <c r="I143" s="47" t="s">
        <v>7694</v>
      </c>
      <c r="J143" s="47" t="s">
        <v>1868</v>
      </c>
      <c r="K143" s="156"/>
    </row>
    <row r="144" spans="1:11" x14ac:dyDescent="0.3">
      <c r="A144" s="47" t="s">
        <v>7695</v>
      </c>
      <c r="B144" s="47" t="s">
        <v>7626</v>
      </c>
      <c r="C144" s="47" t="s">
        <v>7696</v>
      </c>
      <c r="D144" s="47" t="s">
        <v>21</v>
      </c>
      <c r="E144" s="47" t="s">
        <v>152</v>
      </c>
      <c r="F144" s="47" t="s">
        <v>7697</v>
      </c>
      <c r="G144" s="47" t="s">
        <v>7035</v>
      </c>
      <c r="H144" s="47" t="s">
        <v>7698</v>
      </c>
      <c r="I144" s="47" t="s">
        <v>14</v>
      </c>
      <c r="J144" s="47" t="s">
        <v>1852</v>
      </c>
      <c r="K144" s="153"/>
    </row>
    <row r="145" spans="1:11" x14ac:dyDescent="0.3">
      <c r="A145" s="47" t="s">
        <v>7699</v>
      </c>
      <c r="B145" s="47" t="s">
        <v>7626</v>
      </c>
      <c r="C145" s="47" t="s">
        <v>7700</v>
      </c>
      <c r="D145" s="47" t="s">
        <v>21</v>
      </c>
      <c r="E145" s="47" t="s">
        <v>152</v>
      </c>
      <c r="F145" s="47" t="s">
        <v>7701</v>
      </c>
      <c r="G145" s="47" t="s">
        <v>7035</v>
      </c>
      <c r="H145" s="47" t="s">
        <v>7702</v>
      </c>
      <c r="I145" s="47" t="s">
        <v>14</v>
      </c>
      <c r="J145" s="47" t="s">
        <v>1852</v>
      </c>
      <c r="K145" s="153"/>
    </row>
    <row r="146" spans="1:11" x14ac:dyDescent="0.3">
      <c r="A146" s="47" t="s">
        <v>7703</v>
      </c>
      <c r="B146" s="47" t="s">
        <v>7626</v>
      </c>
      <c r="C146" s="47" t="s">
        <v>7704</v>
      </c>
      <c r="D146" s="47" t="s">
        <v>21</v>
      </c>
      <c r="E146" s="47" t="s">
        <v>7705</v>
      </c>
      <c r="F146" s="47" t="s">
        <v>7706</v>
      </c>
      <c r="G146" s="47" t="s">
        <v>7707</v>
      </c>
      <c r="H146" s="47" t="s">
        <v>7708</v>
      </c>
      <c r="I146" s="47" t="s">
        <v>14</v>
      </c>
      <c r="J146" s="47" t="s">
        <v>1868</v>
      </c>
      <c r="K146" s="153"/>
    </row>
    <row r="147" spans="1:11" x14ac:dyDescent="0.3">
      <c r="A147" s="47" t="s">
        <v>7709</v>
      </c>
      <c r="B147" s="47" t="s">
        <v>7626</v>
      </c>
      <c r="C147" s="47" t="s">
        <v>7710</v>
      </c>
      <c r="D147" s="47" t="s">
        <v>21</v>
      </c>
      <c r="E147" s="47" t="s">
        <v>7711</v>
      </c>
      <c r="F147" s="47" t="s">
        <v>7712</v>
      </c>
      <c r="G147" s="47" t="s">
        <v>7035</v>
      </c>
      <c r="H147" s="47" t="s">
        <v>7713</v>
      </c>
      <c r="I147" s="47" t="s">
        <v>14</v>
      </c>
      <c r="J147" s="47" t="s">
        <v>1868</v>
      </c>
      <c r="K147" s="153"/>
    </row>
    <row r="148" spans="1:11" x14ac:dyDescent="0.3">
      <c r="A148" s="47" t="s">
        <v>7714</v>
      </c>
      <c r="B148" s="47" t="s">
        <v>7626</v>
      </c>
      <c r="C148" s="47" t="s">
        <v>7715</v>
      </c>
      <c r="D148" s="47" t="s">
        <v>21</v>
      </c>
      <c r="E148" s="47" t="s">
        <v>195</v>
      </c>
      <c r="F148" s="47" t="s">
        <v>7716</v>
      </c>
      <c r="G148" s="47" t="s">
        <v>7717</v>
      </c>
      <c r="H148" s="47" t="s">
        <v>7718</v>
      </c>
      <c r="I148" s="47" t="s">
        <v>14</v>
      </c>
      <c r="J148" s="47" t="s">
        <v>1868</v>
      </c>
      <c r="K148" s="153"/>
    </row>
    <row r="149" spans="1:11" x14ac:dyDescent="0.3">
      <c r="A149" s="47" t="s">
        <v>7719</v>
      </c>
      <c r="B149" s="47" t="s">
        <v>7626</v>
      </c>
      <c r="C149" s="47" t="s">
        <v>7720</v>
      </c>
      <c r="D149" s="47" t="s">
        <v>21</v>
      </c>
      <c r="E149" s="47" t="s">
        <v>86</v>
      </c>
      <c r="F149" s="47" t="s">
        <v>7721</v>
      </c>
      <c r="G149" s="47" t="s">
        <v>7722</v>
      </c>
      <c r="H149" s="47" t="s">
        <v>7723</v>
      </c>
      <c r="I149" s="47" t="s">
        <v>14</v>
      </c>
      <c r="J149" s="47" t="s">
        <v>1852</v>
      </c>
      <c r="K149" s="153"/>
    </row>
    <row r="150" spans="1:11" x14ac:dyDescent="0.3">
      <c r="A150" s="47" t="s">
        <v>7724</v>
      </c>
      <c r="B150" s="47" t="s">
        <v>7626</v>
      </c>
      <c r="C150" s="47" t="s">
        <v>7725</v>
      </c>
      <c r="D150" s="47" t="s">
        <v>21</v>
      </c>
      <c r="E150" s="47" t="s">
        <v>134</v>
      </c>
      <c r="F150" s="47" t="s">
        <v>7726</v>
      </c>
      <c r="G150" s="47" t="s">
        <v>7650</v>
      </c>
      <c r="H150" s="47" t="s">
        <v>7727</v>
      </c>
      <c r="I150" s="47" t="s">
        <v>7728</v>
      </c>
      <c r="J150" s="47" t="s">
        <v>1868</v>
      </c>
      <c r="K150" s="153"/>
    </row>
    <row r="151" spans="1:11" x14ac:dyDescent="0.3">
      <c r="A151" s="47" t="s">
        <v>7729</v>
      </c>
      <c r="B151" s="47" t="s">
        <v>7626</v>
      </c>
      <c r="C151" s="47" t="s">
        <v>7730</v>
      </c>
      <c r="D151" s="47" t="s">
        <v>21</v>
      </c>
      <c r="E151" s="47" t="s">
        <v>106</v>
      </c>
      <c r="F151" s="47" t="s">
        <v>7731</v>
      </c>
      <c r="G151" s="47" t="s">
        <v>7732</v>
      </c>
      <c r="H151" s="47" t="s">
        <v>7733</v>
      </c>
      <c r="I151" s="47" t="s">
        <v>14</v>
      </c>
      <c r="J151" s="47" t="s">
        <v>1868</v>
      </c>
      <c r="K151" s="153"/>
    </row>
    <row r="152" spans="1:11" x14ac:dyDescent="0.3">
      <c r="A152" s="47" t="s">
        <v>7734</v>
      </c>
      <c r="B152" s="47" t="s">
        <v>7626</v>
      </c>
      <c r="C152" s="47" t="s">
        <v>7735</v>
      </c>
      <c r="D152" s="47" t="s">
        <v>21</v>
      </c>
      <c r="E152" s="47" t="s">
        <v>176</v>
      </c>
      <c r="F152" s="47" t="s">
        <v>7736</v>
      </c>
      <c r="G152" s="47" t="s">
        <v>7168</v>
      </c>
      <c r="H152" s="47" t="s">
        <v>7737</v>
      </c>
      <c r="I152" s="47" t="s">
        <v>7738</v>
      </c>
      <c r="J152" s="47" t="s">
        <v>1868</v>
      </c>
      <c r="K152" s="153"/>
    </row>
    <row r="153" spans="1:11" x14ac:dyDescent="0.3">
      <c r="A153" s="47" t="s">
        <v>7739</v>
      </c>
      <c r="B153" s="47" t="s">
        <v>7626</v>
      </c>
      <c r="C153" s="47" t="s">
        <v>7740</v>
      </c>
      <c r="D153" s="47" t="s">
        <v>21</v>
      </c>
      <c r="E153" s="47" t="s">
        <v>694</v>
      </c>
      <c r="F153" s="47" t="s">
        <v>7741</v>
      </c>
      <c r="G153" s="47" t="s">
        <v>7742</v>
      </c>
      <c r="H153" s="47" t="s">
        <v>7743</v>
      </c>
      <c r="I153" s="47" t="s">
        <v>7744</v>
      </c>
      <c r="J153" s="47" t="s">
        <v>1868</v>
      </c>
      <c r="K153" s="153"/>
    </row>
    <row r="154" spans="1:11" x14ac:dyDescent="0.3">
      <c r="K154" s="153"/>
    </row>
    <row r="155" spans="1:11" x14ac:dyDescent="0.3">
      <c r="K155" s="153"/>
    </row>
    <row r="156" spans="1:11" ht="18" x14ac:dyDescent="0.35">
      <c r="A156" s="147" t="s">
        <v>7745</v>
      </c>
      <c r="K156" s="153"/>
    </row>
    <row r="157" spans="1:11" x14ac:dyDescent="0.3">
      <c r="K157" s="153"/>
    </row>
    <row r="158" spans="1:11" x14ac:dyDescent="0.3">
      <c r="A158" s="16" t="s">
        <v>5883</v>
      </c>
      <c r="B158">
        <f>COUNTIF(A2:A153,"SIGN-TC-*")</f>
        <v>152</v>
      </c>
      <c r="K158" s="153"/>
    </row>
    <row r="159" spans="1:11" x14ac:dyDescent="0.3">
      <c r="K159" s="153"/>
    </row>
    <row r="160" spans="1:11" x14ac:dyDescent="0.3">
      <c r="A160" s="16" t="s">
        <v>5884</v>
      </c>
      <c r="K160" s="153"/>
    </row>
    <row r="161" spans="1:11" x14ac:dyDescent="0.3">
      <c r="A161" t="s">
        <v>5885</v>
      </c>
      <c r="B161">
        <f>COUNTIF(D2:D153,"P")</f>
        <v>85</v>
      </c>
      <c r="K161" s="153"/>
    </row>
    <row r="162" spans="1:11" x14ac:dyDescent="0.3">
      <c r="A162" t="s">
        <v>5886</v>
      </c>
      <c r="B162">
        <f>COUNTIF(D2:D153,"N")</f>
        <v>43</v>
      </c>
      <c r="K162" s="153"/>
    </row>
    <row r="163" spans="1:11" x14ac:dyDescent="0.3">
      <c r="A163" t="s">
        <v>5887</v>
      </c>
      <c r="B163">
        <f>COUNTIF(D2:D153,"E")</f>
        <v>24</v>
      </c>
      <c r="K163" s="153"/>
    </row>
    <row r="164" spans="1:11" x14ac:dyDescent="0.3">
      <c r="K164" s="153"/>
    </row>
    <row r="165" spans="1:11" x14ac:dyDescent="0.3">
      <c r="A165" s="16" t="s">
        <v>5888</v>
      </c>
      <c r="K165" s="153"/>
    </row>
    <row r="166" spans="1:11" x14ac:dyDescent="0.3">
      <c r="A166" t="s">
        <v>5889</v>
      </c>
      <c r="B166">
        <f>COUNTIF(J2:J153,"P1")</f>
        <v>96</v>
      </c>
      <c r="K166" s="153"/>
    </row>
    <row r="167" spans="1:11" x14ac:dyDescent="0.3">
      <c r="A167" t="s">
        <v>5890</v>
      </c>
      <c r="B167">
        <f>COUNTIF(J2:J153,"P2")</f>
        <v>56</v>
      </c>
      <c r="K167" s="153"/>
    </row>
    <row r="168" spans="1:11" x14ac:dyDescent="0.3">
      <c r="K168" s="153"/>
    </row>
    <row r="169" spans="1:11" x14ac:dyDescent="0.3">
      <c r="A169" s="16" t="s">
        <v>5891</v>
      </c>
      <c r="K169" s="153"/>
    </row>
    <row r="170" spans="1:11" x14ac:dyDescent="0.3">
      <c r="A170" t="s">
        <v>6981</v>
      </c>
      <c r="B170">
        <f>COUNTIF(B2:B153,"1. Sign-Off Creation &amp; Field Validation")</f>
        <v>16</v>
      </c>
      <c r="K170" s="153"/>
    </row>
    <row r="171" spans="1:11" x14ac:dyDescent="0.3">
      <c r="A171" t="s">
        <v>7056</v>
      </c>
      <c r="B171">
        <f>COUNTIF(B2:B153,"2. Sign-Off Status Transitions - Happy Path")</f>
        <v>12</v>
      </c>
      <c r="K171" s="153"/>
    </row>
    <row r="172" spans="1:11" x14ac:dyDescent="0.3">
      <c r="A172" t="s">
        <v>7107</v>
      </c>
      <c r="B172">
        <f>COUNTIF(B2:B153,"3. Sign-Off Status Transitions - Negative")</f>
        <v>12</v>
      </c>
      <c r="K172" s="153"/>
    </row>
    <row r="173" spans="1:11" x14ac:dyDescent="0.3">
      <c r="A173" t="s">
        <v>7172</v>
      </c>
      <c r="B173">
        <f>COUNTIF(B2:B153,"4. Gate Requirements &amp; Release Transitions")</f>
        <v>14</v>
      </c>
      <c r="K173" s="153"/>
    </row>
    <row r="174" spans="1:11" x14ac:dyDescent="0.3">
      <c r="A174" t="s">
        <v>7239</v>
      </c>
      <c r="B174">
        <f>COUNTIF(B2:B153,"5. Sign-Off Locking &amp; Field Immutability")</f>
        <v>12</v>
      </c>
      <c r="K174" s="153"/>
    </row>
    <row r="175" spans="1:11" x14ac:dyDescent="0.3">
      <c r="A175" t="s">
        <v>7304</v>
      </c>
      <c r="B175">
        <f>COUNTIF(B2:B153,"6. Permissions &amp; Role-Based Access")</f>
        <v>14</v>
      </c>
      <c r="K175" s="153"/>
    </row>
    <row r="176" spans="1:11" x14ac:dyDescent="0.3">
      <c r="A176" t="s">
        <v>7371</v>
      </c>
      <c r="B176">
        <f>COUNTIF(B2:B153,"7. Readiness Percentage Integration")</f>
        <v>10</v>
      </c>
      <c r="K176" s="153"/>
    </row>
    <row r="177" spans="1:11" x14ac:dyDescent="0.3">
      <c r="A177" t="s">
        <v>7422</v>
      </c>
      <c r="B177">
        <f>COUNTIF(B2:B153,"8. Cascading &amp; Related Entity Behavior")</f>
        <v>10</v>
      </c>
      <c r="K177" s="153"/>
    </row>
    <row r="178" spans="1:11" x14ac:dyDescent="0.3">
      <c r="A178" t="s">
        <v>7475</v>
      </c>
      <c r="B178">
        <f>COUNTIF(B2:B153,"9. Audit Trail &amp; History")</f>
        <v>10</v>
      </c>
      <c r="K178" s="153"/>
    </row>
    <row r="179" spans="1:11" x14ac:dyDescent="0.3">
      <c r="A179" t="s">
        <v>7521</v>
      </c>
      <c r="B179">
        <f>COUNTIF(B2:B153,"10. Notifications &amp; Alerts")</f>
        <v>10</v>
      </c>
      <c r="K179" s="153"/>
    </row>
    <row r="180" spans="1:11" x14ac:dyDescent="0.3">
      <c r="A180" t="s">
        <v>7581</v>
      </c>
      <c r="B180">
        <f>COUNTIF(B2:B153,"11. Sign-Off Expiry &amp; SLA")</f>
        <v>8</v>
      </c>
      <c r="K180" s="153"/>
    </row>
    <row r="181" spans="1:11" x14ac:dyDescent="0.3">
      <c r="A181" t="s">
        <v>7626</v>
      </c>
      <c r="B181">
        <f>COUNTIF(B2:B153,"12. Sign-Off Edge Cases")</f>
        <v>24</v>
      </c>
      <c r="K181" s="153"/>
    </row>
    <row r="182" spans="1:11" x14ac:dyDescent="0.3">
      <c r="K182" s="153"/>
    </row>
    <row r="183" spans="1:11" x14ac:dyDescent="0.3">
      <c r="A183" s="16" t="s">
        <v>5892</v>
      </c>
      <c r="K183" s="153"/>
    </row>
    <row r="184" spans="1:11" x14ac:dyDescent="0.3">
      <c r="A184" t="s">
        <v>7746</v>
      </c>
      <c r="B184" t="s">
        <v>5893</v>
      </c>
      <c r="K184" s="153"/>
    </row>
    <row r="185" spans="1:11" x14ac:dyDescent="0.3">
      <c r="A185" t="s">
        <v>7747</v>
      </c>
      <c r="B185" t="s">
        <v>5893</v>
      </c>
      <c r="K185" s="153"/>
    </row>
    <row r="186" spans="1:11" x14ac:dyDescent="0.3">
      <c r="A186" t="s">
        <v>7748</v>
      </c>
      <c r="B186" t="s">
        <v>5893</v>
      </c>
      <c r="K186" s="153"/>
    </row>
    <row r="187" spans="1:11" x14ac:dyDescent="0.3">
      <c r="A187" t="s">
        <v>7749</v>
      </c>
      <c r="B187" t="s">
        <v>5893</v>
      </c>
      <c r="K187" s="153"/>
    </row>
    <row r="188" spans="1:11" x14ac:dyDescent="0.3">
      <c r="A188" t="s">
        <v>7750</v>
      </c>
      <c r="B188" t="s">
        <v>5893</v>
      </c>
      <c r="K188" s="153"/>
    </row>
    <row r="189" spans="1:11" x14ac:dyDescent="0.3">
      <c r="A189" t="s">
        <v>7751</v>
      </c>
      <c r="B189" t="s">
        <v>5893</v>
      </c>
      <c r="K189" s="153"/>
    </row>
    <row r="190" spans="1:11" x14ac:dyDescent="0.3">
      <c r="A190" t="s">
        <v>7752</v>
      </c>
      <c r="B190" t="s">
        <v>5893</v>
      </c>
      <c r="K190" s="153"/>
    </row>
    <row r="191" spans="1:11" x14ac:dyDescent="0.3">
      <c r="A191" t="s">
        <v>7753</v>
      </c>
      <c r="B191" t="s">
        <v>5893</v>
      </c>
      <c r="K191" s="153"/>
    </row>
    <row r="192" spans="1:11" x14ac:dyDescent="0.3">
      <c r="A192" t="s">
        <v>7754</v>
      </c>
      <c r="B192" t="s">
        <v>5893</v>
      </c>
      <c r="K192" s="153"/>
    </row>
    <row r="193" spans="1:11" x14ac:dyDescent="0.3">
      <c r="A193" t="s">
        <v>7755</v>
      </c>
      <c r="B193" t="s">
        <v>5893</v>
      </c>
      <c r="K193" s="153"/>
    </row>
    <row r="194" spans="1:11" x14ac:dyDescent="0.3">
      <c r="A194" t="s">
        <v>7756</v>
      </c>
      <c r="B194" t="s">
        <v>5893</v>
      </c>
      <c r="K194" s="153"/>
    </row>
    <row r="195" spans="1:11" x14ac:dyDescent="0.3">
      <c r="A195" t="s">
        <v>7757</v>
      </c>
      <c r="B195" t="s">
        <v>5893</v>
      </c>
      <c r="K195" s="153"/>
    </row>
    <row r="196" spans="1:11" x14ac:dyDescent="0.3">
      <c r="A196" t="s">
        <v>7758</v>
      </c>
      <c r="B196" t="s">
        <v>5893</v>
      </c>
      <c r="K196" s="153"/>
    </row>
    <row r="197" spans="1:11" x14ac:dyDescent="0.3">
      <c r="A197" t="s">
        <v>13579</v>
      </c>
      <c r="B197" t="s">
        <v>5893</v>
      </c>
      <c r="K197" s="153"/>
    </row>
    <row r="198" spans="1:11" x14ac:dyDescent="0.3">
      <c r="A198" t="s">
        <v>7760</v>
      </c>
      <c r="B198" t="s">
        <v>5893</v>
      </c>
      <c r="K198" s="153"/>
    </row>
    <row r="199" spans="1:11" x14ac:dyDescent="0.3">
      <c r="A199" t="s">
        <v>7761</v>
      </c>
      <c r="B199" t="s">
        <v>5893</v>
      </c>
      <c r="K199" s="153"/>
    </row>
    <row r="200" spans="1:11" x14ac:dyDescent="0.3">
      <c r="A200" t="s">
        <v>7762</v>
      </c>
      <c r="B200" t="s">
        <v>5893</v>
      </c>
      <c r="K200" s="153"/>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75F6-5658-4EF1-A13C-77CDD773EA34}">
  <dimension ref="A1:K197"/>
  <sheetViews>
    <sheetView workbookViewId="0">
      <pane ySplit="1" topLeftCell="A59" activePane="bottomLeft" state="frozen"/>
      <selection pane="bottomLeft" activeCell="A89" sqref="A89"/>
    </sheetView>
  </sheetViews>
  <sheetFormatPr defaultRowHeight="14.4" x14ac:dyDescent="0.3"/>
  <cols>
    <col min="1" max="1" width="16.6640625" customWidth="1"/>
    <col min="2" max="2" width="46.33203125" customWidth="1"/>
    <col min="3" max="3" width="55.5546875" customWidth="1"/>
    <col min="4" max="4" width="9.21875" customWidth="1"/>
    <col min="5" max="5" width="22.21875" customWidth="1"/>
    <col min="6" max="9" width="55.5546875" customWidth="1"/>
    <col min="10" max="10" width="14.77734375" customWidth="1"/>
    <col min="11" max="11" width="55.5546875" customWidth="1"/>
  </cols>
  <sheetData>
    <row r="1" spans="1:11" ht="25.05" customHeight="1" x14ac:dyDescent="0.3">
      <c r="A1" s="50" t="s">
        <v>0</v>
      </c>
      <c r="B1" s="50" t="s">
        <v>9</v>
      </c>
      <c r="C1" s="50" t="s">
        <v>1840</v>
      </c>
      <c r="D1" s="50" t="s">
        <v>2</v>
      </c>
      <c r="E1" s="50" t="s">
        <v>1841</v>
      </c>
      <c r="F1" s="50" t="s">
        <v>4</v>
      </c>
      <c r="G1" s="50" t="s">
        <v>1842</v>
      </c>
      <c r="H1" s="50" t="s">
        <v>6</v>
      </c>
      <c r="I1" s="50" t="s">
        <v>3581</v>
      </c>
      <c r="J1" s="50" t="s">
        <v>1131</v>
      </c>
      <c r="K1" s="157" t="s">
        <v>12827</v>
      </c>
    </row>
    <row r="2" spans="1:11" x14ac:dyDescent="0.3">
      <c r="A2" s="46" t="s">
        <v>3582</v>
      </c>
      <c r="B2" s="46" t="s">
        <v>3583</v>
      </c>
      <c r="C2" s="46" t="s">
        <v>3584</v>
      </c>
      <c r="D2" s="46" t="s">
        <v>13</v>
      </c>
      <c r="E2" s="46" t="s">
        <v>3585</v>
      </c>
      <c r="F2" s="46" t="s">
        <v>3586</v>
      </c>
      <c r="G2" s="46" t="s">
        <v>3587</v>
      </c>
      <c r="H2" s="46" t="s">
        <v>3588</v>
      </c>
      <c r="I2" s="46" t="s">
        <v>3589</v>
      </c>
      <c r="J2" s="46" t="s">
        <v>1852</v>
      </c>
      <c r="K2" s="153"/>
    </row>
    <row r="3" spans="1:11" x14ac:dyDescent="0.3">
      <c r="A3" s="46" t="s">
        <v>3590</v>
      </c>
      <c r="B3" s="46" t="s">
        <v>3583</v>
      </c>
      <c r="C3" s="46" t="s">
        <v>3591</v>
      </c>
      <c r="D3" s="46" t="s">
        <v>10</v>
      </c>
      <c r="E3" s="46" t="s">
        <v>14</v>
      </c>
      <c r="F3" s="46" t="s">
        <v>3592</v>
      </c>
      <c r="G3" s="46" t="s">
        <v>3593</v>
      </c>
      <c r="H3" s="46" t="s">
        <v>3594</v>
      </c>
      <c r="I3" s="46" t="s">
        <v>3595</v>
      </c>
      <c r="J3" s="46" t="s">
        <v>1852</v>
      </c>
      <c r="K3" s="155"/>
    </row>
    <row r="4" spans="1:11" x14ac:dyDescent="0.3">
      <c r="A4" s="46" t="s">
        <v>3596</v>
      </c>
      <c r="B4" s="46" t="s">
        <v>3583</v>
      </c>
      <c r="C4" s="46" t="s">
        <v>3597</v>
      </c>
      <c r="D4" s="46" t="s">
        <v>10</v>
      </c>
      <c r="E4" s="46" t="s">
        <v>3598</v>
      </c>
      <c r="F4" s="46" t="s">
        <v>3592</v>
      </c>
      <c r="G4" s="46" t="s">
        <v>3599</v>
      </c>
      <c r="H4" s="46" t="s">
        <v>3600</v>
      </c>
      <c r="I4" s="46" t="s">
        <v>3601</v>
      </c>
      <c r="J4" s="46" t="s">
        <v>1868</v>
      </c>
      <c r="K4" s="153"/>
    </row>
    <row r="5" spans="1:11" x14ac:dyDescent="0.3">
      <c r="A5" s="46" t="s">
        <v>3602</v>
      </c>
      <c r="B5" s="46" t="s">
        <v>3583</v>
      </c>
      <c r="C5" s="46" t="s">
        <v>3603</v>
      </c>
      <c r="D5" s="46" t="s">
        <v>10</v>
      </c>
      <c r="E5" s="46" t="s">
        <v>542</v>
      </c>
      <c r="F5" s="46" t="s">
        <v>3604</v>
      </c>
      <c r="G5" s="46" t="s">
        <v>3605</v>
      </c>
      <c r="H5" s="46" t="s">
        <v>3606</v>
      </c>
      <c r="I5" s="46" t="s">
        <v>3607</v>
      </c>
      <c r="J5" s="46" t="s">
        <v>1852</v>
      </c>
      <c r="K5" s="153"/>
    </row>
    <row r="6" spans="1:11" x14ac:dyDescent="0.3">
      <c r="A6" s="46" t="s">
        <v>3608</v>
      </c>
      <c r="B6" s="46" t="s">
        <v>3583</v>
      </c>
      <c r="C6" s="46" t="s">
        <v>3609</v>
      </c>
      <c r="D6" s="46" t="s">
        <v>10</v>
      </c>
      <c r="E6" s="46" t="s">
        <v>542</v>
      </c>
      <c r="F6" s="46" t="s">
        <v>3604</v>
      </c>
      <c r="G6" s="46" t="s">
        <v>3610</v>
      </c>
      <c r="H6" s="46" t="s">
        <v>3606</v>
      </c>
      <c r="I6" s="46" t="s">
        <v>3607</v>
      </c>
      <c r="J6" s="46" t="s">
        <v>1852</v>
      </c>
      <c r="K6" s="153"/>
    </row>
    <row r="7" spans="1:11" x14ac:dyDescent="0.3">
      <c r="A7" s="46" t="s">
        <v>3611</v>
      </c>
      <c r="B7" s="46" t="s">
        <v>3583</v>
      </c>
      <c r="C7" s="46" t="s">
        <v>3612</v>
      </c>
      <c r="D7" s="46" t="s">
        <v>13</v>
      </c>
      <c r="E7" s="46" t="s">
        <v>542</v>
      </c>
      <c r="F7" s="46" t="s">
        <v>3604</v>
      </c>
      <c r="G7" s="46" t="s">
        <v>3613</v>
      </c>
      <c r="H7" s="46" t="s">
        <v>3614</v>
      </c>
      <c r="I7" s="46" t="s">
        <v>14</v>
      </c>
      <c r="J7" s="46" t="s">
        <v>1868</v>
      </c>
      <c r="K7" s="153"/>
    </row>
    <row r="8" spans="1:11" x14ac:dyDescent="0.3">
      <c r="A8" s="46" t="s">
        <v>3615</v>
      </c>
      <c r="B8" s="46" t="s">
        <v>3583</v>
      </c>
      <c r="C8" s="46" t="s">
        <v>3616</v>
      </c>
      <c r="D8" s="46" t="s">
        <v>13</v>
      </c>
      <c r="E8" s="46" t="s">
        <v>542</v>
      </c>
      <c r="F8" s="46" t="s">
        <v>3604</v>
      </c>
      <c r="G8" s="46" t="s">
        <v>3617</v>
      </c>
      <c r="H8" s="46" t="s">
        <v>3614</v>
      </c>
      <c r="I8" s="46" t="s">
        <v>14</v>
      </c>
      <c r="J8" s="46" t="s">
        <v>1868</v>
      </c>
      <c r="K8" s="153"/>
    </row>
    <row r="9" spans="1:11" x14ac:dyDescent="0.3">
      <c r="A9" s="46" t="s">
        <v>3618</v>
      </c>
      <c r="B9" s="46" t="s">
        <v>3583</v>
      </c>
      <c r="C9" s="46" t="s">
        <v>3619</v>
      </c>
      <c r="D9" s="46" t="s">
        <v>10</v>
      </c>
      <c r="E9" s="46" t="s">
        <v>547</v>
      </c>
      <c r="F9" s="46" t="s">
        <v>3604</v>
      </c>
      <c r="G9" s="46" t="s">
        <v>3620</v>
      </c>
      <c r="H9" s="46" t="s">
        <v>3606</v>
      </c>
      <c r="I9" s="46" t="s">
        <v>3621</v>
      </c>
      <c r="J9" s="46" t="s">
        <v>1852</v>
      </c>
      <c r="K9" s="153"/>
    </row>
    <row r="10" spans="1:11" x14ac:dyDescent="0.3">
      <c r="A10" s="46" t="s">
        <v>3622</v>
      </c>
      <c r="B10" s="46" t="s">
        <v>3583</v>
      </c>
      <c r="C10" s="46" t="s">
        <v>3623</v>
      </c>
      <c r="D10" s="46" t="s">
        <v>10</v>
      </c>
      <c r="E10" s="46" t="s">
        <v>547</v>
      </c>
      <c r="F10" s="46" t="s">
        <v>3604</v>
      </c>
      <c r="G10" s="46" t="s">
        <v>3624</v>
      </c>
      <c r="H10" s="46" t="s">
        <v>3606</v>
      </c>
      <c r="I10" s="46" t="s">
        <v>3621</v>
      </c>
      <c r="J10" s="46" t="s">
        <v>1852</v>
      </c>
      <c r="K10" s="153"/>
    </row>
    <row r="11" spans="1:11" x14ac:dyDescent="0.3">
      <c r="A11" s="46" t="s">
        <v>3625</v>
      </c>
      <c r="B11" s="46" t="s">
        <v>3583</v>
      </c>
      <c r="C11" s="46" t="s">
        <v>3626</v>
      </c>
      <c r="D11" s="46" t="s">
        <v>13</v>
      </c>
      <c r="E11" s="46" t="s">
        <v>547</v>
      </c>
      <c r="F11" s="46" t="s">
        <v>3604</v>
      </c>
      <c r="G11" s="46" t="s">
        <v>3627</v>
      </c>
      <c r="H11" s="46" t="s">
        <v>3614</v>
      </c>
      <c r="I11" s="46" t="s">
        <v>14</v>
      </c>
      <c r="J11" s="46" t="s">
        <v>1868</v>
      </c>
      <c r="K11" s="153"/>
    </row>
    <row r="12" spans="1:11" x14ac:dyDescent="0.3">
      <c r="A12" s="46" t="s">
        <v>3628</v>
      </c>
      <c r="B12" s="46" t="s">
        <v>3583</v>
      </c>
      <c r="C12" s="46" t="s">
        <v>3629</v>
      </c>
      <c r="D12" s="46" t="s">
        <v>13</v>
      </c>
      <c r="E12" s="46" t="s">
        <v>547</v>
      </c>
      <c r="F12" s="46" t="s">
        <v>3604</v>
      </c>
      <c r="G12" s="46" t="s">
        <v>3630</v>
      </c>
      <c r="H12" s="46" t="s">
        <v>3614</v>
      </c>
      <c r="I12" s="46" t="s">
        <v>14</v>
      </c>
      <c r="J12" s="46" t="s">
        <v>1868</v>
      </c>
      <c r="K12" s="153"/>
    </row>
    <row r="13" spans="1:11" x14ac:dyDescent="0.3">
      <c r="A13" s="46" t="s">
        <v>3631</v>
      </c>
      <c r="B13" s="46" t="s">
        <v>3583</v>
      </c>
      <c r="C13" s="46" t="s">
        <v>3632</v>
      </c>
      <c r="D13" s="46" t="s">
        <v>10</v>
      </c>
      <c r="E13" s="46" t="s">
        <v>542</v>
      </c>
      <c r="F13" s="46" t="s">
        <v>3604</v>
      </c>
      <c r="G13" s="46" t="s">
        <v>3633</v>
      </c>
      <c r="H13" s="46" t="s">
        <v>3634</v>
      </c>
      <c r="I13" s="46" t="s">
        <v>3635</v>
      </c>
      <c r="J13" s="46" t="s">
        <v>1868</v>
      </c>
      <c r="K13" s="153"/>
    </row>
    <row r="14" spans="1:11" x14ac:dyDescent="0.3">
      <c r="A14" s="46" t="s">
        <v>3636</v>
      </c>
      <c r="B14" s="46" t="s">
        <v>3583</v>
      </c>
      <c r="C14" s="46" t="s">
        <v>3637</v>
      </c>
      <c r="D14" s="46" t="s">
        <v>10</v>
      </c>
      <c r="E14" s="46" t="s">
        <v>547</v>
      </c>
      <c r="F14" s="46" t="s">
        <v>3604</v>
      </c>
      <c r="G14" s="46" t="s">
        <v>3638</v>
      </c>
      <c r="H14" s="46" t="s">
        <v>3634</v>
      </c>
      <c r="I14" s="46" t="s">
        <v>3639</v>
      </c>
      <c r="J14" s="46" t="s">
        <v>1868</v>
      </c>
      <c r="K14" s="153"/>
    </row>
    <row r="15" spans="1:11" x14ac:dyDescent="0.3">
      <c r="A15" s="46" t="s">
        <v>3640</v>
      </c>
      <c r="B15" s="46" t="s">
        <v>3583</v>
      </c>
      <c r="C15" s="46" t="s">
        <v>3641</v>
      </c>
      <c r="D15" s="46" t="s">
        <v>10</v>
      </c>
      <c r="E15" s="46" t="s">
        <v>542</v>
      </c>
      <c r="F15" s="46" t="s">
        <v>3604</v>
      </c>
      <c r="G15" s="46" t="s">
        <v>3642</v>
      </c>
      <c r="H15" s="46" t="s">
        <v>3643</v>
      </c>
      <c r="I15" s="46" t="s">
        <v>3607</v>
      </c>
      <c r="J15" s="46" t="s">
        <v>1868</v>
      </c>
      <c r="K15" s="153"/>
    </row>
    <row r="16" spans="1:11" x14ac:dyDescent="0.3">
      <c r="A16" s="46" t="s">
        <v>3644</v>
      </c>
      <c r="B16" s="46" t="s">
        <v>3583</v>
      </c>
      <c r="C16" s="46" t="s">
        <v>3645</v>
      </c>
      <c r="D16" s="46" t="s">
        <v>13</v>
      </c>
      <c r="E16" s="46" t="s">
        <v>600</v>
      </c>
      <c r="F16" s="46" t="s">
        <v>3646</v>
      </c>
      <c r="G16" s="46" t="s">
        <v>3647</v>
      </c>
      <c r="H16" s="46" t="s">
        <v>3648</v>
      </c>
      <c r="I16" s="46" t="s">
        <v>3649</v>
      </c>
      <c r="J16" s="46" t="s">
        <v>1852</v>
      </c>
      <c r="K16" s="153"/>
    </row>
    <row r="17" spans="1:11" x14ac:dyDescent="0.3">
      <c r="A17" s="46" t="s">
        <v>3650</v>
      </c>
      <c r="B17" s="46" t="s">
        <v>3583</v>
      </c>
      <c r="C17" s="46" t="s">
        <v>3651</v>
      </c>
      <c r="D17" s="46" t="s">
        <v>13</v>
      </c>
      <c r="E17" s="46" t="s">
        <v>600</v>
      </c>
      <c r="F17" s="46" t="s">
        <v>3652</v>
      </c>
      <c r="G17" s="46" t="s">
        <v>3647</v>
      </c>
      <c r="H17" s="46" t="s">
        <v>3653</v>
      </c>
      <c r="I17" s="46" t="s">
        <v>3654</v>
      </c>
      <c r="J17" s="46" t="s">
        <v>1852</v>
      </c>
      <c r="K17" s="153"/>
    </row>
    <row r="18" spans="1:11" x14ac:dyDescent="0.3">
      <c r="A18" s="46" t="s">
        <v>3655</v>
      </c>
      <c r="B18" s="46" t="s">
        <v>3583</v>
      </c>
      <c r="C18" s="46" t="s">
        <v>3656</v>
      </c>
      <c r="D18" s="46" t="s">
        <v>13</v>
      </c>
      <c r="E18" s="46" t="s">
        <v>600</v>
      </c>
      <c r="F18" s="46" t="s">
        <v>3657</v>
      </c>
      <c r="G18" s="46" t="s">
        <v>3647</v>
      </c>
      <c r="H18" s="46" t="s">
        <v>3658</v>
      </c>
      <c r="I18" s="46" t="s">
        <v>3659</v>
      </c>
      <c r="J18" s="46" t="s">
        <v>1852</v>
      </c>
      <c r="K18" s="153"/>
    </row>
    <row r="19" spans="1:11" x14ac:dyDescent="0.3">
      <c r="A19" s="46" t="s">
        <v>3660</v>
      </c>
      <c r="B19" s="46" t="s">
        <v>3583</v>
      </c>
      <c r="C19" s="46" t="s">
        <v>3661</v>
      </c>
      <c r="D19" s="46" t="s">
        <v>13</v>
      </c>
      <c r="E19" s="46" t="s">
        <v>600</v>
      </c>
      <c r="F19" s="46" t="s">
        <v>3662</v>
      </c>
      <c r="G19" s="46" t="s">
        <v>3647</v>
      </c>
      <c r="H19" s="46" t="s">
        <v>3663</v>
      </c>
      <c r="I19" s="46" t="s">
        <v>3664</v>
      </c>
      <c r="J19" s="46" t="s">
        <v>1852</v>
      </c>
      <c r="K19" s="153"/>
    </row>
    <row r="20" spans="1:11" x14ac:dyDescent="0.3">
      <c r="A20" s="46" t="s">
        <v>3665</v>
      </c>
      <c r="B20" s="46" t="s">
        <v>3583</v>
      </c>
      <c r="C20" s="46" t="s">
        <v>3666</v>
      </c>
      <c r="D20" s="46" t="s">
        <v>10</v>
      </c>
      <c r="E20" s="46" t="s">
        <v>600</v>
      </c>
      <c r="F20" s="46" t="s">
        <v>3667</v>
      </c>
      <c r="G20" s="46" t="s">
        <v>3668</v>
      </c>
      <c r="H20" s="46" t="s">
        <v>3669</v>
      </c>
      <c r="I20" s="46" t="s">
        <v>3670</v>
      </c>
      <c r="J20" s="46" t="s">
        <v>1852</v>
      </c>
      <c r="K20" s="153"/>
    </row>
    <row r="21" spans="1:11" x14ac:dyDescent="0.3">
      <c r="A21" s="89" t="s">
        <v>3671</v>
      </c>
      <c r="B21" s="89" t="s">
        <v>3672</v>
      </c>
      <c r="C21" s="89" t="s">
        <v>3673</v>
      </c>
      <c r="D21" s="89" t="s">
        <v>13</v>
      </c>
      <c r="E21" s="89" t="s">
        <v>3674</v>
      </c>
      <c r="F21" s="89" t="s">
        <v>3675</v>
      </c>
      <c r="G21" s="89" t="s">
        <v>3676</v>
      </c>
      <c r="H21" s="89" t="s">
        <v>3677</v>
      </c>
      <c r="I21" s="89" t="s">
        <v>14</v>
      </c>
      <c r="J21" s="89" t="s">
        <v>1852</v>
      </c>
      <c r="K21" s="153"/>
    </row>
    <row r="22" spans="1:11" x14ac:dyDescent="0.3">
      <c r="A22" s="89" t="s">
        <v>3678</v>
      </c>
      <c r="B22" s="89" t="s">
        <v>3672</v>
      </c>
      <c r="C22" s="89" t="s">
        <v>3679</v>
      </c>
      <c r="D22" s="89" t="s">
        <v>13</v>
      </c>
      <c r="E22" s="89" t="s">
        <v>3674</v>
      </c>
      <c r="F22" s="89" t="s">
        <v>3680</v>
      </c>
      <c r="G22" s="89" t="s">
        <v>3681</v>
      </c>
      <c r="H22" s="89" t="s">
        <v>3682</v>
      </c>
      <c r="I22" s="89" t="s">
        <v>14</v>
      </c>
      <c r="J22" s="89" t="s">
        <v>1852</v>
      </c>
      <c r="K22" s="153"/>
    </row>
    <row r="23" spans="1:11" x14ac:dyDescent="0.3">
      <c r="A23" s="89" t="s">
        <v>3683</v>
      </c>
      <c r="B23" s="89" t="s">
        <v>3672</v>
      </c>
      <c r="C23" s="89" t="s">
        <v>3684</v>
      </c>
      <c r="D23" s="89" t="s">
        <v>13</v>
      </c>
      <c r="E23" s="89" t="s">
        <v>3674</v>
      </c>
      <c r="F23" s="89" t="s">
        <v>3685</v>
      </c>
      <c r="G23" s="89" t="s">
        <v>3686</v>
      </c>
      <c r="H23" s="89" t="s">
        <v>3687</v>
      </c>
      <c r="I23" s="89" t="s">
        <v>3688</v>
      </c>
      <c r="J23" s="89" t="s">
        <v>1852</v>
      </c>
      <c r="K23" s="153"/>
    </row>
    <row r="24" spans="1:11" x14ac:dyDescent="0.3">
      <c r="A24" s="89" t="s">
        <v>3689</v>
      </c>
      <c r="B24" s="89" t="s">
        <v>3672</v>
      </c>
      <c r="C24" s="89" t="s">
        <v>3690</v>
      </c>
      <c r="D24" s="89" t="s">
        <v>13</v>
      </c>
      <c r="E24" s="89" t="s">
        <v>3674</v>
      </c>
      <c r="F24" s="89" t="s">
        <v>3691</v>
      </c>
      <c r="G24" s="89" t="s">
        <v>3692</v>
      </c>
      <c r="H24" s="89" t="s">
        <v>3693</v>
      </c>
      <c r="I24" s="89" t="s">
        <v>3694</v>
      </c>
      <c r="J24" s="89" t="s">
        <v>1868</v>
      </c>
      <c r="K24" s="153"/>
    </row>
    <row r="25" spans="1:11" x14ac:dyDescent="0.3">
      <c r="A25" s="89" t="s">
        <v>3695</v>
      </c>
      <c r="B25" s="89" t="s">
        <v>3672</v>
      </c>
      <c r="C25" s="89" t="s">
        <v>3696</v>
      </c>
      <c r="D25" s="89" t="s">
        <v>13</v>
      </c>
      <c r="E25" s="89" t="s">
        <v>3674</v>
      </c>
      <c r="F25" s="89" t="s">
        <v>3697</v>
      </c>
      <c r="G25" s="89" t="s">
        <v>3698</v>
      </c>
      <c r="H25" s="89" t="s">
        <v>3699</v>
      </c>
      <c r="I25" s="89" t="s">
        <v>3700</v>
      </c>
      <c r="J25" s="89" t="s">
        <v>1852</v>
      </c>
      <c r="K25" s="153"/>
    </row>
    <row r="26" spans="1:11" x14ac:dyDescent="0.3">
      <c r="A26" s="89" t="s">
        <v>3701</v>
      </c>
      <c r="B26" s="89" t="s">
        <v>3672</v>
      </c>
      <c r="C26" s="89" t="s">
        <v>3702</v>
      </c>
      <c r="D26" s="89" t="s">
        <v>13</v>
      </c>
      <c r="E26" s="89" t="s">
        <v>3674</v>
      </c>
      <c r="F26" s="89" t="s">
        <v>3703</v>
      </c>
      <c r="G26" s="89" t="s">
        <v>3704</v>
      </c>
      <c r="H26" s="89" t="s">
        <v>3705</v>
      </c>
      <c r="I26" s="89" t="s">
        <v>3706</v>
      </c>
      <c r="J26" s="89" t="s">
        <v>1868</v>
      </c>
      <c r="K26" s="153"/>
    </row>
    <row r="27" spans="1:11" x14ac:dyDescent="0.3">
      <c r="A27" s="89" t="s">
        <v>3707</v>
      </c>
      <c r="B27" s="89" t="s">
        <v>3672</v>
      </c>
      <c r="C27" s="89" t="s">
        <v>3708</v>
      </c>
      <c r="D27" s="89" t="s">
        <v>13</v>
      </c>
      <c r="E27" s="89" t="s">
        <v>3674</v>
      </c>
      <c r="F27" s="89" t="s">
        <v>3709</v>
      </c>
      <c r="G27" s="89" t="s">
        <v>3710</v>
      </c>
      <c r="H27" s="89" t="s">
        <v>3705</v>
      </c>
      <c r="I27" s="89" t="s">
        <v>3711</v>
      </c>
      <c r="J27" s="89" t="s">
        <v>1868</v>
      </c>
      <c r="K27" s="153"/>
    </row>
    <row r="28" spans="1:11" x14ac:dyDescent="0.3">
      <c r="A28" s="89" t="s">
        <v>3712</v>
      </c>
      <c r="B28" s="89" t="s">
        <v>3672</v>
      </c>
      <c r="C28" s="89" t="s">
        <v>3713</v>
      </c>
      <c r="D28" s="89" t="s">
        <v>13</v>
      </c>
      <c r="E28" s="89" t="s">
        <v>3674</v>
      </c>
      <c r="F28" s="89" t="s">
        <v>3714</v>
      </c>
      <c r="G28" s="89" t="s">
        <v>3715</v>
      </c>
      <c r="H28" s="89" t="s">
        <v>3693</v>
      </c>
      <c r="I28" s="89" t="s">
        <v>14</v>
      </c>
      <c r="J28" s="89" t="s">
        <v>1852</v>
      </c>
      <c r="K28" s="153"/>
    </row>
    <row r="29" spans="1:11" x14ac:dyDescent="0.3">
      <c r="A29" s="89" t="s">
        <v>3716</v>
      </c>
      <c r="B29" s="89" t="s">
        <v>3672</v>
      </c>
      <c r="C29" s="89" t="s">
        <v>3717</v>
      </c>
      <c r="D29" s="89" t="s">
        <v>13</v>
      </c>
      <c r="E29" s="89" t="s">
        <v>3674</v>
      </c>
      <c r="F29" s="89" t="s">
        <v>3718</v>
      </c>
      <c r="G29" s="89" t="s">
        <v>3719</v>
      </c>
      <c r="H29" s="89" t="s">
        <v>3693</v>
      </c>
      <c r="I29" s="89" t="s">
        <v>14</v>
      </c>
      <c r="J29" s="89" t="s">
        <v>1852</v>
      </c>
      <c r="K29" s="153"/>
    </row>
    <row r="30" spans="1:11" x14ac:dyDescent="0.3">
      <c r="A30" s="89" t="s">
        <v>3720</v>
      </c>
      <c r="B30" s="89" t="s">
        <v>3672</v>
      </c>
      <c r="C30" s="89" t="s">
        <v>3721</v>
      </c>
      <c r="D30" s="89" t="s">
        <v>13</v>
      </c>
      <c r="E30" s="89" t="s">
        <v>3674</v>
      </c>
      <c r="F30" s="89" t="s">
        <v>3722</v>
      </c>
      <c r="G30" s="89" t="s">
        <v>3723</v>
      </c>
      <c r="H30" s="89" t="s">
        <v>3705</v>
      </c>
      <c r="I30" s="89" t="s">
        <v>3724</v>
      </c>
      <c r="J30" s="89" t="s">
        <v>1868</v>
      </c>
      <c r="K30" s="153"/>
    </row>
    <row r="31" spans="1:11" x14ac:dyDescent="0.3">
      <c r="A31" s="89" t="s">
        <v>3725</v>
      </c>
      <c r="B31" s="89" t="s">
        <v>3672</v>
      </c>
      <c r="C31" s="89" t="s">
        <v>3726</v>
      </c>
      <c r="D31" s="89" t="s">
        <v>21</v>
      </c>
      <c r="E31" s="89" t="s">
        <v>49</v>
      </c>
      <c r="F31" s="89" t="s">
        <v>3727</v>
      </c>
      <c r="G31" s="89" t="s">
        <v>3728</v>
      </c>
      <c r="H31" s="89" t="s">
        <v>3729</v>
      </c>
      <c r="I31" s="89" t="s">
        <v>3730</v>
      </c>
      <c r="J31" s="89" t="s">
        <v>1852</v>
      </c>
      <c r="K31" s="153"/>
    </row>
    <row r="32" spans="1:11" x14ac:dyDescent="0.3">
      <c r="A32" s="89" t="s">
        <v>3731</v>
      </c>
      <c r="B32" s="89" t="s">
        <v>3672</v>
      </c>
      <c r="C32" s="89" t="s">
        <v>3732</v>
      </c>
      <c r="D32" s="89" t="s">
        <v>13</v>
      </c>
      <c r="E32" s="89" t="s">
        <v>3674</v>
      </c>
      <c r="F32" s="89" t="s">
        <v>3733</v>
      </c>
      <c r="G32" s="89" t="s">
        <v>3734</v>
      </c>
      <c r="H32" s="89" t="s">
        <v>3735</v>
      </c>
      <c r="I32" s="89" t="s">
        <v>3736</v>
      </c>
      <c r="J32" s="89" t="s">
        <v>1852</v>
      </c>
      <c r="K32" s="153"/>
    </row>
    <row r="33" spans="1:11" x14ac:dyDescent="0.3">
      <c r="A33" s="89" t="s">
        <v>3737</v>
      </c>
      <c r="B33" s="89" t="s">
        <v>3672</v>
      </c>
      <c r="C33" s="89" t="s">
        <v>3738</v>
      </c>
      <c r="D33" s="89" t="s">
        <v>13</v>
      </c>
      <c r="E33" s="89" t="s">
        <v>3674</v>
      </c>
      <c r="F33" s="89" t="s">
        <v>3739</v>
      </c>
      <c r="G33" s="89" t="s">
        <v>3740</v>
      </c>
      <c r="H33" s="89" t="s">
        <v>3741</v>
      </c>
      <c r="I33" s="89" t="s">
        <v>3742</v>
      </c>
      <c r="J33" s="89" t="s">
        <v>1868</v>
      </c>
      <c r="K33" s="153"/>
    </row>
    <row r="34" spans="1:11" x14ac:dyDescent="0.3">
      <c r="A34" s="47" t="s">
        <v>3743</v>
      </c>
      <c r="B34" s="47" t="s">
        <v>3744</v>
      </c>
      <c r="C34" s="47" t="s">
        <v>3745</v>
      </c>
      <c r="D34" s="47" t="s">
        <v>10</v>
      </c>
      <c r="E34" s="47" t="s">
        <v>3674</v>
      </c>
      <c r="F34" s="47" t="s">
        <v>3675</v>
      </c>
      <c r="G34" s="47" t="s">
        <v>3746</v>
      </c>
      <c r="H34" s="47" t="s">
        <v>3747</v>
      </c>
      <c r="I34" s="47" t="s">
        <v>3748</v>
      </c>
      <c r="J34" s="47" t="s">
        <v>1852</v>
      </c>
      <c r="K34" s="153"/>
    </row>
    <row r="35" spans="1:11" x14ac:dyDescent="0.3">
      <c r="A35" s="47" t="s">
        <v>3749</v>
      </c>
      <c r="B35" s="47" t="s">
        <v>3744</v>
      </c>
      <c r="C35" s="47" t="s">
        <v>3750</v>
      </c>
      <c r="D35" s="47" t="s">
        <v>10</v>
      </c>
      <c r="E35" s="47" t="s">
        <v>3674</v>
      </c>
      <c r="F35" s="47" t="s">
        <v>3675</v>
      </c>
      <c r="G35" s="47" t="s">
        <v>3751</v>
      </c>
      <c r="H35" s="47" t="s">
        <v>3752</v>
      </c>
      <c r="I35" s="47" t="s">
        <v>3753</v>
      </c>
      <c r="J35" s="47" t="s">
        <v>1852</v>
      </c>
      <c r="K35" s="153"/>
    </row>
    <row r="36" spans="1:11" x14ac:dyDescent="0.3">
      <c r="A36" s="47" t="s">
        <v>3754</v>
      </c>
      <c r="B36" s="47" t="s">
        <v>3744</v>
      </c>
      <c r="C36" s="47" t="s">
        <v>3755</v>
      </c>
      <c r="D36" s="47" t="s">
        <v>10</v>
      </c>
      <c r="E36" s="47" t="s">
        <v>3674</v>
      </c>
      <c r="F36" s="47" t="s">
        <v>3756</v>
      </c>
      <c r="G36" s="47" t="s">
        <v>3746</v>
      </c>
      <c r="H36" s="47" t="s">
        <v>3757</v>
      </c>
      <c r="I36" s="47" t="s">
        <v>3758</v>
      </c>
      <c r="J36" s="47" t="s">
        <v>1852</v>
      </c>
      <c r="K36" s="153"/>
    </row>
    <row r="37" spans="1:11" x14ac:dyDescent="0.3">
      <c r="A37" s="47" t="s">
        <v>3759</v>
      </c>
      <c r="B37" s="47" t="s">
        <v>3744</v>
      </c>
      <c r="C37" s="47" t="s">
        <v>3760</v>
      </c>
      <c r="D37" s="47" t="s">
        <v>10</v>
      </c>
      <c r="E37" s="47" t="s">
        <v>3674</v>
      </c>
      <c r="F37" s="47" t="s">
        <v>3761</v>
      </c>
      <c r="G37" s="47" t="s">
        <v>3762</v>
      </c>
      <c r="H37" s="47" t="s">
        <v>3763</v>
      </c>
      <c r="I37" s="47" t="s">
        <v>3764</v>
      </c>
      <c r="J37" s="47" t="s">
        <v>1852</v>
      </c>
      <c r="K37" s="153"/>
    </row>
    <row r="38" spans="1:11" x14ac:dyDescent="0.3">
      <c r="A38" s="47" t="s">
        <v>3765</v>
      </c>
      <c r="B38" s="47" t="s">
        <v>3744</v>
      </c>
      <c r="C38" s="47" t="s">
        <v>3766</v>
      </c>
      <c r="D38" s="47" t="s">
        <v>10</v>
      </c>
      <c r="E38" s="47" t="s">
        <v>3674</v>
      </c>
      <c r="F38" s="47" t="s">
        <v>3709</v>
      </c>
      <c r="G38" s="47" t="s">
        <v>3767</v>
      </c>
      <c r="H38" s="47" t="s">
        <v>3768</v>
      </c>
      <c r="I38" s="47" t="s">
        <v>3769</v>
      </c>
      <c r="J38" s="47" t="s">
        <v>1868</v>
      </c>
      <c r="K38" s="153"/>
    </row>
    <row r="39" spans="1:11" x14ac:dyDescent="0.3">
      <c r="A39" s="47" t="s">
        <v>3770</v>
      </c>
      <c r="B39" s="47" t="s">
        <v>3744</v>
      </c>
      <c r="C39" s="47" t="s">
        <v>3771</v>
      </c>
      <c r="D39" s="47" t="s">
        <v>10</v>
      </c>
      <c r="E39" s="47" t="s">
        <v>3674</v>
      </c>
      <c r="F39" s="47" t="s">
        <v>3718</v>
      </c>
      <c r="G39" s="47" t="s">
        <v>3772</v>
      </c>
      <c r="H39" s="47" t="s">
        <v>3773</v>
      </c>
      <c r="I39" s="47" t="s">
        <v>3774</v>
      </c>
      <c r="J39" s="47" t="s">
        <v>1868</v>
      </c>
      <c r="K39" s="153"/>
    </row>
    <row r="40" spans="1:11" x14ac:dyDescent="0.3">
      <c r="A40" s="47" t="s">
        <v>3775</v>
      </c>
      <c r="B40" s="47" t="s">
        <v>3744</v>
      </c>
      <c r="C40" s="47" t="s">
        <v>3776</v>
      </c>
      <c r="D40" s="47" t="s">
        <v>10</v>
      </c>
      <c r="E40" s="47" t="s">
        <v>37</v>
      </c>
      <c r="F40" s="47" t="s">
        <v>3777</v>
      </c>
      <c r="G40" s="47" t="s">
        <v>3778</v>
      </c>
      <c r="H40" s="47" t="s">
        <v>13755</v>
      </c>
      <c r="I40" s="47" t="s">
        <v>3779</v>
      </c>
      <c r="J40" s="47" t="s">
        <v>1852</v>
      </c>
      <c r="K40" s="153"/>
    </row>
    <row r="41" spans="1:11" x14ac:dyDescent="0.3">
      <c r="A41" s="47" t="s">
        <v>3780</v>
      </c>
      <c r="B41" s="47" t="s">
        <v>3744</v>
      </c>
      <c r="C41" s="47" t="s">
        <v>3781</v>
      </c>
      <c r="D41" s="47" t="s">
        <v>10</v>
      </c>
      <c r="E41" s="47" t="s">
        <v>3674</v>
      </c>
      <c r="F41" s="47" t="s">
        <v>3782</v>
      </c>
      <c r="G41" s="47" t="s">
        <v>3783</v>
      </c>
      <c r="H41" s="47" t="s">
        <v>3784</v>
      </c>
      <c r="I41" s="47" t="s">
        <v>3785</v>
      </c>
      <c r="J41" s="47" t="s">
        <v>1852</v>
      </c>
      <c r="K41" s="153"/>
    </row>
    <row r="42" spans="1:11" x14ac:dyDescent="0.3">
      <c r="A42" s="47" t="s">
        <v>3786</v>
      </c>
      <c r="B42" s="47" t="s">
        <v>3744</v>
      </c>
      <c r="C42" s="47" t="s">
        <v>3787</v>
      </c>
      <c r="D42" s="47" t="s">
        <v>10</v>
      </c>
      <c r="E42" s="47" t="s">
        <v>3674</v>
      </c>
      <c r="F42" s="47" t="s">
        <v>3788</v>
      </c>
      <c r="G42" s="47" t="s">
        <v>3789</v>
      </c>
      <c r="H42" s="47" t="s">
        <v>3790</v>
      </c>
      <c r="I42" s="47" t="s">
        <v>3791</v>
      </c>
      <c r="J42" s="47" t="s">
        <v>1852</v>
      </c>
      <c r="K42" s="153"/>
    </row>
    <row r="43" spans="1:11" x14ac:dyDescent="0.3">
      <c r="A43" s="47" t="s">
        <v>3792</v>
      </c>
      <c r="B43" s="47" t="s">
        <v>3744</v>
      </c>
      <c r="C43" s="47" t="s">
        <v>3793</v>
      </c>
      <c r="D43" s="47" t="s">
        <v>10</v>
      </c>
      <c r="E43" s="47" t="s">
        <v>14</v>
      </c>
      <c r="F43" s="47" t="s">
        <v>3794</v>
      </c>
      <c r="G43" s="47" t="s">
        <v>3795</v>
      </c>
      <c r="H43" s="47" t="s">
        <v>3796</v>
      </c>
      <c r="I43" s="47" t="s">
        <v>3797</v>
      </c>
      <c r="J43" s="47" t="s">
        <v>1852</v>
      </c>
      <c r="K43" s="154"/>
    </row>
    <row r="44" spans="1:11" x14ac:dyDescent="0.3">
      <c r="A44" s="47" t="s">
        <v>3798</v>
      </c>
      <c r="B44" s="47" t="s">
        <v>3744</v>
      </c>
      <c r="C44" s="47" t="s">
        <v>3799</v>
      </c>
      <c r="D44" s="47" t="s">
        <v>10</v>
      </c>
      <c r="E44" s="47" t="s">
        <v>3674</v>
      </c>
      <c r="F44" s="47" t="s">
        <v>3800</v>
      </c>
      <c r="G44" s="47" t="s">
        <v>3801</v>
      </c>
      <c r="H44" s="47" t="s">
        <v>3802</v>
      </c>
      <c r="I44" s="47" t="s">
        <v>3803</v>
      </c>
      <c r="J44" s="47" t="s">
        <v>1868</v>
      </c>
      <c r="K44" s="153"/>
    </row>
    <row r="45" spans="1:11" x14ac:dyDescent="0.3">
      <c r="A45" s="47" t="s">
        <v>3804</v>
      </c>
      <c r="B45" s="47" t="s">
        <v>3744</v>
      </c>
      <c r="C45" s="47" t="s">
        <v>3805</v>
      </c>
      <c r="D45" s="47" t="s">
        <v>10</v>
      </c>
      <c r="E45" s="47" t="s">
        <v>542</v>
      </c>
      <c r="F45" s="47" t="s">
        <v>3806</v>
      </c>
      <c r="G45" s="47" t="s">
        <v>3807</v>
      </c>
      <c r="H45" s="47" t="s">
        <v>3808</v>
      </c>
      <c r="I45" s="47" t="s">
        <v>3809</v>
      </c>
      <c r="J45" s="47" t="s">
        <v>1852</v>
      </c>
      <c r="K45" s="153"/>
    </row>
    <row r="46" spans="1:11" x14ac:dyDescent="0.3">
      <c r="A46" s="47" t="s">
        <v>3810</v>
      </c>
      <c r="B46" s="47" t="s">
        <v>3744</v>
      </c>
      <c r="C46" s="47" t="s">
        <v>3811</v>
      </c>
      <c r="D46" s="47" t="s">
        <v>10</v>
      </c>
      <c r="E46" s="47" t="s">
        <v>547</v>
      </c>
      <c r="F46" s="47" t="s">
        <v>3812</v>
      </c>
      <c r="G46" s="47" t="s">
        <v>3807</v>
      </c>
      <c r="H46" s="47" t="s">
        <v>3813</v>
      </c>
      <c r="I46" s="47" t="s">
        <v>3814</v>
      </c>
      <c r="J46" s="47" t="s">
        <v>1852</v>
      </c>
      <c r="K46" s="153"/>
    </row>
    <row r="47" spans="1:11" x14ac:dyDescent="0.3">
      <c r="A47" s="40" t="s">
        <v>3815</v>
      </c>
      <c r="B47" s="40" t="s">
        <v>3816</v>
      </c>
      <c r="C47" s="40" t="s">
        <v>3817</v>
      </c>
      <c r="D47" s="40" t="s">
        <v>13</v>
      </c>
      <c r="E47" s="40" t="s">
        <v>600</v>
      </c>
      <c r="F47" s="40" t="s">
        <v>3818</v>
      </c>
      <c r="G47" s="40" t="s">
        <v>3647</v>
      </c>
      <c r="H47" s="40" t="s">
        <v>3819</v>
      </c>
      <c r="I47" s="40" t="s">
        <v>14</v>
      </c>
      <c r="J47" s="40" t="s">
        <v>1852</v>
      </c>
      <c r="K47" s="153"/>
    </row>
    <row r="48" spans="1:11" x14ac:dyDescent="0.3">
      <c r="A48" s="40" t="s">
        <v>3820</v>
      </c>
      <c r="B48" s="40" t="s">
        <v>3816</v>
      </c>
      <c r="C48" s="40" t="s">
        <v>3821</v>
      </c>
      <c r="D48" s="40" t="s">
        <v>13</v>
      </c>
      <c r="E48" s="40" t="s">
        <v>600</v>
      </c>
      <c r="F48" s="40" t="s">
        <v>3822</v>
      </c>
      <c r="G48" s="40" t="s">
        <v>3647</v>
      </c>
      <c r="H48" s="40" t="s">
        <v>3823</v>
      </c>
      <c r="I48" s="40" t="s">
        <v>14</v>
      </c>
      <c r="J48" s="40" t="s">
        <v>1868</v>
      </c>
      <c r="K48" s="153"/>
    </row>
    <row r="49" spans="1:11" x14ac:dyDescent="0.3">
      <c r="A49" s="40" t="s">
        <v>3824</v>
      </c>
      <c r="B49" s="40" t="s">
        <v>3816</v>
      </c>
      <c r="C49" s="40" t="s">
        <v>3825</v>
      </c>
      <c r="D49" s="40" t="s">
        <v>13</v>
      </c>
      <c r="E49" s="40" t="s">
        <v>600</v>
      </c>
      <c r="F49" s="40" t="s">
        <v>3826</v>
      </c>
      <c r="G49" s="40" t="s">
        <v>3647</v>
      </c>
      <c r="H49" s="40" t="s">
        <v>3827</v>
      </c>
      <c r="I49" s="40" t="s">
        <v>14</v>
      </c>
      <c r="J49" s="40" t="s">
        <v>1868</v>
      </c>
      <c r="K49" s="153"/>
    </row>
    <row r="50" spans="1:11" x14ac:dyDescent="0.3">
      <c r="A50" s="40" t="s">
        <v>3828</v>
      </c>
      <c r="B50" s="40" t="s">
        <v>3816</v>
      </c>
      <c r="C50" s="40" t="s">
        <v>3829</v>
      </c>
      <c r="D50" s="40" t="s">
        <v>13</v>
      </c>
      <c r="E50" s="40" t="s">
        <v>600</v>
      </c>
      <c r="F50" s="40" t="s">
        <v>3830</v>
      </c>
      <c r="G50" s="40" t="s">
        <v>3647</v>
      </c>
      <c r="H50" s="40" t="s">
        <v>3831</v>
      </c>
      <c r="I50" s="40" t="s">
        <v>14</v>
      </c>
      <c r="J50" s="40" t="s">
        <v>1852</v>
      </c>
      <c r="K50" s="153"/>
    </row>
    <row r="51" spans="1:11" x14ac:dyDescent="0.3">
      <c r="A51" s="40" t="s">
        <v>3832</v>
      </c>
      <c r="B51" s="40" t="s">
        <v>3816</v>
      </c>
      <c r="C51" s="40" t="s">
        <v>3833</v>
      </c>
      <c r="D51" s="40" t="s">
        <v>13</v>
      </c>
      <c r="E51" s="40" t="s">
        <v>600</v>
      </c>
      <c r="F51" s="40" t="s">
        <v>3834</v>
      </c>
      <c r="G51" s="40" t="s">
        <v>3647</v>
      </c>
      <c r="H51" s="40" t="s">
        <v>3653</v>
      </c>
      <c r="I51" s="40" t="s">
        <v>14</v>
      </c>
      <c r="J51" s="40" t="s">
        <v>1868</v>
      </c>
      <c r="K51" s="153"/>
    </row>
    <row r="52" spans="1:11" x14ac:dyDescent="0.3">
      <c r="A52" s="40" t="s">
        <v>3835</v>
      </c>
      <c r="B52" s="40" t="s">
        <v>3816</v>
      </c>
      <c r="C52" s="40" t="s">
        <v>3836</v>
      </c>
      <c r="D52" s="40" t="s">
        <v>13</v>
      </c>
      <c r="E52" s="40" t="s">
        <v>600</v>
      </c>
      <c r="F52" s="40" t="s">
        <v>3837</v>
      </c>
      <c r="G52" s="40" t="s">
        <v>3647</v>
      </c>
      <c r="H52" s="40" t="s">
        <v>3838</v>
      </c>
      <c r="I52" s="40" t="s">
        <v>14</v>
      </c>
      <c r="J52" s="40" t="s">
        <v>1852</v>
      </c>
      <c r="K52" s="153"/>
    </row>
    <row r="53" spans="1:11" x14ac:dyDescent="0.3">
      <c r="A53" s="40" t="s">
        <v>3839</v>
      </c>
      <c r="B53" s="40" t="s">
        <v>3816</v>
      </c>
      <c r="C53" s="40" t="s">
        <v>3840</v>
      </c>
      <c r="D53" s="40" t="s">
        <v>13</v>
      </c>
      <c r="E53" s="40" t="s">
        <v>600</v>
      </c>
      <c r="F53" s="40" t="s">
        <v>3841</v>
      </c>
      <c r="G53" s="40" t="s">
        <v>3647</v>
      </c>
      <c r="H53" s="40" t="s">
        <v>3658</v>
      </c>
      <c r="I53" s="40" t="s">
        <v>14</v>
      </c>
      <c r="J53" s="40" t="s">
        <v>1868</v>
      </c>
      <c r="K53" s="153"/>
    </row>
    <row r="54" spans="1:11" x14ac:dyDescent="0.3">
      <c r="A54" s="40" t="s">
        <v>3842</v>
      </c>
      <c r="B54" s="40" t="s">
        <v>3816</v>
      </c>
      <c r="C54" s="40" t="s">
        <v>3843</v>
      </c>
      <c r="D54" s="40" t="s">
        <v>13</v>
      </c>
      <c r="E54" s="40" t="s">
        <v>600</v>
      </c>
      <c r="F54" s="40" t="s">
        <v>3844</v>
      </c>
      <c r="G54" s="40" t="s">
        <v>3647</v>
      </c>
      <c r="H54" s="40" t="s">
        <v>3845</v>
      </c>
      <c r="I54" s="40" t="s">
        <v>14</v>
      </c>
      <c r="J54" s="40" t="s">
        <v>1852</v>
      </c>
      <c r="K54" s="153"/>
    </row>
    <row r="55" spans="1:11" x14ac:dyDescent="0.3">
      <c r="A55" s="40" t="s">
        <v>3846</v>
      </c>
      <c r="B55" s="40" t="s">
        <v>3816</v>
      </c>
      <c r="C55" s="40" t="s">
        <v>3847</v>
      </c>
      <c r="D55" s="40" t="s">
        <v>13</v>
      </c>
      <c r="E55" s="40" t="s">
        <v>600</v>
      </c>
      <c r="F55" s="40" t="s">
        <v>3848</v>
      </c>
      <c r="G55" s="40" t="s">
        <v>3647</v>
      </c>
      <c r="H55" s="40" t="s">
        <v>3663</v>
      </c>
      <c r="I55" s="40" t="s">
        <v>14</v>
      </c>
      <c r="J55" s="40" t="s">
        <v>1852</v>
      </c>
      <c r="K55" s="153"/>
    </row>
    <row r="56" spans="1:11" x14ac:dyDescent="0.3">
      <c r="A56" s="40" t="s">
        <v>3849</v>
      </c>
      <c r="B56" s="40" t="s">
        <v>3816</v>
      </c>
      <c r="C56" s="40" t="s">
        <v>3666</v>
      </c>
      <c r="D56" s="40" t="s">
        <v>10</v>
      </c>
      <c r="E56" s="40" t="s">
        <v>600</v>
      </c>
      <c r="F56" s="40" t="s">
        <v>3850</v>
      </c>
      <c r="G56" s="40" t="s">
        <v>3851</v>
      </c>
      <c r="H56" s="40" t="s">
        <v>3852</v>
      </c>
      <c r="I56" s="40" t="s">
        <v>3853</v>
      </c>
      <c r="J56" s="40" t="s">
        <v>1852</v>
      </c>
      <c r="K56" s="153"/>
    </row>
    <row r="57" spans="1:11" x14ac:dyDescent="0.3">
      <c r="A57" s="40" t="s">
        <v>3854</v>
      </c>
      <c r="B57" s="40" t="s">
        <v>3816</v>
      </c>
      <c r="C57" s="40" t="s">
        <v>3855</v>
      </c>
      <c r="D57" s="40" t="s">
        <v>13</v>
      </c>
      <c r="E57" s="40" t="s">
        <v>600</v>
      </c>
      <c r="F57" s="40" t="s">
        <v>3856</v>
      </c>
      <c r="G57" s="40" t="s">
        <v>3857</v>
      </c>
      <c r="H57" s="40" t="s">
        <v>3858</v>
      </c>
      <c r="I57" s="40" t="s">
        <v>14</v>
      </c>
      <c r="J57" s="40" t="s">
        <v>1852</v>
      </c>
      <c r="K57" s="153"/>
    </row>
    <row r="58" spans="1:11" x14ac:dyDescent="0.3">
      <c r="A58" s="40" t="s">
        <v>3859</v>
      </c>
      <c r="B58" s="40" t="s">
        <v>3816</v>
      </c>
      <c r="C58" s="40" t="s">
        <v>3860</v>
      </c>
      <c r="D58" s="40" t="s">
        <v>13</v>
      </c>
      <c r="E58" s="40" t="s">
        <v>600</v>
      </c>
      <c r="F58" s="40" t="s">
        <v>3861</v>
      </c>
      <c r="G58" s="40" t="s">
        <v>3862</v>
      </c>
      <c r="H58" s="40" t="s">
        <v>3863</v>
      </c>
      <c r="I58" s="40" t="s">
        <v>14</v>
      </c>
      <c r="J58" s="40" t="s">
        <v>1852</v>
      </c>
      <c r="K58" s="153"/>
    </row>
    <row r="59" spans="1:11" x14ac:dyDescent="0.3">
      <c r="A59" s="40" t="s">
        <v>3864</v>
      </c>
      <c r="B59" s="40" t="s">
        <v>3816</v>
      </c>
      <c r="C59" s="40" t="s">
        <v>3865</v>
      </c>
      <c r="D59" s="40" t="s">
        <v>10</v>
      </c>
      <c r="E59" s="40" t="s">
        <v>542</v>
      </c>
      <c r="F59" s="40" t="s">
        <v>3604</v>
      </c>
      <c r="G59" s="40" t="s">
        <v>3605</v>
      </c>
      <c r="H59" s="40" t="s">
        <v>3606</v>
      </c>
      <c r="I59" s="40" t="s">
        <v>3866</v>
      </c>
      <c r="J59" s="40" t="s">
        <v>1852</v>
      </c>
      <c r="K59" s="153"/>
    </row>
    <row r="60" spans="1:11" x14ac:dyDescent="0.3">
      <c r="A60" s="40" t="s">
        <v>3867</v>
      </c>
      <c r="B60" s="40" t="s">
        <v>3816</v>
      </c>
      <c r="C60" s="40" t="s">
        <v>3868</v>
      </c>
      <c r="D60" s="40" t="s">
        <v>10</v>
      </c>
      <c r="E60" s="40" t="s">
        <v>542</v>
      </c>
      <c r="F60" s="40" t="s">
        <v>3604</v>
      </c>
      <c r="G60" s="40" t="s">
        <v>3610</v>
      </c>
      <c r="H60" s="40" t="s">
        <v>3606</v>
      </c>
      <c r="I60" s="40" t="s">
        <v>3866</v>
      </c>
      <c r="J60" s="40" t="s">
        <v>1852</v>
      </c>
      <c r="K60" s="153"/>
    </row>
    <row r="61" spans="1:11" x14ac:dyDescent="0.3">
      <c r="A61" s="40" t="s">
        <v>3869</v>
      </c>
      <c r="B61" s="40" t="s">
        <v>3816</v>
      </c>
      <c r="C61" s="40" t="s">
        <v>3870</v>
      </c>
      <c r="D61" s="40" t="s">
        <v>10</v>
      </c>
      <c r="E61" s="40" t="s">
        <v>547</v>
      </c>
      <c r="F61" s="40" t="s">
        <v>3604</v>
      </c>
      <c r="G61" s="40" t="s">
        <v>3620</v>
      </c>
      <c r="H61" s="40" t="s">
        <v>3606</v>
      </c>
      <c r="I61" s="40" t="s">
        <v>3871</v>
      </c>
      <c r="J61" s="40" t="s">
        <v>1852</v>
      </c>
      <c r="K61" s="153"/>
    </row>
    <row r="62" spans="1:11" x14ac:dyDescent="0.3">
      <c r="A62" s="40" t="s">
        <v>3872</v>
      </c>
      <c r="B62" s="40" t="s">
        <v>3816</v>
      </c>
      <c r="C62" s="40" t="s">
        <v>3873</v>
      </c>
      <c r="D62" s="40" t="s">
        <v>10</v>
      </c>
      <c r="E62" s="40" t="s">
        <v>547</v>
      </c>
      <c r="F62" s="40" t="s">
        <v>3604</v>
      </c>
      <c r="G62" s="40" t="s">
        <v>3624</v>
      </c>
      <c r="H62" s="40" t="s">
        <v>3606</v>
      </c>
      <c r="I62" s="40" t="s">
        <v>3871</v>
      </c>
      <c r="J62" s="40" t="s">
        <v>1852</v>
      </c>
      <c r="K62" s="153"/>
    </row>
    <row r="63" spans="1:11" x14ac:dyDescent="0.3">
      <c r="A63" s="40" t="s">
        <v>3874</v>
      </c>
      <c r="B63" s="40" t="s">
        <v>3816</v>
      </c>
      <c r="C63" s="40" t="s">
        <v>3875</v>
      </c>
      <c r="D63" s="40" t="s">
        <v>10</v>
      </c>
      <c r="E63" s="40" t="s">
        <v>542</v>
      </c>
      <c r="F63" s="40" t="s">
        <v>3604</v>
      </c>
      <c r="G63" s="40" t="s">
        <v>3633</v>
      </c>
      <c r="H63" s="40" t="s">
        <v>3634</v>
      </c>
      <c r="I63" s="40" t="s">
        <v>3876</v>
      </c>
      <c r="J63" s="40" t="s">
        <v>1868</v>
      </c>
      <c r="K63" s="153"/>
    </row>
    <row r="64" spans="1:11" x14ac:dyDescent="0.3">
      <c r="A64" s="40" t="s">
        <v>3877</v>
      </c>
      <c r="B64" s="40" t="s">
        <v>3816</v>
      </c>
      <c r="C64" s="40" t="s">
        <v>3878</v>
      </c>
      <c r="D64" s="40" t="s">
        <v>10</v>
      </c>
      <c r="E64" s="40" t="s">
        <v>547</v>
      </c>
      <c r="F64" s="40" t="s">
        <v>3604</v>
      </c>
      <c r="G64" s="40" t="s">
        <v>3879</v>
      </c>
      <c r="H64" s="40" t="s">
        <v>3880</v>
      </c>
      <c r="I64" s="40" t="s">
        <v>3871</v>
      </c>
      <c r="J64" s="40" t="s">
        <v>1868</v>
      </c>
      <c r="K64" s="153"/>
    </row>
    <row r="65" spans="1:11" x14ac:dyDescent="0.3">
      <c r="A65" s="46" t="s">
        <v>3881</v>
      </c>
      <c r="B65" s="46" t="s">
        <v>3882</v>
      </c>
      <c r="C65" s="46" t="s">
        <v>3883</v>
      </c>
      <c r="D65" s="46" t="s">
        <v>13</v>
      </c>
      <c r="E65" s="46" t="s">
        <v>37</v>
      </c>
      <c r="F65" s="46" t="s">
        <v>3884</v>
      </c>
      <c r="G65" s="46" t="s">
        <v>3885</v>
      </c>
      <c r="H65" s="46" t="s">
        <v>3886</v>
      </c>
      <c r="I65" s="46" t="s">
        <v>14</v>
      </c>
      <c r="J65" s="46" t="s">
        <v>1852</v>
      </c>
      <c r="K65" s="153"/>
    </row>
    <row r="66" spans="1:11" x14ac:dyDescent="0.3">
      <c r="A66" s="46" t="s">
        <v>3887</v>
      </c>
      <c r="B66" s="46" t="s">
        <v>3882</v>
      </c>
      <c r="C66" s="46" t="s">
        <v>3888</v>
      </c>
      <c r="D66" s="46" t="s">
        <v>10</v>
      </c>
      <c r="E66" s="46" t="s">
        <v>37</v>
      </c>
      <c r="F66" s="46" t="s">
        <v>3889</v>
      </c>
      <c r="G66" s="46" t="s">
        <v>3890</v>
      </c>
      <c r="H66" s="46" t="s">
        <v>13756</v>
      </c>
      <c r="I66" s="46" t="s">
        <v>3891</v>
      </c>
      <c r="J66" s="46" t="s">
        <v>1852</v>
      </c>
      <c r="K66" s="153"/>
    </row>
    <row r="67" spans="1:11" x14ac:dyDescent="0.3">
      <c r="A67" s="46" t="s">
        <v>3892</v>
      </c>
      <c r="B67" s="46" t="s">
        <v>3882</v>
      </c>
      <c r="C67" s="46" t="s">
        <v>3893</v>
      </c>
      <c r="D67" s="46" t="s">
        <v>10</v>
      </c>
      <c r="E67" s="46" t="s">
        <v>37</v>
      </c>
      <c r="F67" s="46" t="s">
        <v>3894</v>
      </c>
      <c r="G67" s="46" t="s">
        <v>3890</v>
      </c>
      <c r="H67" s="46" t="s">
        <v>13756</v>
      </c>
      <c r="I67" s="46" t="s">
        <v>3895</v>
      </c>
      <c r="J67" s="46" t="s">
        <v>1852</v>
      </c>
      <c r="K67" s="153"/>
    </row>
    <row r="68" spans="1:11" x14ac:dyDescent="0.3">
      <c r="A68" s="46" t="s">
        <v>3896</v>
      </c>
      <c r="B68" s="46" t="s">
        <v>3882</v>
      </c>
      <c r="C68" s="46" t="s">
        <v>3897</v>
      </c>
      <c r="D68" s="46" t="s">
        <v>13</v>
      </c>
      <c r="E68" s="46" t="s">
        <v>37</v>
      </c>
      <c r="F68" s="46" t="s">
        <v>3898</v>
      </c>
      <c r="G68" s="46" t="s">
        <v>3899</v>
      </c>
      <c r="H68" s="46" t="s">
        <v>3900</v>
      </c>
      <c r="I68" s="46" t="s">
        <v>14</v>
      </c>
      <c r="J68" s="46" t="s">
        <v>1852</v>
      </c>
      <c r="K68" s="153"/>
    </row>
    <row r="69" spans="1:11" x14ac:dyDescent="0.3">
      <c r="A69" s="46" t="s">
        <v>3901</v>
      </c>
      <c r="B69" s="46" t="s">
        <v>3882</v>
      </c>
      <c r="C69" s="46" t="s">
        <v>3902</v>
      </c>
      <c r="D69" s="46" t="s">
        <v>13</v>
      </c>
      <c r="E69" s="46" t="s">
        <v>37</v>
      </c>
      <c r="F69" s="46" t="s">
        <v>3903</v>
      </c>
      <c r="G69" s="46" t="s">
        <v>3899</v>
      </c>
      <c r="H69" s="46" t="s">
        <v>3904</v>
      </c>
      <c r="I69" s="46" t="s">
        <v>14</v>
      </c>
      <c r="J69" s="46" t="s">
        <v>1868</v>
      </c>
      <c r="K69" s="153"/>
    </row>
    <row r="70" spans="1:11" ht="43.2" x14ac:dyDescent="0.3">
      <c r="A70" s="46" t="s">
        <v>3905</v>
      </c>
      <c r="B70" s="46" t="s">
        <v>3882</v>
      </c>
      <c r="C70" s="46" t="s">
        <v>3906</v>
      </c>
      <c r="D70" s="46" t="s">
        <v>13</v>
      </c>
      <c r="E70" s="46" t="s">
        <v>37</v>
      </c>
      <c r="F70" s="46" t="s">
        <v>3907</v>
      </c>
      <c r="G70" s="46" t="s">
        <v>3908</v>
      </c>
      <c r="H70" s="46" t="s">
        <v>3909</v>
      </c>
      <c r="I70" s="46" t="s">
        <v>14</v>
      </c>
      <c r="J70" s="46" t="s">
        <v>1868</v>
      </c>
      <c r="K70" s="156" t="s">
        <v>12846</v>
      </c>
    </row>
    <row r="71" spans="1:11" x14ac:dyDescent="0.3">
      <c r="A71" s="46" t="s">
        <v>3910</v>
      </c>
      <c r="B71" s="46" t="s">
        <v>3882</v>
      </c>
      <c r="C71" s="46" t="s">
        <v>3911</v>
      </c>
      <c r="D71" s="46" t="s">
        <v>10</v>
      </c>
      <c r="E71" s="46" t="s">
        <v>37</v>
      </c>
      <c r="F71" s="46" t="s">
        <v>3907</v>
      </c>
      <c r="G71" s="46" t="s">
        <v>3912</v>
      </c>
      <c r="H71" s="46" t="s">
        <v>13757</v>
      </c>
      <c r="I71" s="46" t="s">
        <v>3914</v>
      </c>
      <c r="J71" s="46" t="s">
        <v>1868</v>
      </c>
      <c r="K71" s="153"/>
    </row>
    <row r="72" spans="1:11" x14ac:dyDescent="0.3">
      <c r="A72" s="46" t="s">
        <v>3915</v>
      </c>
      <c r="B72" s="46" t="s">
        <v>3882</v>
      </c>
      <c r="C72" s="46" t="s">
        <v>3916</v>
      </c>
      <c r="D72" s="46" t="s">
        <v>13</v>
      </c>
      <c r="E72" s="46" t="s">
        <v>37</v>
      </c>
      <c r="F72" s="46" t="s">
        <v>3907</v>
      </c>
      <c r="G72" s="46" t="s">
        <v>3917</v>
      </c>
      <c r="H72" s="46" t="s">
        <v>3918</v>
      </c>
      <c r="I72" s="46" t="s">
        <v>14</v>
      </c>
      <c r="J72" s="46" t="s">
        <v>1868</v>
      </c>
      <c r="K72" s="153"/>
    </row>
    <row r="73" spans="1:11" x14ac:dyDescent="0.3">
      <c r="A73" s="46" t="s">
        <v>3919</v>
      </c>
      <c r="B73" s="46" t="s">
        <v>3882</v>
      </c>
      <c r="C73" s="46" t="s">
        <v>3920</v>
      </c>
      <c r="D73" s="46" t="s">
        <v>10</v>
      </c>
      <c r="E73" s="46" t="s">
        <v>37</v>
      </c>
      <c r="F73" s="46" t="s">
        <v>3907</v>
      </c>
      <c r="G73" s="46" t="s">
        <v>3921</v>
      </c>
      <c r="H73" s="46" t="s">
        <v>13758</v>
      </c>
      <c r="I73" s="46" t="s">
        <v>3923</v>
      </c>
      <c r="J73" s="46" t="s">
        <v>1868</v>
      </c>
      <c r="K73" s="153"/>
    </row>
    <row r="74" spans="1:11" x14ac:dyDescent="0.3">
      <c r="A74" s="46" t="s">
        <v>3924</v>
      </c>
      <c r="B74" s="46" t="s">
        <v>3882</v>
      </c>
      <c r="C74" s="46" t="s">
        <v>3925</v>
      </c>
      <c r="D74" s="46" t="s">
        <v>13</v>
      </c>
      <c r="E74" s="46" t="s">
        <v>37</v>
      </c>
      <c r="F74" s="46" t="s">
        <v>3926</v>
      </c>
      <c r="G74" s="46" t="s">
        <v>3927</v>
      </c>
      <c r="H74" s="46" t="s">
        <v>3928</v>
      </c>
      <c r="I74" s="46" t="s">
        <v>14</v>
      </c>
      <c r="J74" s="46" t="s">
        <v>1852</v>
      </c>
      <c r="K74" s="153"/>
    </row>
    <row r="75" spans="1:11" x14ac:dyDescent="0.3">
      <c r="A75" s="46" t="s">
        <v>3929</v>
      </c>
      <c r="B75" s="46" t="s">
        <v>3882</v>
      </c>
      <c r="C75" s="46" t="s">
        <v>3930</v>
      </c>
      <c r="D75" s="46" t="s">
        <v>10</v>
      </c>
      <c r="E75" s="46" t="s">
        <v>37</v>
      </c>
      <c r="F75" s="46" t="s">
        <v>3931</v>
      </c>
      <c r="G75" s="46" t="s">
        <v>3932</v>
      </c>
      <c r="H75" s="46" t="s">
        <v>13759</v>
      </c>
      <c r="I75" s="46" t="s">
        <v>3933</v>
      </c>
      <c r="J75" s="46" t="s">
        <v>1852</v>
      </c>
      <c r="K75" s="153"/>
    </row>
    <row r="76" spans="1:11" x14ac:dyDescent="0.3">
      <c r="A76" s="46" t="s">
        <v>3934</v>
      </c>
      <c r="B76" s="46" t="s">
        <v>3882</v>
      </c>
      <c r="C76" s="46" t="s">
        <v>3935</v>
      </c>
      <c r="D76" s="46" t="s">
        <v>13</v>
      </c>
      <c r="E76" s="46" t="s">
        <v>37</v>
      </c>
      <c r="F76" s="46" t="s">
        <v>3936</v>
      </c>
      <c r="G76" s="46" t="s">
        <v>3647</v>
      </c>
      <c r="H76" s="46" t="s">
        <v>3937</v>
      </c>
      <c r="I76" s="46" t="s">
        <v>14</v>
      </c>
      <c r="J76" s="46" t="s">
        <v>1868</v>
      </c>
      <c r="K76" s="153"/>
    </row>
    <row r="77" spans="1:11" x14ac:dyDescent="0.3">
      <c r="A77" s="46" t="s">
        <v>3938</v>
      </c>
      <c r="B77" s="46" t="s">
        <v>3882</v>
      </c>
      <c r="C77" s="46" t="s">
        <v>3939</v>
      </c>
      <c r="D77" s="46" t="s">
        <v>10</v>
      </c>
      <c r="E77" s="46" t="s">
        <v>37</v>
      </c>
      <c r="F77" s="46" t="s">
        <v>3940</v>
      </c>
      <c r="G77" s="46" t="s">
        <v>3941</v>
      </c>
      <c r="H77" s="46" t="s">
        <v>13760</v>
      </c>
      <c r="I77" s="46" t="s">
        <v>3942</v>
      </c>
      <c r="J77" s="46" t="s">
        <v>1868</v>
      </c>
      <c r="K77" s="153"/>
    </row>
    <row r="78" spans="1:11" x14ac:dyDescent="0.3">
      <c r="A78" s="46" t="s">
        <v>3943</v>
      </c>
      <c r="B78" s="46" t="s">
        <v>3882</v>
      </c>
      <c r="C78" s="46" t="s">
        <v>3944</v>
      </c>
      <c r="D78" s="46" t="s">
        <v>13</v>
      </c>
      <c r="E78" s="46" t="s">
        <v>3674</v>
      </c>
      <c r="F78" s="46" t="s">
        <v>3945</v>
      </c>
      <c r="G78" s="46" t="s">
        <v>3946</v>
      </c>
      <c r="H78" s="46" t="s">
        <v>3947</v>
      </c>
      <c r="I78" s="46" t="s">
        <v>14</v>
      </c>
      <c r="J78" s="46" t="s">
        <v>1868</v>
      </c>
      <c r="K78" s="153"/>
    </row>
    <row r="79" spans="1:11" x14ac:dyDescent="0.3">
      <c r="A79" s="46" t="s">
        <v>3948</v>
      </c>
      <c r="B79" s="46" t="s">
        <v>3882</v>
      </c>
      <c r="C79" s="46" t="s">
        <v>3949</v>
      </c>
      <c r="D79" s="46" t="s">
        <v>13</v>
      </c>
      <c r="E79" s="46" t="s">
        <v>3674</v>
      </c>
      <c r="F79" s="46" t="s">
        <v>3950</v>
      </c>
      <c r="G79" s="46" t="s">
        <v>3951</v>
      </c>
      <c r="H79" s="46" t="s">
        <v>3952</v>
      </c>
      <c r="I79" s="46" t="s">
        <v>14</v>
      </c>
      <c r="J79" s="46" t="s">
        <v>1868</v>
      </c>
      <c r="K79" s="153"/>
    </row>
    <row r="80" spans="1:11" x14ac:dyDescent="0.3">
      <c r="A80" s="46" t="s">
        <v>3953</v>
      </c>
      <c r="B80" s="46" t="s">
        <v>3882</v>
      </c>
      <c r="C80" s="46" t="s">
        <v>3954</v>
      </c>
      <c r="D80" s="46" t="s">
        <v>10</v>
      </c>
      <c r="E80" s="46" t="s">
        <v>3674</v>
      </c>
      <c r="F80" s="46" t="s">
        <v>3955</v>
      </c>
      <c r="G80" s="46" t="s">
        <v>3956</v>
      </c>
      <c r="H80" s="46" t="s">
        <v>3957</v>
      </c>
      <c r="I80" s="46" t="s">
        <v>3958</v>
      </c>
      <c r="J80" s="46" t="s">
        <v>1852</v>
      </c>
      <c r="K80" s="153"/>
    </row>
    <row r="81" spans="1:11" x14ac:dyDescent="0.3">
      <c r="A81" s="46" t="s">
        <v>3959</v>
      </c>
      <c r="B81" s="46" t="s">
        <v>3882</v>
      </c>
      <c r="C81" s="46" t="s">
        <v>3960</v>
      </c>
      <c r="D81" s="46" t="s">
        <v>13</v>
      </c>
      <c r="E81" s="46" t="s">
        <v>3674</v>
      </c>
      <c r="F81" s="46" t="s">
        <v>3961</v>
      </c>
      <c r="G81" s="46" t="s">
        <v>3962</v>
      </c>
      <c r="H81" s="46" t="s">
        <v>3963</v>
      </c>
      <c r="I81" s="46" t="s">
        <v>3964</v>
      </c>
      <c r="J81" s="46" t="s">
        <v>1868</v>
      </c>
      <c r="K81" s="153"/>
    </row>
    <row r="82" spans="1:11" x14ac:dyDescent="0.3">
      <c r="A82" s="90" t="s">
        <v>3965</v>
      </c>
      <c r="B82" s="90" t="s">
        <v>3966</v>
      </c>
      <c r="C82" s="90" t="s">
        <v>3967</v>
      </c>
      <c r="D82" s="90" t="s">
        <v>13</v>
      </c>
      <c r="E82" s="90" t="s">
        <v>1788</v>
      </c>
      <c r="F82" s="90" t="s">
        <v>3968</v>
      </c>
      <c r="G82" s="90" t="s">
        <v>3969</v>
      </c>
      <c r="H82" s="90" t="s">
        <v>3970</v>
      </c>
      <c r="I82" s="90" t="s">
        <v>14</v>
      </c>
      <c r="J82" s="90" t="s">
        <v>1852</v>
      </c>
      <c r="K82" s="153"/>
    </row>
    <row r="83" spans="1:11" x14ac:dyDescent="0.3">
      <c r="A83" s="90" t="s">
        <v>3971</v>
      </c>
      <c r="B83" s="90" t="s">
        <v>3966</v>
      </c>
      <c r="C83" s="90" t="s">
        <v>3972</v>
      </c>
      <c r="D83" s="90" t="s">
        <v>13</v>
      </c>
      <c r="E83" s="90" t="s">
        <v>1788</v>
      </c>
      <c r="F83" s="90" t="s">
        <v>3973</v>
      </c>
      <c r="G83" s="90" t="s">
        <v>3974</v>
      </c>
      <c r="H83" s="90" t="s">
        <v>3970</v>
      </c>
      <c r="I83" s="90" t="s">
        <v>14</v>
      </c>
      <c r="J83" s="90" t="s">
        <v>1852</v>
      </c>
      <c r="K83" s="153"/>
    </row>
    <row r="84" spans="1:11" x14ac:dyDescent="0.3">
      <c r="A84" s="90" t="s">
        <v>3975</v>
      </c>
      <c r="B84" s="90" t="s">
        <v>3966</v>
      </c>
      <c r="C84" s="90" t="s">
        <v>12862</v>
      </c>
      <c r="D84" s="90" t="s">
        <v>13</v>
      </c>
      <c r="E84" s="90" t="s">
        <v>1788</v>
      </c>
      <c r="F84" s="90" t="s">
        <v>12863</v>
      </c>
      <c r="G84" s="90" t="s">
        <v>3974</v>
      </c>
      <c r="H84" s="90" t="s">
        <v>3970</v>
      </c>
      <c r="I84" s="90" t="s">
        <v>14</v>
      </c>
      <c r="J84" s="90" t="s">
        <v>1868</v>
      </c>
      <c r="K84" s="155"/>
    </row>
    <row r="85" spans="1:11" x14ac:dyDescent="0.3">
      <c r="A85" s="90" t="s">
        <v>3976</v>
      </c>
      <c r="B85" s="90" t="s">
        <v>3966</v>
      </c>
      <c r="C85" s="90" t="s">
        <v>3977</v>
      </c>
      <c r="D85" s="90" t="s">
        <v>10</v>
      </c>
      <c r="E85" s="90" t="s">
        <v>1788</v>
      </c>
      <c r="F85" s="90" t="s">
        <v>3978</v>
      </c>
      <c r="G85" s="90" t="s">
        <v>3979</v>
      </c>
      <c r="H85" s="90" t="s">
        <v>3980</v>
      </c>
      <c r="I85" s="90" t="s">
        <v>3981</v>
      </c>
      <c r="J85" s="90" t="s">
        <v>1852</v>
      </c>
      <c r="K85" s="153"/>
    </row>
    <row r="86" spans="1:11" x14ac:dyDescent="0.3">
      <c r="A86" s="90" t="s">
        <v>3982</v>
      </c>
      <c r="B86" s="90" t="s">
        <v>3966</v>
      </c>
      <c r="C86" s="90" t="s">
        <v>3983</v>
      </c>
      <c r="D86" s="90" t="s">
        <v>10</v>
      </c>
      <c r="E86" s="90" t="s">
        <v>1788</v>
      </c>
      <c r="F86" s="90" t="s">
        <v>3984</v>
      </c>
      <c r="G86" s="90" t="s">
        <v>3985</v>
      </c>
      <c r="H86" s="90" t="s">
        <v>3986</v>
      </c>
      <c r="I86" s="90" t="s">
        <v>3981</v>
      </c>
      <c r="J86" s="90" t="s">
        <v>1852</v>
      </c>
      <c r="K86" s="153"/>
    </row>
    <row r="87" spans="1:11" x14ac:dyDescent="0.3">
      <c r="A87" s="90" t="s">
        <v>3987</v>
      </c>
      <c r="B87" s="90" t="s">
        <v>3966</v>
      </c>
      <c r="C87" s="90" t="s">
        <v>3988</v>
      </c>
      <c r="D87" s="90" t="s">
        <v>10</v>
      </c>
      <c r="E87" s="90" t="s">
        <v>1788</v>
      </c>
      <c r="F87" s="90" t="s">
        <v>3989</v>
      </c>
      <c r="G87" s="90" t="s">
        <v>3990</v>
      </c>
      <c r="H87" s="90" t="s">
        <v>3986</v>
      </c>
      <c r="I87" s="90" t="s">
        <v>3981</v>
      </c>
      <c r="J87" s="90" t="s">
        <v>1852</v>
      </c>
      <c r="K87" s="153"/>
    </row>
    <row r="88" spans="1:11" x14ac:dyDescent="0.3">
      <c r="A88" s="90" t="s">
        <v>3991</v>
      </c>
      <c r="B88" s="90" t="s">
        <v>3966</v>
      </c>
      <c r="C88" s="90" t="s">
        <v>3992</v>
      </c>
      <c r="D88" s="90" t="s">
        <v>10</v>
      </c>
      <c r="E88" s="90" t="s">
        <v>1788</v>
      </c>
      <c r="F88" s="90" t="s">
        <v>3993</v>
      </c>
      <c r="G88" s="90" t="s">
        <v>3990</v>
      </c>
      <c r="H88" s="90" t="s">
        <v>3986</v>
      </c>
      <c r="I88" s="90" t="s">
        <v>3981</v>
      </c>
      <c r="J88" s="90" t="s">
        <v>1852</v>
      </c>
      <c r="K88" s="153"/>
    </row>
    <row r="89" spans="1:11" ht="57.6" x14ac:dyDescent="0.3">
      <c r="A89" s="90" t="s">
        <v>3994</v>
      </c>
      <c r="B89" s="90" t="s">
        <v>3966</v>
      </c>
      <c r="C89" s="90" t="s">
        <v>3995</v>
      </c>
      <c r="D89" s="90" t="s">
        <v>13</v>
      </c>
      <c r="E89" s="90" t="s">
        <v>1788</v>
      </c>
      <c r="F89" s="90" t="s">
        <v>3996</v>
      </c>
      <c r="G89" s="90" t="s">
        <v>3997</v>
      </c>
      <c r="H89" s="90" t="s">
        <v>3998</v>
      </c>
      <c r="I89" s="90" t="s">
        <v>14</v>
      </c>
      <c r="J89" s="90" t="s">
        <v>1852</v>
      </c>
      <c r="K89" s="154" t="s">
        <v>12847</v>
      </c>
    </row>
    <row r="90" spans="1:11" x14ac:dyDescent="0.3">
      <c r="A90" s="90" t="s">
        <v>3999</v>
      </c>
      <c r="B90" s="90" t="s">
        <v>3966</v>
      </c>
      <c r="C90" s="90" t="s">
        <v>4000</v>
      </c>
      <c r="D90" s="90" t="s">
        <v>10</v>
      </c>
      <c r="E90" s="90" t="s">
        <v>1788</v>
      </c>
      <c r="F90" s="90" t="s">
        <v>3423</v>
      </c>
      <c r="G90" s="90" t="s">
        <v>4001</v>
      </c>
      <c r="H90" s="90" t="s">
        <v>4002</v>
      </c>
      <c r="I90" s="90" t="s">
        <v>4003</v>
      </c>
      <c r="J90" s="90" t="s">
        <v>1852</v>
      </c>
      <c r="K90" s="153"/>
    </row>
    <row r="91" spans="1:11" x14ac:dyDescent="0.3">
      <c r="A91" s="90" t="s">
        <v>4004</v>
      </c>
      <c r="B91" s="90" t="s">
        <v>3966</v>
      </c>
      <c r="C91" s="90" t="s">
        <v>4005</v>
      </c>
      <c r="D91" s="90" t="s">
        <v>13</v>
      </c>
      <c r="E91" s="90" t="s">
        <v>4006</v>
      </c>
      <c r="F91" s="90" t="s">
        <v>4007</v>
      </c>
      <c r="G91" s="90" t="s">
        <v>4008</v>
      </c>
      <c r="H91" s="90" t="s">
        <v>4009</v>
      </c>
      <c r="I91" s="90" t="s">
        <v>14</v>
      </c>
      <c r="J91" s="90" t="s">
        <v>1868</v>
      </c>
      <c r="K91" s="153"/>
    </row>
    <row r="92" spans="1:11" x14ac:dyDescent="0.3">
      <c r="A92" s="90" t="s">
        <v>4010</v>
      </c>
      <c r="B92" s="90" t="s">
        <v>3966</v>
      </c>
      <c r="C92" s="90" t="s">
        <v>4011</v>
      </c>
      <c r="D92" s="90" t="s">
        <v>13</v>
      </c>
      <c r="E92" s="90" t="s">
        <v>1788</v>
      </c>
      <c r="F92" s="90" t="s">
        <v>4012</v>
      </c>
      <c r="G92" s="90" t="s">
        <v>3974</v>
      </c>
      <c r="H92" s="90" t="s">
        <v>4013</v>
      </c>
      <c r="I92" s="90" t="s">
        <v>14</v>
      </c>
      <c r="J92" s="90" t="s">
        <v>1868</v>
      </c>
      <c r="K92" s="153"/>
    </row>
    <row r="93" spans="1:11" x14ac:dyDescent="0.3">
      <c r="A93" s="90" t="s">
        <v>4014</v>
      </c>
      <c r="B93" s="90" t="s">
        <v>3966</v>
      </c>
      <c r="C93" s="90" t="s">
        <v>4015</v>
      </c>
      <c r="D93" s="90" t="s">
        <v>13</v>
      </c>
      <c r="E93" s="90" t="s">
        <v>1788</v>
      </c>
      <c r="F93" s="90" t="s">
        <v>4016</v>
      </c>
      <c r="G93" s="90" t="s">
        <v>4017</v>
      </c>
      <c r="H93" s="90" t="s">
        <v>4018</v>
      </c>
      <c r="I93" s="90" t="s">
        <v>14</v>
      </c>
      <c r="J93" s="90" t="s">
        <v>1868</v>
      </c>
      <c r="K93" s="153"/>
    </row>
    <row r="94" spans="1:11" x14ac:dyDescent="0.3">
      <c r="A94" s="90" t="s">
        <v>4019</v>
      </c>
      <c r="B94" s="90" t="s">
        <v>3966</v>
      </c>
      <c r="C94" s="90" t="s">
        <v>4020</v>
      </c>
      <c r="D94" s="90" t="s">
        <v>13</v>
      </c>
      <c r="E94" s="90" t="s">
        <v>1788</v>
      </c>
      <c r="F94" s="90" t="s">
        <v>4021</v>
      </c>
      <c r="G94" s="90" t="s">
        <v>4022</v>
      </c>
      <c r="H94" s="90" t="s">
        <v>4023</v>
      </c>
      <c r="I94" s="90" t="s">
        <v>14</v>
      </c>
      <c r="J94" s="90" t="s">
        <v>1868</v>
      </c>
      <c r="K94" s="153"/>
    </row>
    <row r="95" spans="1:11" x14ac:dyDescent="0.3">
      <c r="A95" s="90" t="s">
        <v>4024</v>
      </c>
      <c r="B95" s="90" t="s">
        <v>3966</v>
      </c>
      <c r="C95" s="90" t="s">
        <v>4025</v>
      </c>
      <c r="D95" s="90" t="s">
        <v>10</v>
      </c>
      <c r="E95" s="90" t="s">
        <v>1788</v>
      </c>
      <c r="F95" s="90" t="s">
        <v>3978</v>
      </c>
      <c r="G95" s="90" t="s">
        <v>4026</v>
      </c>
      <c r="H95" s="90" t="s">
        <v>4027</v>
      </c>
      <c r="I95" s="90" t="s">
        <v>4028</v>
      </c>
      <c r="J95" s="90" t="s">
        <v>1852</v>
      </c>
      <c r="K95" s="153"/>
    </row>
    <row r="96" spans="1:11" x14ac:dyDescent="0.3">
      <c r="A96" s="91" t="s">
        <v>4029</v>
      </c>
      <c r="B96" s="91" t="s">
        <v>4030</v>
      </c>
      <c r="C96" s="91" t="s">
        <v>4031</v>
      </c>
      <c r="D96" s="91" t="s">
        <v>21</v>
      </c>
      <c r="E96" s="91" t="s">
        <v>49</v>
      </c>
      <c r="F96" s="91" t="s">
        <v>4032</v>
      </c>
      <c r="G96" s="91" t="s">
        <v>3728</v>
      </c>
      <c r="H96" s="91" t="s">
        <v>3729</v>
      </c>
      <c r="I96" s="91" t="s">
        <v>4033</v>
      </c>
      <c r="J96" s="91" t="s">
        <v>1852</v>
      </c>
      <c r="K96" s="153"/>
    </row>
    <row r="97" spans="1:11" ht="57.6" x14ac:dyDescent="0.3">
      <c r="A97" s="91" t="s">
        <v>4034</v>
      </c>
      <c r="B97" s="91" t="s">
        <v>4030</v>
      </c>
      <c r="C97" s="91" t="s">
        <v>4035</v>
      </c>
      <c r="D97" s="91" t="s">
        <v>21</v>
      </c>
      <c r="E97" s="91" t="s">
        <v>49</v>
      </c>
      <c r="F97" s="91" t="s">
        <v>4036</v>
      </c>
      <c r="G97" s="91" t="s">
        <v>3728</v>
      </c>
      <c r="H97" s="91" t="s">
        <v>4037</v>
      </c>
      <c r="I97" s="91" t="s">
        <v>4038</v>
      </c>
      <c r="J97" s="91" t="s">
        <v>1852</v>
      </c>
      <c r="K97" s="154" t="s">
        <v>12848</v>
      </c>
    </row>
    <row r="98" spans="1:11" x14ac:dyDescent="0.3">
      <c r="A98" s="91" t="s">
        <v>4039</v>
      </c>
      <c r="B98" s="91" t="s">
        <v>4030</v>
      </c>
      <c r="C98" s="91" t="s">
        <v>4040</v>
      </c>
      <c r="D98" s="91" t="s">
        <v>13</v>
      </c>
      <c r="E98" s="91" t="s">
        <v>49</v>
      </c>
      <c r="F98" s="91" t="s">
        <v>4041</v>
      </c>
      <c r="G98" s="91" t="s">
        <v>3728</v>
      </c>
      <c r="H98" s="91" t="s">
        <v>4042</v>
      </c>
      <c r="I98" s="91" t="s">
        <v>14</v>
      </c>
      <c r="J98" s="91" t="s">
        <v>1868</v>
      </c>
      <c r="K98" s="153"/>
    </row>
    <row r="99" spans="1:11" x14ac:dyDescent="0.3">
      <c r="A99" s="91" t="s">
        <v>4043</v>
      </c>
      <c r="B99" s="91" t="s">
        <v>4030</v>
      </c>
      <c r="C99" s="91" t="s">
        <v>4044</v>
      </c>
      <c r="D99" s="91" t="s">
        <v>13</v>
      </c>
      <c r="E99" s="91" t="s">
        <v>49</v>
      </c>
      <c r="F99" s="91" t="s">
        <v>4045</v>
      </c>
      <c r="G99" s="91" t="s">
        <v>3728</v>
      </c>
      <c r="H99" s="91" t="s">
        <v>4042</v>
      </c>
      <c r="I99" s="91" t="s">
        <v>14</v>
      </c>
      <c r="J99" s="91" t="s">
        <v>1868</v>
      </c>
      <c r="K99" s="153"/>
    </row>
    <row r="100" spans="1:11" x14ac:dyDescent="0.3">
      <c r="A100" s="91" t="s">
        <v>4046</v>
      </c>
      <c r="B100" s="91" t="s">
        <v>4030</v>
      </c>
      <c r="C100" s="91" t="s">
        <v>4047</v>
      </c>
      <c r="D100" s="91" t="s">
        <v>21</v>
      </c>
      <c r="E100" s="91" t="s">
        <v>49</v>
      </c>
      <c r="F100" s="91" t="s">
        <v>4048</v>
      </c>
      <c r="G100" s="91" t="s">
        <v>4049</v>
      </c>
      <c r="H100" s="91" t="s">
        <v>4050</v>
      </c>
      <c r="I100" s="91" t="s">
        <v>14</v>
      </c>
      <c r="J100" s="91" t="s">
        <v>1852</v>
      </c>
      <c r="K100" s="153"/>
    </row>
    <row r="101" spans="1:11" x14ac:dyDescent="0.3">
      <c r="A101" s="91" t="s">
        <v>4051</v>
      </c>
      <c r="B101" s="91" t="s">
        <v>4030</v>
      </c>
      <c r="C101" s="91" t="s">
        <v>4052</v>
      </c>
      <c r="D101" s="91" t="s">
        <v>13</v>
      </c>
      <c r="E101" s="91" t="s">
        <v>49</v>
      </c>
      <c r="F101" s="91" t="s">
        <v>4053</v>
      </c>
      <c r="G101" s="91" t="s">
        <v>3728</v>
      </c>
      <c r="H101" s="91" t="s">
        <v>4054</v>
      </c>
      <c r="I101" s="91" t="s">
        <v>14</v>
      </c>
      <c r="J101" s="91" t="s">
        <v>1868</v>
      </c>
      <c r="K101" s="153"/>
    </row>
    <row r="102" spans="1:11" x14ac:dyDescent="0.3">
      <c r="A102" s="91" t="s">
        <v>4055</v>
      </c>
      <c r="B102" s="91" t="s">
        <v>4030</v>
      </c>
      <c r="C102" s="91" t="s">
        <v>4056</v>
      </c>
      <c r="D102" s="91" t="s">
        <v>13</v>
      </c>
      <c r="E102" s="91" t="s">
        <v>49</v>
      </c>
      <c r="F102" s="91" t="s">
        <v>4057</v>
      </c>
      <c r="G102" s="91" t="s">
        <v>4058</v>
      </c>
      <c r="H102" s="91" t="s">
        <v>4059</v>
      </c>
      <c r="I102" s="91" t="s">
        <v>14</v>
      </c>
      <c r="J102" s="91" t="s">
        <v>1868</v>
      </c>
      <c r="K102" s="153"/>
    </row>
    <row r="103" spans="1:11" x14ac:dyDescent="0.3">
      <c r="A103" s="91" t="s">
        <v>4060</v>
      </c>
      <c r="B103" s="91" t="s">
        <v>4030</v>
      </c>
      <c r="C103" s="91" t="s">
        <v>4061</v>
      </c>
      <c r="D103" s="91" t="s">
        <v>13</v>
      </c>
      <c r="E103" s="91" t="s">
        <v>49</v>
      </c>
      <c r="F103" s="91" t="s">
        <v>4062</v>
      </c>
      <c r="G103" s="91" t="s">
        <v>4063</v>
      </c>
      <c r="H103" s="91" t="s">
        <v>4064</v>
      </c>
      <c r="I103" s="91" t="s">
        <v>14</v>
      </c>
      <c r="J103" s="91" t="s">
        <v>1868</v>
      </c>
      <c r="K103" s="153"/>
    </row>
    <row r="104" spans="1:11" x14ac:dyDescent="0.3">
      <c r="A104" s="91" t="s">
        <v>4065</v>
      </c>
      <c r="B104" s="91" t="s">
        <v>4030</v>
      </c>
      <c r="C104" s="91" t="s">
        <v>4066</v>
      </c>
      <c r="D104" s="91" t="s">
        <v>13</v>
      </c>
      <c r="E104" s="91" t="s">
        <v>49</v>
      </c>
      <c r="F104" s="91" t="s">
        <v>4067</v>
      </c>
      <c r="G104" s="91" t="s">
        <v>3728</v>
      </c>
      <c r="H104" s="91" t="s">
        <v>4068</v>
      </c>
      <c r="I104" s="91" t="s">
        <v>4069</v>
      </c>
      <c r="J104" s="91" t="s">
        <v>1868</v>
      </c>
      <c r="K104" s="153"/>
    </row>
    <row r="105" spans="1:11" x14ac:dyDescent="0.3">
      <c r="A105" s="91" t="s">
        <v>4070</v>
      </c>
      <c r="B105" s="91" t="s">
        <v>4030</v>
      </c>
      <c r="C105" s="91" t="s">
        <v>4071</v>
      </c>
      <c r="D105" s="91" t="s">
        <v>13</v>
      </c>
      <c r="E105" s="91" t="s">
        <v>49</v>
      </c>
      <c r="F105" s="91" t="s">
        <v>3733</v>
      </c>
      <c r="G105" s="91" t="s">
        <v>4072</v>
      </c>
      <c r="H105" s="91" t="s">
        <v>4073</v>
      </c>
      <c r="I105" s="91" t="s">
        <v>4074</v>
      </c>
      <c r="J105" s="91" t="s">
        <v>1852</v>
      </c>
      <c r="K105" s="153"/>
    </row>
    <row r="106" spans="1:11" x14ac:dyDescent="0.3">
      <c r="A106" s="91" t="s">
        <v>4075</v>
      </c>
      <c r="B106" s="91" t="s">
        <v>4030</v>
      </c>
      <c r="C106" s="91" t="s">
        <v>4076</v>
      </c>
      <c r="D106" s="91" t="s">
        <v>21</v>
      </c>
      <c r="E106" s="91" t="s">
        <v>49</v>
      </c>
      <c r="F106" s="91" t="s">
        <v>4077</v>
      </c>
      <c r="G106" s="91" t="s">
        <v>4078</v>
      </c>
      <c r="H106" s="91" t="s">
        <v>4079</v>
      </c>
      <c r="I106" s="91" t="s">
        <v>4080</v>
      </c>
      <c r="J106" s="91" t="s">
        <v>1868</v>
      </c>
      <c r="K106" s="153"/>
    </row>
    <row r="107" spans="1:11" x14ac:dyDescent="0.3">
      <c r="A107" s="91" t="s">
        <v>4081</v>
      </c>
      <c r="B107" s="91" t="s">
        <v>4030</v>
      </c>
      <c r="C107" s="91" t="s">
        <v>4082</v>
      </c>
      <c r="D107" s="91" t="s">
        <v>21</v>
      </c>
      <c r="E107" s="91" t="s">
        <v>49</v>
      </c>
      <c r="F107" s="91" t="s">
        <v>4083</v>
      </c>
      <c r="G107" s="91" t="s">
        <v>4084</v>
      </c>
      <c r="H107" s="91" t="s">
        <v>4085</v>
      </c>
      <c r="I107" s="91" t="s">
        <v>14</v>
      </c>
      <c r="J107" s="91" t="s">
        <v>1868</v>
      </c>
      <c r="K107" s="153"/>
    </row>
    <row r="108" spans="1:11" x14ac:dyDescent="0.3">
      <c r="A108" s="91" t="s">
        <v>4086</v>
      </c>
      <c r="B108" s="91" t="s">
        <v>4030</v>
      </c>
      <c r="C108" s="91" t="s">
        <v>4087</v>
      </c>
      <c r="D108" s="91" t="s">
        <v>13</v>
      </c>
      <c r="E108" s="91" t="s">
        <v>4088</v>
      </c>
      <c r="F108" s="91" t="s">
        <v>4089</v>
      </c>
      <c r="G108" s="91" t="s">
        <v>4090</v>
      </c>
      <c r="H108" s="91" t="s">
        <v>4091</v>
      </c>
      <c r="I108" s="91" t="s">
        <v>14</v>
      </c>
      <c r="J108" s="91" t="s">
        <v>1868</v>
      </c>
      <c r="K108" s="153"/>
    </row>
    <row r="109" spans="1:11" x14ac:dyDescent="0.3">
      <c r="A109" s="92" t="s">
        <v>4092</v>
      </c>
      <c r="B109" s="92" t="s">
        <v>4093</v>
      </c>
      <c r="C109" s="92" t="s">
        <v>4094</v>
      </c>
      <c r="D109" s="92" t="s">
        <v>13</v>
      </c>
      <c r="E109" s="92" t="s">
        <v>1427</v>
      </c>
      <c r="F109" s="92" t="s">
        <v>4095</v>
      </c>
      <c r="G109" s="92" t="s">
        <v>4096</v>
      </c>
      <c r="H109" s="92" t="s">
        <v>4097</v>
      </c>
      <c r="I109" s="92" t="s">
        <v>14</v>
      </c>
      <c r="J109" s="92" t="s">
        <v>1852</v>
      </c>
      <c r="K109" s="153"/>
    </row>
    <row r="110" spans="1:11" x14ac:dyDescent="0.3">
      <c r="A110" s="92" t="s">
        <v>4098</v>
      </c>
      <c r="B110" s="92" t="s">
        <v>4093</v>
      </c>
      <c r="C110" s="92" t="s">
        <v>4099</v>
      </c>
      <c r="D110" s="92" t="s">
        <v>13</v>
      </c>
      <c r="E110" s="92" t="s">
        <v>1427</v>
      </c>
      <c r="F110" s="92" t="s">
        <v>4100</v>
      </c>
      <c r="G110" s="92" t="s">
        <v>4101</v>
      </c>
      <c r="H110" s="92" t="s">
        <v>4097</v>
      </c>
      <c r="I110" s="92" t="s">
        <v>14</v>
      </c>
      <c r="J110" s="92" t="s">
        <v>1868</v>
      </c>
      <c r="K110" s="153"/>
    </row>
    <row r="111" spans="1:11" x14ac:dyDescent="0.3">
      <c r="A111" s="92" t="s">
        <v>4102</v>
      </c>
      <c r="B111" s="92" t="s">
        <v>4093</v>
      </c>
      <c r="C111" s="92" t="s">
        <v>4103</v>
      </c>
      <c r="D111" s="92" t="s">
        <v>13</v>
      </c>
      <c r="E111" s="92" t="s">
        <v>1427</v>
      </c>
      <c r="F111" s="92" t="s">
        <v>4104</v>
      </c>
      <c r="G111" s="92" t="s">
        <v>4105</v>
      </c>
      <c r="H111" s="92" t="s">
        <v>4106</v>
      </c>
      <c r="I111" s="92" t="s">
        <v>14</v>
      </c>
      <c r="J111" s="92" t="s">
        <v>1852</v>
      </c>
      <c r="K111" s="153"/>
    </row>
    <row r="112" spans="1:11" x14ac:dyDescent="0.3">
      <c r="A112" s="92" t="s">
        <v>4107</v>
      </c>
      <c r="B112" s="92" t="s">
        <v>4093</v>
      </c>
      <c r="C112" s="92" t="s">
        <v>4108</v>
      </c>
      <c r="D112" s="92" t="s">
        <v>13</v>
      </c>
      <c r="E112" s="92" t="s">
        <v>1427</v>
      </c>
      <c r="F112" s="92" t="s">
        <v>4109</v>
      </c>
      <c r="G112" s="92" t="s">
        <v>4110</v>
      </c>
      <c r="H112" s="92" t="s">
        <v>4111</v>
      </c>
      <c r="I112" s="92" t="s">
        <v>14</v>
      </c>
      <c r="J112" s="92" t="s">
        <v>1868</v>
      </c>
      <c r="K112" s="153"/>
    </row>
    <row r="113" spans="1:11" x14ac:dyDescent="0.3">
      <c r="A113" s="92" t="s">
        <v>4112</v>
      </c>
      <c r="B113" s="92" t="s">
        <v>4093</v>
      </c>
      <c r="C113" s="92" t="s">
        <v>4113</v>
      </c>
      <c r="D113" s="92" t="s">
        <v>13</v>
      </c>
      <c r="E113" s="92" t="s">
        <v>1427</v>
      </c>
      <c r="F113" s="92" t="s">
        <v>4114</v>
      </c>
      <c r="G113" s="92" t="s">
        <v>4115</v>
      </c>
      <c r="H113" s="92" t="s">
        <v>4116</v>
      </c>
      <c r="I113" s="92" t="s">
        <v>14</v>
      </c>
      <c r="J113" s="92" t="s">
        <v>1852</v>
      </c>
      <c r="K113" s="153"/>
    </row>
    <row r="114" spans="1:11" x14ac:dyDescent="0.3">
      <c r="A114" s="92" t="s">
        <v>4117</v>
      </c>
      <c r="B114" s="92" t="s">
        <v>4093</v>
      </c>
      <c r="C114" s="92" t="s">
        <v>4118</v>
      </c>
      <c r="D114" s="92" t="s">
        <v>13</v>
      </c>
      <c r="E114" s="92" t="s">
        <v>1427</v>
      </c>
      <c r="F114" s="92" t="s">
        <v>4021</v>
      </c>
      <c r="G114" s="92" t="s">
        <v>4118</v>
      </c>
      <c r="H114" s="92" t="s">
        <v>4119</v>
      </c>
      <c r="I114" s="92" t="s">
        <v>14</v>
      </c>
      <c r="J114" s="92" t="s">
        <v>1868</v>
      </c>
      <c r="K114" s="153"/>
    </row>
    <row r="115" spans="1:11" x14ac:dyDescent="0.3">
      <c r="A115" s="92" t="s">
        <v>4120</v>
      </c>
      <c r="B115" s="92" t="s">
        <v>4093</v>
      </c>
      <c r="C115" s="92" t="s">
        <v>4121</v>
      </c>
      <c r="D115" s="92" t="s">
        <v>10</v>
      </c>
      <c r="E115" s="92" t="s">
        <v>4122</v>
      </c>
      <c r="F115" s="92" t="s">
        <v>3978</v>
      </c>
      <c r="G115" s="92" t="s">
        <v>4123</v>
      </c>
      <c r="H115" s="92" t="s">
        <v>3986</v>
      </c>
      <c r="I115" s="92" t="s">
        <v>4124</v>
      </c>
      <c r="J115" s="92" t="s">
        <v>1852</v>
      </c>
      <c r="K115" s="153"/>
    </row>
    <row r="116" spans="1:11" x14ac:dyDescent="0.3">
      <c r="A116" s="92" t="s">
        <v>4125</v>
      </c>
      <c r="B116" s="92" t="s">
        <v>4093</v>
      </c>
      <c r="C116" s="92" t="s">
        <v>4126</v>
      </c>
      <c r="D116" s="92" t="s">
        <v>13</v>
      </c>
      <c r="E116" s="92" t="s">
        <v>4127</v>
      </c>
      <c r="F116" s="92" t="s">
        <v>4128</v>
      </c>
      <c r="G116" s="92" t="s">
        <v>4129</v>
      </c>
      <c r="H116" s="92" t="s">
        <v>4130</v>
      </c>
      <c r="I116" s="92" t="s">
        <v>14</v>
      </c>
      <c r="J116" s="92" t="s">
        <v>1868</v>
      </c>
      <c r="K116" s="153"/>
    </row>
    <row r="117" spans="1:11" x14ac:dyDescent="0.3">
      <c r="A117" s="92" t="s">
        <v>4131</v>
      </c>
      <c r="B117" s="92" t="s">
        <v>4093</v>
      </c>
      <c r="C117" s="92" t="s">
        <v>4132</v>
      </c>
      <c r="D117" s="92" t="s">
        <v>13</v>
      </c>
      <c r="E117" s="92" t="s">
        <v>1427</v>
      </c>
      <c r="F117" s="92" t="s">
        <v>4133</v>
      </c>
      <c r="G117" s="92" t="s">
        <v>4134</v>
      </c>
      <c r="H117" s="92" t="s">
        <v>4135</v>
      </c>
      <c r="I117" s="92" t="s">
        <v>14</v>
      </c>
      <c r="J117" s="92" t="s">
        <v>1868</v>
      </c>
      <c r="K117" s="153"/>
    </row>
    <row r="118" spans="1:11" x14ac:dyDescent="0.3">
      <c r="A118" s="92" t="s">
        <v>4136</v>
      </c>
      <c r="B118" s="92" t="s">
        <v>4093</v>
      </c>
      <c r="C118" s="92" t="s">
        <v>4137</v>
      </c>
      <c r="D118" s="92" t="s">
        <v>13</v>
      </c>
      <c r="E118" s="92" t="s">
        <v>1427</v>
      </c>
      <c r="F118" s="92" t="s">
        <v>4138</v>
      </c>
      <c r="G118" s="92" t="s">
        <v>4139</v>
      </c>
      <c r="H118" s="92" t="s">
        <v>4140</v>
      </c>
      <c r="I118" s="92" t="s">
        <v>14</v>
      </c>
      <c r="J118" s="92" t="s">
        <v>1868</v>
      </c>
      <c r="K118" s="153"/>
    </row>
    <row r="119" spans="1:11" x14ac:dyDescent="0.3">
      <c r="A119" s="92" t="s">
        <v>4141</v>
      </c>
      <c r="B119" s="92" t="s">
        <v>4093</v>
      </c>
      <c r="C119" s="92" t="s">
        <v>4142</v>
      </c>
      <c r="D119" s="92" t="s">
        <v>13</v>
      </c>
      <c r="E119" s="92" t="s">
        <v>1427</v>
      </c>
      <c r="F119" s="92" t="s">
        <v>4143</v>
      </c>
      <c r="G119" s="92" t="s">
        <v>4144</v>
      </c>
      <c r="H119" s="92" t="s">
        <v>4145</v>
      </c>
      <c r="I119" s="92" t="s">
        <v>14</v>
      </c>
      <c r="J119" s="92" t="s">
        <v>1868</v>
      </c>
      <c r="K119" s="153"/>
    </row>
    <row r="120" spans="1:11" x14ac:dyDescent="0.3">
      <c r="A120" s="92" t="s">
        <v>4146</v>
      </c>
      <c r="B120" s="92" t="s">
        <v>4093</v>
      </c>
      <c r="C120" s="92" t="s">
        <v>4147</v>
      </c>
      <c r="D120" s="92" t="s">
        <v>13</v>
      </c>
      <c r="E120" s="92" t="s">
        <v>1427</v>
      </c>
      <c r="F120" s="92" t="s">
        <v>4148</v>
      </c>
      <c r="G120" s="92" t="s">
        <v>4149</v>
      </c>
      <c r="H120" s="92" t="s">
        <v>4150</v>
      </c>
      <c r="I120" s="92" t="s">
        <v>14</v>
      </c>
      <c r="J120" s="92" t="s">
        <v>1868</v>
      </c>
      <c r="K120" s="153"/>
    </row>
    <row r="121" spans="1:11" x14ac:dyDescent="0.3">
      <c r="A121" s="92" t="s">
        <v>4151</v>
      </c>
      <c r="B121" s="92" t="s">
        <v>4093</v>
      </c>
      <c r="C121" s="92" t="s">
        <v>4152</v>
      </c>
      <c r="D121" s="92" t="s">
        <v>10</v>
      </c>
      <c r="E121" s="92" t="s">
        <v>37</v>
      </c>
      <c r="F121" s="92" t="s">
        <v>4153</v>
      </c>
      <c r="G121" s="92" t="s">
        <v>3890</v>
      </c>
      <c r="H121" s="92" t="s">
        <v>13761</v>
      </c>
      <c r="I121" s="92" t="s">
        <v>4154</v>
      </c>
      <c r="J121" s="92" t="s">
        <v>1852</v>
      </c>
      <c r="K121" s="153"/>
    </row>
    <row r="122" spans="1:11" x14ac:dyDescent="0.3">
      <c r="A122" s="93" t="s">
        <v>4155</v>
      </c>
      <c r="B122" s="93" t="s">
        <v>4156</v>
      </c>
      <c r="C122" s="93" t="s">
        <v>4157</v>
      </c>
      <c r="D122" s="93" t="s">
        <v>21</v>
      </c>
      <c r="E122" s="93" t="s">
        <v>721</v>
      </c>
      <c r="F122" s="93" t="s">
        <v>4158</v>
      </c>
      <c r="G122" s="93" t="s">
        <v>4159</v>
      </c>
      <c r="H122" s="93" t="s">
        <v>4160</v>
      </c>
      <c r="I122" s="93" t="s">
        <v>4161</v>
      </c>
      <c r="J122" s="93" t="s">
        <v>1852</v>
      </c>
      <c r="K122" s="153"/>
    </row>
    <row r="123" spans="1:11" x14ac:dyDescent="0.3">
      <c r="A123" s="93" t="s">
        <v>4162</v>
      </c>
      <c r="B123" s="93" t="s">
        <v>4156</v>
      </c>
      <c r="C123" s="93" t="s">
        <v>13043</v>
      </c>
      <c r="D123" s="93" t="s">
        <v>21</v>
      </c>
      <c r="E123" s="93" t="s">
        <v>13026</v>
      </c>
      <c r="F123" s="93" t="s">
        <v>4163</v>
      </c>
      <c r="G123" s="93" t="s">
        <v>4164</v>
      </c>
      <c r="H123" s="93" t="s">
        <v>13044</v>
      </c>
      <c r="I123" s="93" t="s">
        <v>13045</v>
      </c>
      <c r="J123" s="93" t="s">
        <v>1852</v>
      </c>
      <c r="K123" s="153"/>
    </row>
    <row r="124" spans="1:11" x14ac:dyDescent="0.3">
      <c r="A124" s="93" t="s">
        <v>4165</v>
      </c>
      <c r="B124" s="93" t="s">
        <v>4156</v>
      </c>
      <c r="C124" s="93" t="s">
        <v>4166</v>
      </c>
      <c r="D124" s="93" t="s">
        <v>10</v>
      </c>
      <c r="E124" s="93" t="s">
        <v>721</v>
      </c>
      <c r="F124" s="93" t="s">
        <v>4167</v>
      </c>
      <c r="G124" s="93" t="s">
        <v>4168</v>
      </c>
      <c r="H124" s="93" t="s">
        <v>4169</v>
      </c>
      <c r="I124" s="93" t="s">
        <v>4170</v>
      </c>
      <c r="J124" s="93" t="s">
        <v>1852</v>
      </c>
      <c r="K124" s="153"/>
    </row>
    <row r="125" spans="1:11" x14ac:dyDescent="0.3">
      <c r="A125" s="93" t="s">
        <v>4171</v>
      </c>
      <c r="B125" s="93" t="s">
        <v>4156</v>
      </c>
      <c r="C125" s="93" t="s">
        <v>4172</v>
      </c>
      <c r="D125" s="93" t="s">
        <v>13</v>
      </c>
      <c r="E125" s="93" t="s">
        <v>721</v>
      </c>
      <c r="F125" s="93" t="s">
        <v>4167</v>
      </c>
      <c r="G125" s="93" t="s">
        <v>4173</v>
      </c>
      <c r="H125" s="93" t="s">
        <v>4174</v>
      </c>
      <c r="I125" s="93" t="s">
        <v>14</v>
      </c>
      <c r="J125" s="93" t="s">
        <v>1868</v>
      </c>
      <c r="K125" s="153"/>
    </row>
    <row r="126" spans="1:11" x14ac:dyDescent="0.3">
      <c r="A126" s="93" t="s">
        <v>4175</v>
      </c>
      <c r="B126" s="93" t="s">
        <v>4156</v>
      </c>
      <c r="C126" s="93" t="s">
        <v>4176</v>
      </c>
      <c r="D126" s="93" t="s">
        <v>13</v>
      </c>
      <c r="E126" s="93" t="s">
        <v>1427</v>
      </c>
      <c r="F126" s="93" t="s">
        <v>4177</v>
      </c>
      <c r="G126" s="93" t="s">
        <v>4178</v>
      </c>
      <c r="H126" s="93" t="s">
        <v>4179</v>
      </c>
      <c r="I126" s="93" t="s">
        <v>14</v>
      </c>
      <c r="J126" s="93" t="s">
        <v>1868</v>
      </c>
      <c r="K126" s="153"/>
    </row>
    <row r="127" spans="1:11" x14ac:dyDescent="0.3">
      <c r="A127" s="93" t="s">
        <v>4180</v>
      </c>
      <c r="B127" s="93" t="s">
        <v>4156</v>
      </c>
      <c r="C127" s="93" t="s">
        <v>4181</v>
      </c>
      <c r="D127" s="93" t="s">
        <v>13</v>
      </c>
      <c r="E127" s="93" t="s">
        <v>1427</v>
      </c>
      <c r="F127" s="93" t="s">
        <v>4182</v>
      </c>
      <c r="G127" s="93" t="s">
        <v>4183</v>
      </c>
      <c r="H127" s="93" t="s">
        <v>4184</v>
      </c>
      <c r="I127" s="93" t="s">
        <v>14</v>
      </c>
      <c r="J127" s="93" t="s">
        <v>1868</v>
      </c>
      <c r="K127" s="153"/>
    </row>
    <row r="128" spans="1:11" x14ac:dyDescent="0.3">
      <c r="A128" s="93" t="s">
        <v>4185</v>
      </c>
      <c r="B128" s="93" t="s">
        <v>4156</v>
      </c>
      <c r="C128" s="93" t="s">
        <v>4186</v>
      </c>
      <c r="D128" s="93" t="s">
        <v>13</v>
      </c>
      <c r="E128" s="93" t="s">
        <v>1427</v>
      </c>
      <c r="F128" s="93" t="s">
        <v>4187</v>
      </c>
      <c r="G128" s="93" t="s">
        <v>4188</v>
      </c>
      <c r="H128" s="93" t="s">
        <v>4189</v>
      </c>
      <c r="I128" s="93" t="s">
        <v>14</v>
      </c>
      <c r="J128" s="93" t="s">
        <v>1868</v>
      </c>
      <c r="K128" s="153"/>
    </row>
    <row r="129" spans="1:11" x14ac:dyDescent="0.3">
      <c r="A129" s="93" t="s">
        <v>4190</v>
      </c>
      <c r="B129" s="93" t="s">
        <v>4156</v>
      </c>
      <c r="C129" s="93" t="s">
        <v>4191</v>
      </c>
      <c r="D129" s="93" t="s">
        <v>21</v>
      </c>
      <c r="E129" s="93" t="s">
        <v>1427</v>
      </c>
      <c r="F129" s="93" t="s">
        <v>4192</v>
      </c>
      <c r="G129" s="93" t="s">
        <v>4193</v>
      </c>
      <c r="H129" s="93" t="s">
        <v>4194</v>
      </c>
      <c r="I129" s="93" t="s">
        <v>4195</v>
      </c>
      <c r="J129" s="93" t="s">
        <v>1868</v>
      </c>
      <c r="K129" s="153"/>
    </row>
    <row r="130" spans="1:11" x14ac:dyDescent="0.3">
      <c r="A130" s="93" t="s">
        <v>4196</v>
      </c>
      <c r="B130" s="93" t="s">
        <v>4156</v>
      </c>
      <c r="C130" s="93" t="s">
        <v>4197</v>
      </c>
      <c r="D130" s="93" t="s">
        <v>10</v>
      </c>
      <c r="E130" s="93" t="s">
        <v>721</v>
      </c>
      <c r="F130" s="93" t="s">
        <v>4198</v>
      </c>
      <c r="G130" s="93" t="s">
        <v>4199</v>
      </c>
      <c r="H130" s="93" t="s">
        <v>4200</v>
      </c>
      <c r="I130" s="93" t="s">
        <v>4201</v>
      </c>
      <c r="J130" s="93" t="s">
        <v>1852</v>
      </c>
      <c r="K130" s="153"/>
    </row>
    <row r="131" spans="1:11" x14ac:dyDescent="0.3">
      <c r="A131" s="93" t="s">
        <v>4202</v>
      </c>
      <c r="B131" s="93" t="s">
        <v>4156</v>
      </c>
      <c r="C131" s="93" t="s">
        <v>4203</v>
      </c>
      <c r="D131" s="93" t="s">
        <v>13</v>
      </c>
      <c r="E131" s="93" t="s">
        <v>4204</v>
      </c>
      <c r="F131" s="93" t="s">
        <v>4205</v>
      </c>
      <c r="G131" s="93" t="s">
        <v>4206</v>
      </c>
      <c r="H131" s="93" t="s">
        <v>4207</v>
      </c>
      <c r="I131" s="93" t="s">
        <v>4208</v>
      </c>
      <c r="J131" s="93" t="s">
        <v>1868</v>
      </c>
      <c r="K131" s="153"/>
    </row>
    <row r="132" spans="1:11" x14ac:dyDescent="0.3">
      <c r="A132" s="93" t="s">
        <v>4209</v>
      </c>
      <c r="B132" s="93" t="s">
        <v>4156</v>
      </c>
      <c r="C132" s="93" t="s">
        <v>4210</v>
      </c>
      <c r="D132" s="93" t="s">
        <v>13</v>
      </c>
      <c r="E132" s="93" t="s">
        <v>4088</v>
      </c>
      <c r="F132" s="93" t="s">
        <v>4211</v>
      </c>
      <c r="G132" s="93" t="s">
        <v>4090</v>
      </c>
      <c r="H132" s="93" t="s">
        <v>4212</v>
      </c>
      <c r="I132" s="93" t="s">
        <v>14</v>
      </c>
      <c r="J132" s="93" t="s">
        <v>1852</v>
      </c>
      <c r="K132" s="153"/>
    </row>
    <row r="133" spans="1:11" x14ac:dyDescent="0.3">
      <c r="A133" s="93" t="s">
        <v>4213</v>
      </c>
      <c r="B133" s="93" t="s">
        <v>4156</v>
      </c>
      <c r="C133" s="93" t="s">
        <v>4214</v>
      </c>
      <c r="D133" s="93" t="s">
        <v>13</v>
      </c>
      <c r="E133" s="93" t="s">
        <v>4215</v>
      </c>
      <c r="F133" s="93" t="s">
        <v>4216</v>
      </c>
      <c r="G133" s="93" t="s">
        <v>4217</v>
      </c>
      <c r="H133" s="93" t="s">
        <v>4218</v>
      </c>
      <c r="I133" s="93" t="s">
        <v>14</v>
      </c>
      <c r="J133" s="93" t="s">
        <v>1868</v>
      </c>
      <c r="K133" s="153"/>
    </row>
    <row r="134" spans="1:11" x14ac:dyDescent="0.3">
      <c r="A134" s="87" t="s">
        <v>4219</v>
      </c>
      <c r="B134" s="87" t="s">
        <v>4220</v>
      </c>
      <c r="C134" s="87" t="s">
        <v>4221</v>
      </c>
      <c r="D134" s="87" t="s">
        <v>21</v>
      </c>
      <c r="E134" s="87" t="s">
        <v>86</v>
      </c>
      <c r="F134" s="87" t="s">
        <v>4222</v>
      </c>
      <c r="G134" s="87" t="s">
        <v>4223</v>
      </c>
      <c r="H134" s="87" t="s">
        <v>4224</v>
      </c>
      <c r="I134" s="87" t="s">
        <v>4225</v>
      </c>
      <c r="J134" s="87" t="s">
        <v>1852</v>
      </c>
      <c r="K134" s="153"/>
    </row>
    <row r="135" spans="1:11" x14ac:dyDescent="0.3">
      <c r="A135" s="87" t="s">
        <v>4226</v>
      </c>
      <c r="B135" s="87" t="s">
        <v>4220</v>
      </c>
      <c r="C135" s="87" t="s">
        <v>4227</v>
      </c>
      <c r="D135" s="87" t="s">
        <v>21</v>
      </c>
      <c r="E135" s="87" t="s">
        <v>86</v>
      </c>
      <c r="F135" s="87" t="s">
        <v>4228</v>
      </c>
      <c r="G135" s="87" t="s">
        <v>4229</v>
      </c>
      <c r="H135" s="87" t="s">
        <v>4230</v>
      </c>
      <c r="I135" s="87" t="s">
        <v>4231</v>
      </c>
      <c r="J135" s="87" t="s">
        <v>1852</v>
      </c>
      <c r="K135" s="153"/>
    </row>
    <row r="136" spans="1:11" x14ac:dyDescent="0.3">
      <c r="A136" s="87" t="s">
        <v>4232</v>
      </c>
      <c r="B136" s="87" t="s">
        <v>4220</v>
      </c>
      <c r="C136" s="87" t="s">
        <v>4233</v>
      </c>
      <c r="D136" s="87" t="s">
        <v>21</v>
      </c>
      <c r="E136" s="87" t="s">
        <v>4234</v>
      </c>
      <c r="F136" s="87" t="s">
        <v>4235</v>
      </c>
      <c r="G136" s="87" t="s">
        <v>4236</v>
      </c>
      <c r="H136" s="87" t="s">
        <v>4237</v>
      </c>
      <c r="I136" s="87" t="s">
        <v>14</v>
      </c>
      <c r="J136" s="87" t="s">
        <v>1868</v>
      </c>
      <c r="K136" s="153"/>
    </row>
    <row r="137" spans="1:11" x14ac:dyDescent="0.3">
      <c r="A137" s="87" t="s">
        <v>4238</v>
      </c>
      <c r="B137" s="87" t="s">
        <v>4220</v>
      </c>
      <c r="C137" s="87" t="s">
        <v>4239</v>
      </c>
      <c r="D137" s="87" t="s">
        <v>21</v>
      </c>
      <c r="E137" s="87" t="s">
        <v>49</v>
      </c>
      <c r="F137" s="87" t="s">
        <v>4240</v>
      </c>
      <c r="G137" s="87" t="s">
        <v>4241</v>
      </c>
      <c r="H137" s="87" t="s">
        <v>4242</v>
      </c>
      <c r="I137" s="87" t="s">
        <v>4243</v>
      </c>
      <c r="J137" s="87" t="s">
        <v>1852</v>
      </c>
      <c r="K137" s="153"/>
    </row>
    <row r="138" spans="1:11" x14ac:dyDescent="0.3">
      <c r="A138" s="87" t="s">
        <v>4244</v>
      </c>
      <c r="B138" s="87" t="s">
        <v>4220</v>
      </c>
      <c r="C138" s="87" t="s">
        <v>4245</v>
      </c>
      <c r="D138" s="87" t="s">
        <v>21</v>
      </c>
      <c r="E138" s="87" t="s">
        <v>195</v>
      </c>
      <c r="F138" s="87" t="s">
        <v>4246</v>
      </c>
      <c r="G138" s="87" t="s">
        <v>4247</v>
      </c>
      <c r="H138" s="87" t="s">
        <v>4248</v>
      </c>
      <c r="I138" s="87" t="s">
        <v>14</v>
      </c>
      <c r="J138" s="87" t="s">
        <v>1868</v>
      </c>
      <c r="K138" s="153"/>
    </row>
    <row r="139" spans="1:11" x14ac:dyDescent="0.3">
      <c r="A139" s="87" t="s">
        <v>4249</v>
      </c>
      <c r="B139" s="87" t="s">
        <v>4220</v>
      </c>
      <c r="C139" s="87" t="s">
        <v>4250</v>
      </c>
      <c r="D139" s="87" t="s">
        <v>21</v>
      </c>
      <c r="E139" s="87" t="s">
        <v>4251</v>
      </c>
      <c r="F139" s="87" t="s">
        <v>4252</v>
      </c>
      <c r="G139" s="87" t="s">
        <v>4253</v>
      </c>
      <c r="H139" s="87" t="s">
        <v>4254</v>
      </c>
      <c r="I139" s="87" t="s">
        <v>4255</v>
      </c>
      <c r="J139" s="87" t="s">
        <v>1868</v>
      </c>
      <c r="K139" s="153"/>
    </row>
    <row r="140" spans="1:11" x14ac:dyDescent="0.3">
      <c r="A140" s="87" t="s">
        <v>4256</v>
      </c>
      <c r="B140" s="87" t="s">
        <v>4220</v>
      </c>
      <c r="C140" s="87" t="s">
        <v>4257</v>
      </c>
      <c r="D140" s="87" t="s">
        <v>21</v>
      </c>
      <c r="E140" s="87" t="s">
        <v>176</v>
      </c>
      <c r="F140" s="87" t="s">
        <v>3604</v>
      </c>
      <c r="G140" s="87" t="s">
        <v>4258</v>
      </c>
      <c r="H140" s="87" t="s">
        <v>4259</v>
      </c>
      <c r="I140" s="87" t="s">
        <v>14</v>
      </c>
      <c r="J140" s="87" t="s">
        <v>1868</v>
      </c>
      <c r="K140" s="153"/>
    </row>
    <row r="141" spans="1:11" x14ac:dyDescent="0.3">
      <c r="A141" s="87" t="s">
        <v>4260</v>
      </c>
      <c r="B141" s="87" t="s">
        <v>4220</v>
      </c>
      <c r="C141" s="87" t="s">
        <v>4261</v>
      </c>
      <c r="D141" s="87" t="s">
        <v>21</v>
      </c>
      <c r="E141" s="87" t="s">
        <v>4262</v>
      </c>
      <c r="F141" s="87" t="s">
        <v>3604</v>
      </c>
      <c r="G141" s="87" t="s">
        <v>4263</v>
      </c>
      <c r="H141" s="87" t="s">
        <v>4264</v>
      </c>
      <c r="I141" s="87" t="s">
        <v>14</v>
      </c>
      <c r="J141" s="87" t="s">
        <v>1868</v>
      </c>
      <c r="K141" s="153"/>
    </row>
    <row r="142" spans="1:11" x14ac:dyDescent="0.3">
      <c r="A142" s="87" t="s">
        <v>4265</v>
      </c>
      <c r="B142" s="87" t="s">
        <v>4220</v>
      </c>
      <c r="C142" s="87" t="s">
        <v>4266</v>
      </c>
      <c r="D142" s="87" t="s">
        <v>10</v>
      </c>
      <c r="E142" s="87" t="s">
        <v>4262</v>
      </c>
      <c r="F142" s="87" t="s">
        <v>3604</v>
      </c>
      <c r="G142" s="87" t="s">
        <v>4267</v>
      </c>
      <c r="H142" s="87" t="s">
        <v>3922</v>
      </c>
      <c r="I142" s="87" t="s">
        <v>4268</v>
      </c>
      <c r="J142" s="87" t="s">
        <v>1868</v>
      </c>
      <c r="K142" s="153"/>
    </row>
    <row r="143" spans="1:11" x14ac:dyDescent="0.3">
      <c r="A143" s="87" t="s">
        <v>4269</v>
      </c>
      <c r="B143" s="87" t="s">
        <v>4220</v>
      </c>
      <c r="C143" s="87" t="s">
        <v>4270</v>
      </c>
      <c r="D143" s="87" t="s">
        <v>21</v>
      </c>
      <c r="E143" s="87" t="s">
        <v>176</v>
      </c>
      <c r="F143" s="87" t="s">
        <v>3604</v>
      </c>
      <c r="G143" s="87" t="s">
        <v>4271</v>
      </c>
      <c r="H143" s="87" t="s">
        <v>4272</v>
      </c>
      <c r="I143" s="87" t="s">
        <v>14</v>
      </c>
      <c r="J143" s="87" t="s">
        <v>1868</v>
      </c>
      <c r="K143" s="153"/>
    </row>
    <row r="144" spans="1:11" x14ac:dyDescent="0.3">
      <c r="A144" s="87" t="s">
        <v>4273</v>
      </c>
      <c r="B144" s="87" t="s">
        <v>4220</v>
      </c>
      <c r="C144" s="87" t="s">
        <v>4274</v>
      </c>
      <c r="D144" s="87" t="s">
        <v>21</v>
      </c>
      <c r="E144" s="87" t="s">
        <v>106</v>
      </c>
      <c r="F144" s="87" t="s">
        <v>4275</v>
      </c>
      <c r="G144" s="87" t="s">
        <v>4276</v>
      </c>
      <c r="H144" s="87" t="s">
        <v>4277</v>
      </c>
      <c r="I144" s="87" t="s">
        <v>14</v>
      </c>
      <c r="J144" s="87" t="s">
        <v>1868</v>
      </c>
      <c r="K144" s="153"/>
    </row>
    <row r="145" spans="1:11" x14ac:dyDescent="0.3">
      <c r="A145" s="87" t="s">
        <v>4278</v>
      </c>
      <c r="B145" s="87" t="s">
        <v>4220</v>
      </c>
      <c r="C145" s="87" t="s">
        <v>4279</v>
      </c>
      <c r="D145" s="87" t="s">
        <v>21</v>
      </c>
      <c r="E145" s="87" t="s">
        <v>106</v>
      </c>
      <c r="F145" s="87" t="s">
        <v>4280</v>
      </c>
      <c r="G145" s="87" t="s">
        <v>4281</v>
      </c>
      <c r="H145" s="87" t="s">
        <v>4282</v>
      </c>
      <c r="I145" s="87" t="s">
        <v>14</v>
      </c>
      <c r="J145" s="87" t="s">
        <v>1868</v>
      </c>
      <c r="K145" s="153"/>
    </row>
    <row r="146" spans="1:11" x14ac:dyDescent="0.3">
      <c r="A146" s="87" t="s">
        <v>4283</v>
      </c>
      <c r="B146" s="87" t="s">
        <v>4220</v>
      </c>
      <c r="C146" s="87" t="s">
        <v>4284</v>
      </c>
      <c r="D146" s="87" t="s">
        <v>13</v>
      </c>
      <c r="E146" s="87" t="s">
        <v>1625</v>
      </c>
      <c r="F146" s="87" t="s">
        <v>4285</v>
      </c>
      <c r="G146" s="87" t="s">
        <v>4286</v>
      </c>
      <c r="H146" s="87" t="s">
        <v>4287</v>
      </c>
      <c r="I146" s="87" t="s">
        <v>14</v>
      </c>
      <c r="J146" s="87" t="s">
        <v>1868</v>
      </c>
      <c r="K146" s="153"/>
    </row>
    <row r="147" spans="1:11" x14ac:dyDescent="0.3">
      <c r="A147" s="87" t="s">
        <v>4288</v>
      </c>
      <c r="B147" s="87" t="s">
        <v>4220</v>
      </c>
      <c r="C147" s="87" t="s">
        <v>4289</v>
      </c>
      <c r="D147" s="87" t="s">
        <v>13</v>
      </c>
      <c r="E147" s="87" t="s">
        <v>1625</v>
      </c>
      <c r="F147" s="87" t="s">
        <v>4290</v>
      </c>
      <c r="G147" s="87" t="s">
        <v>4291</v>
      </c>
      <c r="H147" s="87" t="s">
        <v>4292</v>
      </c>
      <c r="I147" s="87" t="s">
        <v>14</v>
      </c>
      <c r="J147" s="87" t="s">
        <v>1868</v>
      </c>
      <c r="K147" s="153"/>
    </row>
    <row r="148" spans="1:11" x14ac:dyDescent="0.3">
      <c r="A148" s="87" t="s">
        <v>4293</v>
      </c>
      <c r="B148" s="87" t="s">
        <v>4220</v>
      </c>
      <c r="C148" s="87" t="s">
        <v>4294</v>
      </c>
      <c r="D148" s="87" t="s">
        <v>21</v>
      </c>
      <c r="E148" s="87" t="s">
        <v>152</v>
      </c>
      <c r="F148" s="87" t="s">
        <v>4295</v>
      </c>
      <c r="G148" s="87" t="s">
        <v>3570</v>
      </c>
      <c r="H148" s="87" t="s">
        <v>4296</v>
      </c>
      <c r="I148" s="87" t="s">
        <v>156</v>
      </c>
      <c r="J148" s="87" t="s">
        <v>1852</v>
      </c>
      <c r="K148" s="153"/>
    </row>
    <row r="149" spans="1:11" x14ac:dyDescent="0.3">
      <c r="A149" s="87" t="s">
        <v>4297</v>
      </c>
      <c r="B149" s="87" t="s">
        <v>4220</v>
      </c>
      <c r="C149" s="87" t="s">
        <v>4298</v>
      </c>
      <c r="D149" s="87" t="s">
        <v>21</v>
      </c>
      <c r="E149" s="87" t="s">
        <v>152</v>
      </c>
      <c r="F149" s="87" t="s">
        <v>4299</v>
      </c>
      <c r="G149" s="87" t="s">
        <v>3570</v>
      </c>
      <c r="H149" s="87" t="s">
        <v>4300</v>
      </c>
      <c r="I149" s="87" t="s">
        <v>4301</v>
      </c>
      <c r="J149" s="87" t="s">
        <v>1852</v>
      </c>
      <c r="K149" s="153"/>
    </row>
    <row r="150" spans="1:11" x14ac:dyDescent="0.3">
      <c r="A150" s="87" t="s">
        <v>4302</v>
      </c>
      <c r="B150" s="87" t="s">
        <v>4220</v>
      </c>
      <c r="C150" s="87" t="s">
        <v>4303</v>
      </c>
      <c r="D150" s="87" t="s">
        <v>13</v>
      </c>
      <c r="E150" s="87" t="s">
        <v>152</v>
      </c>
      <c r="F150" s="87" t="s">
        <v>4304</v>
      </c>
      <c r="G150" s="87" t="s">
        <v>4305</v>
      </c>
      <c r="H150" s="87" t="s">
        <v>4306</v>
      </c>
      <c r="I150" s="87" t="s">
        <v>4307</v>
      </c>
      <c r="J150" s="87" t="s">
        <v>1868</v>
      </c>
      <c r="K150" s="153"/>
    </row>
    <row r="151" spans="1:11" x14ac:dyDescent="0.3">
      <c r="A151" s="87" t="s">
        <v>4308</v>
      </c>
      <c r="B151" s="87" t="s">
        <v>4220</v>
      </c>
      <c r="C151" s="87" t="s">
        <v>133</v>
      </c>
      <c r="D151" s="87" t="s">
        <v>21</v>
      </c>
      <c r="E151" s="87" t="s">
        <v>134</v>
      </c>
      <c r="F151" s="87" t="s">
        <v>4309</v>
      </c>
      <c r="G151" s="87" t="s">
        <v>4310</v>
      </c>
      <c r="H151" s="87" t="s">
        <v>4311</v>
      </c>
      <c r="I151" s="87" t="s">
        <v>138</v>
      </c>
      <c r="J151" s="87" t="s">
        <v>1852</v>
      </c>
      <c r="K151" s="153"/>
    </row>
    <row r="152" spans="1:11" x14ac:dyDescent="0.3">
      <c r="A152" s="87" t="s">
        <v>4312</v>
      </c>
      <c r="B152" s="87" t="s">
        <v>4220</v>
      </c>
      <c r="C152" s="87" t="s">
        <v>4313</v>
      </c>
      <c r="D152" s="87" t="s">
        <v>21</v>
      </c>
      <c r="E152" s="87" t="s">
        <v>134</v>
      </c>
      <c r="F152" s="87" t="s">
        <v>4314</v>
      </c>
      <c r="G152" s="87" t="s">
        <v>4315</v>
      </c>
      <c r="H152" s="87" t="s">
        <v>4316</v>
      </c>
      <c r="I152" s="87" t="s">
        <v>14</v>
      </c>
      <c r="J152" s="87" t="s">
        <v>1868</v>
      </c>
      <c r="K152" s="153"/>
    </row>
    <row r="153" spans="1:11" x14ac:dyDescent="0.3">
      <c r="A153" s="87" t="s">
        <v>4317</v>
      </c>
      <c r="B153" s="87" t="s">
        <v>4220</v>
      </c>
      <c r="C153" s="87" t="s">
        <v>4318</v>
      </c>
      <c r="D153" s="87" t="s">
        <v>21</v>
      </c>
      <c r="E153" s="87" t="s">
        <v>176</v>
      </c>
      <c r="F153" s="87" t="s">
        <v>4319</v>
      </c>
      <c r="G153" s="87" t="s">
        <v>4320</v>
      </c>
      <c r="H153" s="87" t="s">
        <v>4321</v>
      </c>
      <c r="I153" s="87" t="s">
        <v>4322</v>
      </c>
      <c r="J153" s="87" t="s">
        <v>1852</v>
      </c>
      <c r="K153" s="153"/>
    </row>
    <row r="154" spans="1:11" x14ac:dyDescent="0.3">
      <c r="A154" s="87" t="s">
        <v>4323</v>
      </c>
      <c r="B154" s="87" t="s">
        <v>4220</v>
      </c>
      <c r="C154" s="87" t="s">
        <v>4324</v>
      </c>
      <c r="D154" s="87" t="s">
        <v>21</v>
      </c>
      <c r="E154" s="87" t="s">
        <v>86</v>
      </c>
      <c r="F154" s="87" t="s">
        <v>4325</v>
      </c>
      <c r="G154" s="87" t="s">
        <v>4326</v>
      </c>
      <c r="H154" s="87" t="s">
        <v>4327</v>
      </c>
      <c r="I154" s="87" t="s">
        <v>14</v>
      </c>
      <c r="J154" s="87" t="s">
        <v>1868</v>
      </c>
      <c r="K154" s="153"/>
    </row>
    <row r="155" spans="1:11" x14ac:dyDescent="0.3">
      <c r="A155" s="87" t="s">
        <v>4328</v>
      </c>
      <c r="B155" s="87" t="s">
        <v>4220</v>
      </c>
      <c r="C155" s="87" t="s">
        <v>4329</v>
      </c>
      <c r="D155" s="87" t="s">
        <v>21</v>
      </c>
      <c r="E155" s="87" t="s">
        <v>122</v>
      </c>
      <c r="F155" s="87" t="s">
        <v>4330</v>
      </c>
      <c r="G155" s="87" t="s">
        <v>4331</v>
      </c>
      <c r="H155" s="87" t="s">
        <v>4332</v>
      </c>
      <c r="I155" s="87" t="s">
        <v>14</v>
      </c>
      <c r="J155" s="87" t="s">
        <v>1868</v>
      </c>
      <c r="K155" s="153"/>
    </row>
    <row r="156" spans="1:11" x14ac:dyDescent="0.3">
      <c r="A156" s="87" t="s">
        <v>4333</v>
      </c>
      <c r="B156" s="87" t="s">
        <v>4220</v>
      </c>
      <c r="C156" s="87" t="s">
        <v>4334</v>
      </c>
      <c r="D156" s="87" t="s">
        <v>21</v>
      </c>
      <c r="E156" s="87" t="s">
        <v>122</v>
      </c>
      <c r="F156" s="87" t="s">
        <v>4335</v>
      </c>
      <c r="G156" s="87" t="s">
        <v>4336</v>
      </c>
      <c r="H156" s="87" t="s">
        <v>4337</v>
      </c>
      <c r="I156" s="87" t="s">
        <v>14</v>
      </c>
      <c r="J156" s="87" t="s">
        <v>1868</v>
      </c>
      <c r="K156" s="153"/>
    </row>
    <row r="157" spans="1:11" x14ac:dyDescent="0.3">
      <c r="A157" s="94" t="s">
        <v>4338</v>
      </c>
      <c r="B157" s="94" t="s">
        <v>4339</v>
      </c>
      <c r="C157" s="94" t="s">
        <v>4340</v>
      </c>
      <c r="D157" s="94" t="s">
        <v>13</v>
      </c>
      <c r="E157" s="94" t="s">
        <v>14</v>
      </c>
      <c r="F157" s="94" t="s">
        <v>4341</v>
      </c>
      <c r="G157" s="94" t="s">
        <v>4342</v>
      </c>
      <c r="H157" s="94" t="s">
        <v>4343</v>
      </c>
      <c r="I157" s="94" t="s">
        <v>14</v>
      </c>
      <c r="J157" s="94" t="s">
        <v>1852</v>
      </c>
      <c r="K157" s="156"/>
    </row>
    <row r="158" spans="1:11" x14ac:dyDescent="0.3">
      <c r="A158" s="94" t="s">
        <v>4344</v>
      </c>
      <c r="B158" s="94" t="s">
        <v>4339</v>
      </c>
      <c r="C158" s="94" t="s">
        <v>4345</v>
      </c>
      <c r="D158" s="94" t="s">
        <v>13</v>
      </c>
      <c r="E158" s="94" t="s">
        <v>14</v>
      </c>
      <c r="F158" s="94" t="s">
        <v>4346</v>
      </c>
      <c r="G158" s="94" t="s">
        <v>4347</v>
      </c>
      <c r="H158" s="94" t="s">
        <v>4348</v>
      </c>
      <c r="I158" s="94" t="s">
        <v>14</v>
      </c>
      <c r="J158" s="94" t="s">
        <v>1852</v>
      </c>
      <c r="K158" s="153"/>
    </row>
    <row r="159" spans="1:11" x14ac:dyDescent="0.3">
      <c r="A159" s="94" t="s">
        <v>4349</v>
      </c>
      <c r="B159" s="94" t="s">
        <v>4339</v>
      </c>
      <c r="C159" s="94" t="s">
        <v>4350</v>
      </c>
      <c r="D159" s="94" t="s">
        <v>10</v>
      </c>
      <c r="E159" s="94" t="s">
        <v>699</v>
      </c>
      <c r="F159" s="94" t="s">
        <v>4351</v>
      </c>
      <c r="G159" s="94" t="s">
        <v>4352</v>
      </c>
      <c r="H159" s="94" t="s">
        <v>4353</v>
      </c>
      <c r="I159" s="94" t="s">
        <v>4354</v>
      </c>
      <c r="J159" s="94" t="s">
        <v>1852</v>
      </c>
      <c r="K159" s="153"/>
    </row>
    <row r="160" spans="1:11" x14ac:dyDescent="0.3">
      <c r="A160" s="94" t="s">
        <v>4355</v>
      </c>
      <c r="B160" s="94" t="s">
        <v>4339</v>
      </c>
      <c r="C160" s="94" t="s">
        <v>4356</v>
      </c>
      <c r="D160" s="94" t="s">
        <v>13</v>
      </c>
      <c r="E160" s="94" t="s">
        <v>14</v>
      </c>
      <c r="F160" s="94" t="s">
        <v>4357</v>
      </c>
      <c r="G160" s="94" t="s">
        <v>4358</v>
      </c>
      <c r="H160" s="94" t="s">
        <v>4359</v>
      </c>
      <c r="I160" s="94" t="s">
        <v>14</v>
      </c>
      <c r="J160" s="94" t="s">
        <v>1852</v>
      </c>
      <c r="K160" s="153"/>
    </row>
    <row r="161" spans="1:11" x14ac:dyDescent="0.3">
      <c r="A161" s="94" t="s">
        <v>4360</v>
      </c>
      <c r="B161" s="94" t="s">
        <v>4339</v>
      </c>
      <c r="C161" s="94" t="s">
        <v>4361</v>
      </c>
      <c r="D161" s="94" t="s">
        <v>13</v>
      </c>
      <c r="E161" s="94" t="s">
        <v>14</v>
      </c>
      <c r="F161" s="94" t="s">
        <v>4362</v>
      </c>
      <c r="G161" s="94" t="s">
        <v>4363</v>
      </c>
      <c r="H161" s="94" t="s">
        <v>4348</v>
      </c>
      <c r="I161" s="94" t="s">
        <v>14</v>
      </c>
      <c r="J161" s="94" t="s">
        <v>1852</v>
      </c>
      <c r="K161" s="153"/>
    </row>
    <row r="162" spans="1:11" x14ac:dyDescent="0.3">
      <c r="A162" s="94" t="s">
        <v>4364</v>
      </c>
      <c r="B162" s="94" t="s">
        <v>4339</v>
      </c>
      <c r="C162" s="94" t="s">
        <v>4365</v>
      </c>
      <c r="D162" s="94" t="s">
        <v>10</v>
      </c>
      <c r="E162" s="94" t="s">
        <v>14</v>
      </c>
      <c r="F162" s="94" t="s">
        <v>4366</v>
      </c>
      <c r="G162" s="94" t="s">
        <v>3789</v>
      </c>
      <c r="H162" s="94" t="s">
        <v>3542</v>
      </c>
      <c r="I162" s="94" t="s">
        <v>3797</v>
      </c>
      <c r="J162" s="94" t="s">
        <v>1852</v>
      </c>
      <c r="K162" s="153"/>
    </row>
    <row r="163" spans="1:11" x14ac:dyDescent="0.3">
      <c r="A163" s="94" t="s">
        <v>4367</v>
      </c>
      <c r="B163" s="94" t="s">
        <v>4339</v>
      </c>
      <c r="C163" s="94" t="s">
        <v>4368</v>
      </c>
      <c r="D163" s="94" t="s">
        <v>13</v>
      </c>
      <c r="E163" s="94" t="s">
        <v>14</v>
      </c>
      <c r="F163" s="94" t="s">
        <v>4369</v>
      </c>
      <c r="G163" s="94" t="s">
        <v>4370</v>
      </c>
      <c r="H163" s="94" t="s">
        <v>4371</v>
      </c>
      <c r="I163" s="94" t="s">
        <v>14</v>
      </c>
      <c r="J163" s="94" t="s">
        <v>1868</v>
      </c>
      <c r="K163" s="153"/>
    </row>
    <row r="164" spans="1:11" x14ac:dyDescent="0.3">
      <c r="A164" s="94" t="s">
        <v>4372</v>
      </c>
      <c r="B164" s="94" t="s">
        <v>4339</v>
      </c>
      <c r="C164" s="94" t="s">
        <v>4373</v>
      </c>
      <c r="D164" s="94" t="s">
        <v>13</v>
      </c>
      <c r="E164" s="94" t="s">
        <v>694</v>
      </c>
      <c r="F164" s="94" t="s">
        <v>4374</v>
      </c>
      <c r="G164" s="94" t="s">
        <v>4375</v>
      </c>
      <c r="H164" s="94" t="s">
        <v>4376</v>
      </c>
      <c r="I164" s="94" t="s">
        <v>14</v>
      </c>
      <c r="J164" s="94" t="s">
        <v>1868</v>
      </c>
      <c r="K164" s="153"/>
    </row>
    <row r="165" spans="1:11" x14ac:dyDescent="0.3">
      <c r="A165" s="94" t="s">
        <v>4377</v>
      </c>
      <c r="B165" s="94" t="s">
        <v>4339</v>
      </c>
      <c r="C165" s="94" t="s">
        <v>4378</v>
      </c>
      <c r="D165" s="94" t="s">
        <v>13</v>
      </c>
      <c r="E165" s="94" t="s">
        <v>4379</v>
      </c>
      <c r="F165" s="94" t="s">
        <v>4380</v>
      </c>
      <c r="G165" s="94" t="s">
        <v>4381</v>
      </c>
      <c r="H165" s="94" t="s">
        <v>4382</v>
      </c>
      <c r="I165" s="94" t="s">
        <v>14</v>
      </c>
      <c r="J165" s="94" t="s">
        <v>1868</v>
      </c>
      <c r="K165" s="153"/>
    </row>
    <row r="166" spans="1:11" x14ac:dyDescent="0.3">
      <c r="A166" s="94" t="s">
        <v>4383</v>
      </c>
      <c r="B166" s="94" t="s">
        <v>4339</v>
      </c>
      <c r="C166" s="94" t="s">
        <v>4384</v>
      </c>
      <c r="D166" s="94" t="s">
        <v>13</v>
      </c>
      <c r="E166" s="94" t="s">
        <v>14</v>
      </c>
      <c r="F166" s="94" t="s">
        <v>4385</v>
      </c>
      <c r="G166" s="94" t="s">
        <v>4386</v>
      </c>
      <c r="H166" s="94" t="s">
        <v>4387</v>
      </c>
      <c r="I166" s="94" t="s">
        <v>14</v>
      </c>
      <c r="J166" s="94" t="s">
        <v>1868</v>
      </c>
      <c r="K166" s="153"/>
    </row>
    <row r="167" spans="1:11" x14ac:dyDescent="0.3">
      <c r="A167" s="95" t="s">
        <v>4388</v>
      </c>
      <c r="B167" s="95" t="s">
        <v>4389</v>
      </c>
      <c r="C167" s="95" t="s">
        <v>4390</v>
      </c>
      <c r="D167" s="95" t="s">
        <v>13</v>
      </c>
      <c r="E167" s="95" t="s">
        <v>4391</v>
      </c>
      <c r="F167" s="95" t="s">
        <v>4392</v>
      </c>
      <c r="G167" s="95" t="s">
        <v>4393</v>
      </c>
      <c r="H167" s="95" t="s">
        <v>4394</v>
      </c>
      <c r="I167" s="95" t="s">
        <v>14</v>
      </c>
      <c r="J167" s="95" t="s">
        <v>1868</v>
      </c>
      <c r="K167" s="153"/>
    </row>
    <row r="168" spans="1:11" x14ac:dyDescent="0.3">
      <c r="A168" s="95" t="s">
        <v>4395</v>
      </c>
      <c r="B168" s="95" t="s">
        <v>4389</v>
      </c>
      <c r="C168" s="95" t="s">
        <v>4396</v>
      </c>
      <c r="D168" s="95" t="s">
        <v>13</v>
      </c>
      <c r="E168" s="95" t="s">
        <v>4391</v>
      </c>
      <c r="F168" s="95" t="s">
        <v>4397</v>
      </c>
      <c r="G168" s="95" t="s">
        <v>4398</v>
      </c>
      <c r="H168" s="95" t="s">
        <v>4399</v>
      </c>
      <c r="I168" s="95" t="s">
        <v>14</v>
      </c>
      <c r="J168" s="95" t="s">
        <v>1868</v>
      </c>
      <c r="K168" s="153"/>
    </row>
    <row r="169" spans="1:11" x14ac:dyDescent="0.3">
      <c r="A169" s="95" t="s">
        <v>4400</v>
      </c>
      <c r="B169" s="95" t="s">
        <v>4389</v>
      </c>
      <c r="C169" s="95" t="s">
        <v>4401</v>
      </c>
      <c r="D169" s="95" t="s">
        <v>13</v>
      </c>
      <c r="E169" s="95" t="s">
        <v>4391</v>
      </c>
      <c r="F169" s="95" t="s">
        <v>4402</v>
      </c>
      <c r="G169" s="95" t="s">
        <v>4403</v>
      </c>
      <c r="H169" s="95" t="s">
        <v>4404</v>
      </c>
      <c r="I169" s="95" t="s">
        <v>14</v>
      </c>
      <c r="J169" s="95" t="s">
        <v>1868</v>
      </c>
      <c r="K169" s="153"/>
    </row>
    <row r="170" spans="1:11" x14ac:dyDescent="0.3">
      <c r="A170" s="95" t="s">
        <v>4405</v>
      </c>
      <c r="B170" s="95" t="s">
        <v>4389</v>
      </c>
      <c r="C170" s="95" t="s">
        <v>4406</v>
      </c>
      <c r="D170" s="95" t="s">
        <v>13</v>
      </c>
      <c r="E170" s="95" t="s">
        <v>4391</v>
      </c>
      <c r="F170" s="95" t="s">
        <v>4407</v>
      </c>
      <c r="G170" s="95" t="s">
        <v>4408</v>
      </c>
      <c r="H170" s="95" t="s">
        <v>4409</v>
      </c>
      <c r="I170" s="95" t="s">
        <v>14</v>
      </c>
      <c r="J170" s="95" t="s">
        <v>1868</v>
      </c>
      <c r="K170" s="153"/>
    </row>
    <row r="171" spans="1:11" x14ac:dyDescent="0.3">
      <c r="A171" s="95" t="s">
        <v>4410</v>
      </c>
      <c r="B171" s="95" t="s">
        <v>4389</v>
      </c>
      <c r="C171" s="95" t="s">
        <v>4411</v>
      </c>
      <c r="D171" s="95" t="s">
        <v>13</v>
      </c>
      <c r="E171" s="95" t="s">
        <v>4412</v>
      </c>
      <c r="F171" s="95" t="s">
        <v>4413</v>
      </c>
      <c r="G171" s="95" t="s">
        <v>4414</v>
      </c>
      <c r="H171" s="95" t="s">
        <v>4415</v>
      </c>
      <c r="I171" s="95" t="s">
        <v>14</v>
      </c>
      <c r="J171" s="95" t="s">
        <v>1868</v>
      </c>
      <c r="K171" s="153"/>
    </row>
    <row r="172" spans="1:11" x14ac:dyDescent="0.3">
      <c r="A172" s="95" t="s">
        <v>4416</v>
      </c>
      <c r="B172" s="95" t="s">
        <v>4389</v>
      </c>
      <c r="C172" s="95" t="s">
        <v>4417</v>
      </c>
      <c r="D172" s="95" t="s">
        <v>13</v>
      </c>
      <c r="E172" s="95" t="s">
        <v>4412</v>
      </c>
      <c r="F172" s="95" t="s">
        <v>4413</v>
      </c>
      <c r="G172" s="95" t="s">
        <v>4418</v>
      </c>
      <c r="H172" s="95" t="s">
        <v>4419</v>
      </c>
      <c r="I172" s="95" t="s">
        <v>14</v>
      </c>
      <c r="J172" s="95" t="s">
        <v>1868</v>
      </c>
      <c r="K172" s="153"/>
    </row>
    <row r="173" spans="1:11" x14ac:dyDescent="0.3">
      <c r="A173" s="95" t="s">
        <v>4420</v>
      </c>
      <c r="B173" s="95" t="s">
        <v>4389</v>
      </c>
      <c r="C173" s="95" t="s">
        <v>4421</v>
      </c>
      <c r="D173" s="95" t="s">
        <v>13</v>
      </c>
      <c r="E173" s="95" t="s">
        <v>4391</v>
      </c>
      <c r="F173" s="95" t="s">
        <v>4422</v>
      </c>
      <c r="G173" s="95" t="s">
        <v>4423</v>
      </c>
      <c r="H173" s="95" t="s">
        <v>4424</v>
      </c>
      <c r="I173" s="95" t="s">
        <v>14</v>
      </c>
      <c r="J173" s="95" t="s">
        <v>1868</v>
      </c>
      <c r="K173" s="153"/>
    </row>
    <row r="174" spans="1:11" x14ac:dyDescent="0.3">
      <c r="A174" s="95" t="s">
        <v>4425</v>
      </c>
      <c r="B174" s="95" t="s">
        <v>4389</v>
      </c>
      <c r="C174" s="95" t="s">
        <v>4426</v>
      </c>
      <c r="D174" s="95" t="s">
        <v>13</v>
      </c>
      <c r="E174" s="95" t="s">
        <v>4391</v>
      </c>
      <c r="F174" s="95" t="s">
        <v>4427</v>
      </c>
      <c r="G174" s="95" t="s">
        <v>4428</v>
      </c>
      <c r="H174" s="95" t="s">
        <v>4429</v>
      </c>
      <c r="I174" s="95" t="s">
        <v>14</v>
      </c>
      <c r="J174" s="95" t="s">
        <v>1868</v>
      </c>
      <c r="K174" s="153"/>
    </row>
    <row r="175" spans="1:11" x14ac:dyDescent="0.3">
      <c r="A175" s="95" t="s">
        <v>4430</v>
      </c>
      <c r="B175" s="95" t="s">
        <v>4389</v>
      </c>
      <c r="C175" s="95" t="s">
        <v>4431</v>
      </c>
      <c r="D175" s="95" t="s">
        <v>13</v>
      </c>
      <c r="E175" s="95" t="s">
        <v>4391</v>
      </c>
      <c r="F175" s="95" t="s">
        <v>4432</v>
      </c>
      <c r="G175" s="95" t="s">
        <v>4433</v>
      </c>
      <c r="H175" s="95" t="s">
        <v>4434</v>
      </c>
      <c r="I175" s="95" t="s">
        <v>14</v>
      </c>
      <c r="J175" s="95" t="s">
        <v>1868</v>
      </c>
      <c r="K175" s="153"/>
    </row>
    <row r="176" spans="1:11" x14ac:dyDescent="0.3">
      <c r="A176" s="95" t="s">
        <v>4435</v>
      </c>
      <c r="B176" s="95" t="s">
        <v>4389</v>
      </c>
      <c r="C176" s="95" t="s">
        <v>4436</v>
      </c>
      <c r="D176" s="95" t="s">
        <v>13</v>
      </c>
      <c r="E176" s="95" t="s">
        <v>4391</v>
      </c>
      <c r="F176" s="95" t="s">
        <v>4437</v>
      </c>
      <c r="G176" s="95" t="s">
        <v>4438</v>
      </c>
      <c r="H176" s="95" t="s">
        <v>4439</v>
      </c>
      <c r="I176" s="95" t="s">
        <v>4440</v>
      </c>
      <c r="J176" s="95" t="s">
        <v>1868</v>
      </c>
      <c r="K176" s="153"/>
    </row>
    <row r="177" spans="1:11" x14ac:dyDescent="0.3">
      <c r="K177" s="153"/>
    </row>
    <row r="178" spans="1:11" x14ac:dyDescent="0.3">
      <c r="K178" s="153"/>
    </row>
    <row r="179" spans="1:11" x14ac:dyDescent="0.3">
      <c r="A179" t="s">
        <v>4441</v>
      </c>
      <c r="K179" s="153"/>
    </row>
    <row r="180" spans="1:11" ht="18" x14ac:dyDescent="0.35">
      <c r="A180" s="17" t="s">
        <v>4442</v>
      </c>
      <c r="K180" s="153"/>
    </row>
    <row r="181" spans="1:11" x14ac:dyDescent="0.3">
      <c r="A181" t="s">
        <v>4441</v>
      </c>
      <c r="K181" s="153"/>
    </row>
    <row r="182" spans="1:11" x14ac:dyDescent="0.3">
      <c r="K182" s="153"/>
    </row>
    <row r="183" spans="1:11" x14ac:dyDescent="0.3">
      <c r="A183" s="1" t="s">
        <v>9</v>
      </c>
      <c r="B183" s="1" t="s">
        <v>3275</v>
      </c>
      <c r="C183" s="1" t="s">
        <v>4443</v>
      </c>
      <c r="D183" s="1" t="s">
        <v>4444</v>
      </c>
      <c r="E183" s="1" t="s">
        <v>4445</v>
      </c>
      <c r="F183" s="1" t="s">
        <v>1</v>
      </c>
      <c r="K183" s="153"/>
    </row>
    <row r="184" spans="1:11" x14ac:dyDescent="0.3">
      <c r="A184" s="90" t="s">
        <v>3583</v>
      </c>
      <c r="B184" s="90">
        <v>19</v>
      </c>
      <c r="C184" s="90">
        <f>COUNTIF($D$2:$D$20,"P")</f>
        <v>9</v>
      </c>
      <c r="D184" s="90">
        <f>COUNTIF($D$2:$D$20,"N")</f>
        <v>10</v>
      </c>
      <c r="E184" s="90">
        <f>COUNTIF($D$2:$D$20,"E")</f>
        <v>0</v>
      </c>
      <c r="F184" s="90" t="s">
        <v>4446</v>
      </c>
      <c r="K184" s="153"/>
    </row>
    <row r="185" spans="1:11" x14ac:dyDescent="0.3">
      <c r="A185" s="90" t="s">
        <v>3672</v>
      </c>
      <c r="B185" s="90">
        <v>13</v>
      </c>
      <c r="C185" s="90">
        <f>COUNTIF($D$21:$D$33,"P")</f>
        <v>12</v>
      </c>
      <c r="D185" s="90">
        <f>COUNTIF($D$21:$D$33,"N")</f>
        <v>0</v>
      </c>
      <c r="E185" s="90">
        <f>COUNTIF($D$21:$D$33,"E")</f>
        <v>1</v>
      </c>
      <c r="F185" s="90" t="s">
        <v>4447</v>
      </c>
      <c r="K185" s="153"/>
    </row>
    <row r="186" spans="1:11" x14ac:dyDescent="0.3">
      <c r="A186" s="90" t="s">
        <v>3744</v>
      </c>
      <c r="B186" s="90">
        <v>13</v>
      </c>
      <c r="C186" s="90">
        <f>COUNTIF($D$34:$D$46,"P")</f>
        <v>0</v>
      </c>
      <c r="D186" s="90">
        <f>COUNTIF($D$34:$D$46,"N")</f>
        <v>13</v>
      </c>
      <c r="E186" s="90">
        <f>COUNTIF($D$34:$D$46,"E")</f>
        <v>0</v>
      </c>
      <c r="F186" s="90" t="s">
        <v>4448</v>
      </c>
      <c r="K186" s="153"/>
    </row>
    <row r="187" spans="1:11" x14ac:dyDescent="0.3">
      <c r="A187" s="90" t="s">
        <v>3816</v>
      </c>
      <c r="B187" s="90">
        <v>18</v>
      </c>
      <c r="C187" s="90">
        <f>COUNTIF($D$47:$D$64,"P")</f>
        <v>11</v>
      </c>
      <c r="D187" s="90">
        <f>COUNTIF($D$47:$D$64,"N")</f>
        <v>7</v>
      </c>
      <c r="E187" s="90">
        <f>COUNTIF($D$47:$D$64,"E")</f>
        <v>0</v>
      </c>
      <c r="F187" s="90" t="s">
        <v>4449</v>
      </c>
      <c r="K187" s="153"/>
    </row>
    <row r="188" spans="1:11" x14ac:dyDescent="0.3">
      <c r="A188" s="90" t="s">
        <v>3882</v>
      </c>
      <c r="B188" s="90">
        <v>17</v>
      </c>
      <c r="C188" s="90">
        <f>COUNTIF($D$65:$D$81,"P")</f>
        <v>10</v>
      </c>
      <c r="D188" s="90">
        <f>COUNTIF($D$65:$D$81,"N")</f>
        <v>7</v>
      </c>
      <c r="E188" s="90">
        <f>COUNTIF($D$65:$D$81,"E")</f>
        <v>0</v>
      </c>
      <c r="F188" s="90" t="s">
        <v>4450</v>
      </c>
      <c r="K188" s="153"/>
    </row>
    <row r="189" spans="1:11" x14ac:dyDescent="0.3">
      <c r="A189" s="90" t="s">
        <v>3966</v>
      </c>
      <c r="B189" s="90">
        <v>14</v>
      </c>
      <c r="C189" s="90">
        <f>COUNTIF($D$82:$D$95,"P")</f>
        <v>8</v>
      </c>
      <c r="D189" s="90">
        <f>COUNTIF($D$82:$D$95,"N")</f>
        <v>6</v>
      </c>
      <c r="E189" s="90">
        <f>COUNTIF($D$82:$D$95,"E")</f>
        <v>0</v>
      </c>
      <c r="F189" s="90" t="s">
        <v>4451</v>
      </c>
      <c r="K189" s="153"/>
    </row>
    <row r="190" spans="1:11" x14ac:dyDescent="0.3">
      <c r="A190" s="90" t="s">
        <v>4030</v>
      </c>
      <c r="B190" s="90">
        <v>13</v>
      </c>
      <c r="C190" s="90">
        <f>COUNTIF($D$96:$D$108,"P")</f>
        <v>8</v>
      </c>
      <c r="D190" s="90">
        <f>COUNTIF($D$96:$D$108,"N")</f>
        <v>0</v>
      </c>
      <c r="E190" s="90">
        <f>COUNTIF($D$96:$D$108,"E")</f>
        <v>5</v>
      </c>
      <c r="F190" s="90" t="s">
        <v>4452</v>
      </c>
      <c r="K190" s="153"/>
    </row>
    <row r="191" spans="1:11" x14ac:dyDescent="0.3">
      <c r="A191" s="90" t="s">
        <v>4093</v>
      </c>
      <c r="B191" s="90">
        <v>13</v>
      </c>
      <c r="C191" s="90">
        <f>COUNTIF($D$109:$D$121,"P")</f>
        <v>11</v>
      </c>
      <c r="D191" s="90">
        <f>COUNTIF($D$109:$D$121,"N")</f>
        <v>2</v>
      </c>
      <c r="E191" s="90">
        <f>COUNTIF($D$109:$D$121,"E")</f>
        <v>0</v>
      </c>
      <c r="F191" s="90" t="s">
        <v>4453</v>
      </c>
      <c r="K191" s="153"/>
    </row>
    <row r="192" spans="1:11" x14ac:dyDescent="0.3">
      <c r="A192" s="90" t="s">
        <v>4156</v>
      </c>
      <c r="B192" s="90">
        <v>12</v>
      </c>
      <c r="C192" s="90">
        <f>COUNTIF($D$122:$D$133,"P")</f>
        <v>7</v>
      </c>
      <c r="D192" s="90">
        <f>COUNTIF($D$122:$D$133,"N")</f>
        <v>2</v>
      </c>
      <c r="E192" s="90">
        <f>COUNTIF($D$122:$D$133,"E")</f>
        <v>3</v>
      </c>
      <c r="F192" s="90" t="s">
        <v>4454</v>
      </c>
      <c r="K192" s="153"/>
    </row>
    <row r="193" spans="1:11" x14ac:dyDescent="0.3">
      <c r="A193" s="90" t="s">
        <v>4220</v>
      </c>
      <c r="B193" s="90">
        <v>23</v>
      </c>
      <c r="C193" s="90">
        <f>COUNTIF($D$134:$D$156,"P")</f>
        <v>3</v>
      </c>
      <c r="D193" s="90">
        <f>COUNTIF($D$134:$D$156,"N")</f>
        <v>1</v>
      </c>
      <c r="E193" s="90">
        <f>COUNTIF($D$134:$D$156,"E")</f>
        <v>19</v>
      </c>
      <c r="F193" s="90" t="s">
        <v>4455</v>
      </c>
      <c r="K193" s="153"/>
    </row>
    <row r="194" spans="1:11" x14ac:dyDescent="0.3">
      <c r="A194" s="90" t="s">
        <v>4339</v>
      </c>
      <c r="B194" s="90">
        <v>10</v>
      </c>
      <c r="C194" s="90">
        <f>COUNTIF($D$157:$D$166,"P")</f>
        <v>8</v>
      </c>
      <c r="D194" s="90">
        <f>COUNTIF($D$157:$D$166,"N")</f>
        <v>2</v>
      </c>
      <c r="E194" s="90">
        <f>COUNTIF($D$157:$D$166,"E")</f>
        <v>0</v>
      </c>
      <c r="F194" s="90" t="s">
        <v>4456</v>
      </c>
      <c r="K194" s="153"/>
    </row>
    <row r="195" spans="1:11" x14ac:dyDescent="0.3">
      <c r="A195" s="90" t="s">
        <v>4389</v>
      </c>
      <c r="B195" s="90">
        <v>10</v>
      </c>
      <c r="C195" s="90">
        <f>COUNTIF($D$167:$D$176,"P")</f>
        <v>10</v>
      </c>
      <c r="D195" s="90">
        <f>COUNTIF($D$167:$D$176,"N")</f>
        <v>0</v>
      </c>
      <c r="E195" s="90">
        <f>COUNTIF($D$167:$D$176,"E")</f>
        <v>0</v>
      </c>
      <c r="F195" s="90" t="s">
        <v>4457</v>
      </c>
      <c r="K195" s="153"/>
    </row>
    <row r="196" spans="1:11" x14ac:dyDescent="0.3">
      <c r="K196" s="153"/>
    </row>
    <row r="197" spans="1:11" x14ac:dyDescent="0.3">
      <c r="A197" s="1" t="s">
        <v>4458</v>
      </c>
      <c r="B197" s="1">
        <f>SUM(B184:B195)</f>
        <v>175</v>
      </c>
      <c r="C197" s="1">
        <f>SUM(C184:C195)</f>
        <v>97</v>
      </c>
      <c r="D197" s="1">
        <f>SUM(D184:D195)</f>
        <v>50</v>
      </c>
      <c r="E197" s="1">
        <f>SUM(E184:E195)</f>
        <v>28</v>
      </c>
      <c r="F197" s="1"/>
      <c r="K197" s="153"/>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E771-0D46-47D8-978E-E58FC952B69E}">
  <dimension ref="A1:K151"/>
  <sheetViews>
    <sheetView workbookViewId="0">
      <pane ySplit="1" topLeftCell="A94" activePane="bottomLeft" state="frozen"/>
      <selection pane="bottomLeft" activeCell="F127" sqref="F127"/>
    </sheetView>
  </sheetViews>
  <sheetFormatPr defaultRowHeight="14.4" x14ac:dyDescent="0.3"/>
  <cols>
    <col min="1" max="1" width="15.77734375" customWidth="1"/>
    <col min="2" max="2" width="37" customWidth="1"/>
    <col min="3" max="3" width="51.88671875" customWidth="1"/>
    <col min="4" max="4" width="9.21875" customWidth="1"/>
    <col min="5" max="5" width="22.21875" customWidth="1"/>
    <col min="6" max="9" width="51.88671875" customWidth="1"/>
    <col min="10" max="10" width="11.109375" customWidth="1"/>
    <col min="11" max="11" width="55.5546875" customWidth="1"/>
  </cols>
  <sheetData>
    <row r="1" spans="1:11"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10206</v>
      </c>
      <c r="B2" s="46" t="s">
        <v>10207</v>
      </c>
      <c r="C2" s="46" t="s">
        <v>10208</v>
      </c>
      <c r="D2" s="46" t="s">
        <v>13</v>
      </c>
      <c r="E2" s="46" t="s">
        <v>1577</v>
      </c>
      <c r="F2" s="46" t="s">
        <v>10209</v>
      </c>
      <c r="G2" s="46" t="s">
        <v>10210</v>
      </c>
      <c r="H2" s="46" t="s">
        <v>10211</v>
      </c>
      <c r="I2" s="46" t="s">
        <v>14</v>
      </c>
      <c r="J2" s="46" t="s">
        <v>1852</v>
      </c>
      <c r="K2" s="153"/>
    </row>
    <row r="3" spans="1:11" x14ac:dyDescent="0.3">
      <c r="A3" s="46" t="s">
        <v>10212</v>
      </c>
      <c r="B3" s="46" t="s">
        <v>10207</v>
      </c>
      <c r="C3" s="46" t="s">
        <v>10213</v>
      </c>
      <c r="D3" s="46" t="s">
        <v>13</v>
      </c>
      <c r="E3" s="46" t="s">
        <v>1577</v>
      </c>
      <c r="F3" s="46" t="s">
        <v>10214</v>
      </c>
      <c r="G3" s="46" t="s">
        <v>10215</v>
      </c>
      <c r="H3" s="46" t="s">
        <v>10211</v>
      </c>
      <c r="I3" s="46" t="s">
        <v>14</v>
      </c>
      <c r="J3" s="46" t="s">
        <v>1852</v>
      </c>
      <c r="K3" s="153"/>
    </row>
    <row r="4" spans="1:11" x14ac:dyDescent="0.3">
      <c r="A4" s="46" t="s">
        <v>10216</v>
      </c>
      <c r="B4" s="46" t="s">
        <v>10207</v>
      </c>
      <c r="C4" s="46" t="s">
        <v>10217</v>
      </c>
      <c r="D4" s="46" t="s">
        <v>13</v>
      </c>
      <c r="E4" s="46" t="s">
        <v>1577</v>
      </c>
      <c r="F4" s="46" t="s">
        <v>10218</v>
      </c>
      <c r="G4" s="46" t="s">
        <v>10219</v>
      </c>
      <c r="H4" s="46" t="s">
        <v>10220</v>
      </c>
      <c r="I4" s="46" t="s">
        <v>14</v>
      </c>
      <c r="J4" s="46" t="s">
        <v>1852</v>
      </c>
      <c r="K4" s="153"/>
    </row>
    <row r="5" spans="1:11" x14ac:dyDescent="0.3">
      <c r="A5" s="46" t="s">
        <v>10221</v>
      </c>
      <c r="B5" s="46" t="s">
        <v>10207</v>
      </c>
      <c r="C5" s="46" t="s">
        <v>10222</v>
      </c>
      <c r="D5" s="46" t="s">
        <v>13</v>
      </c>
      <c r="E5" s="46" t="s">
        <v>1577</v>
      </c>
      <c r="F5" s="46" t="s">
        <v>10223</v>
      </c>
      <c r="G5" s="46" t="s">
        <v>10224</v>
      </c>
      <c r="H5" s="46" t="s">
        <v>10225</v>
      </c>
      <c r="I5" s="46" t="s">
        <v>14</v>
      </c>
      <c r="J5" s="46" t="s">
        <v>1852</v>
      </c>
      <c r="K5" s="153"/>
    </row>
    <row r="6" spans="1:11" x14ac:dyDescent="0.3">
      <c r="A6" s="46" t="s">
        <v>10226</v>
      </c>
      <c r="B6" s="46" t="s">
        <v>10207</v>
      </c>
      <c r="C6" s="46" t="s">
        <v>10227</v>
      </c>
      <c r="D6" s="46" t="s">
        <v>13</v>
      </c>
      <c r="E6" s="46" t="s">
        <v>1577</v>
      </c>
      <c r="F6" s="46" t="s">
        <v>10223</v>
      </c>
      <c r="G6" s="46" t="s">
        <v>10224</v>
      </c>
      <c r="H6" s="46" t="s">
        <v>10228</v>
      </c>
      <c r="I6" s="46" t="s">
        <v>14</v>
      </c>
      <c r="J6" s="46" t="s">
        <v>1852</v>
      </c>
      <c r="K6" s="153"/>
    </row>
    <row r="7" spans="1:11" x14ac:dyDescent="0.3">
      <c r="A7" s="46" t="s">
        <v>10229</v>
      </c>
      <c r="B7" s="46" t="s">
        <v>10207</v>
      </c>
      <c r="C7" s="46" t="s">
        <v>10230</v>
      </c>
      <c r="D7" s="46" t="s">
        <v>13</v>
      </c>
      <c r="E7" s="46" t="s">
        <v>10231</v>
      </c>
      <c r="F7" s="46" t="s">
        <v>10232</v>
      </c>
      <c r="G7" s="46" t="s">
        <v>10224</v>
      </c>
      <c r="H7" s="46" t="s">
        <v>10233</v>
      </c>
      <c r="I7" s="46" t="s">
        <v>14</v>
      </c>
      <c r="J7" s="46" t="s">
        <v>1868</v>
      </c>
      <c r="K7" s="153"/>
    </row>
    <row r="8" spans="1:11" x14ac:dyDescent="0.3">
      <c r="A8" s="46" t="s">
        <v>10234</v>
      </c>
      <c r="B8" s="46" t="s">
        <v>10207</v>
      </c>
      <c r="C8" s="46" t="s">
        <v>10235</v>
      </c>
      <c r="D8" s="46" t="s">
        <v>13</v>
      </c>
      <c r="E8" s="46" t="s">
        <v>4088</v>
      </c>
      <c r="F8" s="46" t="s">
        <v>10236</v>
      </c>
      <c r="G8" s="46" t="s">
        <v>8508</v>
      </c>
      <c r="H8" s="46" t="s">
        <v>10237</v>
      </c>
      <c r="I8" s="46" t="s">
        <v>14</v>
      </c>
      <c r="J8" s="46" t="s">
        <v>1868</v>
      </c>
      <c r="K8" s="153"/>
    </row>
    <row r="9" spans="1:11" x14ac:dyDescent="0.3">
      <c r="A9" s="46" t="s">
        <v>10238</v>
      </c>
      <c r="B9" s="46" t="s">
        <v>10207</v>
      </c>
      <c r="C9" s="46" t="s">
        <v>10239</v>
      </c>
      <c r="D9" s="46" t="s">
        <v>10</v>
      </c>
      <c r="E9" s="46" t="s">
        <v>1577</v>
      </c>
      <c r="F9" s="46" t="s">
        <v>10240</v>
      </c>
      <c r="G9" s="46" t="s">
        <v>10241</v>
      </c>
      <c r="H9" s="46" t="s">
        <v>10242</v>
      </c>
      <c r="I9" s="46" t="s">
        <v>10243</v>
      </c>
      <c r="J9" s="46" t="s">
        <v>1852</v>
      </c>
      <c r="K9" s="153"/>
    </row>
    <row r="10" spans="1:11" x14ac:dyDescent="0.3">
      <c r="A10" s="46" t="s">
        <v>10244</v>
      </c>
      <c r="B10" s="46" t="s">
        <v>10207</v>
      </c>
      <c r="C10" s="46" t="s">
        <v>10245</v>
      </c>
      <c r="D10" s="46" t="s">
        <v>10</v>
      </c>
      <c r="E10" s="46" t="s">
        <v>1577</v>
      </c>
      <c r="F10" s="46" t="s">
        <v>10246</v>
      </c>
      <c r="G10" s="46" t="s">
        <v>10247</v>
      </c>
      <c r="H10" s="46" t="s">
        <v>10248</v>
      </c>
      <c r="I10" s="46" t="s">
        <v>10249</v>
      </c>
      <c r="J10" s="46" t="s">
        <v>1852</v>
      </c>
      <c r="K10" s="153"/>
    </row>
    <row r="11" spans="1:11" x14ac:dyDescent="0.3">
      <c r="A11" s="46" t="s">
        <v>10250</v>
      </c>
      <c r="B11" s="46" t="s">
        <v>10207</v>
      </c>
      <c r="C11" s="46" t="s">
        <v>10251</v>
      </c>
      <c r="D11" s="46" t="s">
        <v>10</v>
      </c>
      <c r="E11" s="46" t="s">
        <v>756</v>
      </c>
      <c r="F11" s="46" t="s">
        <v>10252</v>
      </c>
      <c r="G11" s="46" t="s">
        <v>10253</v>
      </c>
      <c r="H11" s="46" t="s">
        <v>10254</v>
      </c>
      <c r="I11" s="46" t="s">
        <v>10255</v>
      </c>
      <c r="J11" s="46" t="s">
        <v>1852</v>
      </c>
      <c r="K11" s="153"/>
    </row>
    <row r="12" spans="1:11" x14ac:dyDescent="0.3">
      <c r="A12" s="46" t="s">
        <v>10256</v>
      </c>
      <c r="B12" s="46" t="s">
        <v>10207</v>
      </c>
      <c r="C12" s="46" t="s">
        <v>10257</v>
      </c>
      <c r="D12" s="46" t="s">
        <v>10</v>
      </c>
      <c r="E12" s="46" t="s">
        <v>756</v>
      </c>
      <c r="F12" s="46" t="s">
        <v>10258</v>
      </c>
      <c r="G12" s="46" t="s">
        <v>10259</v>
      </c>
      <c r="H12" s="46" t="s">
        <v>10254</v>
      </c>
      <c r="I12" s="46" t="s">
        <v>10260</v>
      </c>
      <c r="J12" s="46" t="s">
        <v>1852</v>
      </c>
      <c r="K12" s="153"/>
    </row>
    <row r="13" spans="1:11" x14ac:dyDescent="0.3">
      <c r="A13" s="46" t="s">
        <v>10261</v>
      </c>
      <c r="B13" s="46" t="s">
        <v>10207</v>
      </c>
      <c r="C13" s="46" t="s">
        <v>10262</v>
      </c>
      <c r="D13" s="46" t="s">
        <v>10</v>
      </c>
      <c r="E13" s="46" t="s">
        <v>756</v>
      </c>
      <c r="F13" s="46" t="s">
        <v>10263</v>
      </c>
      <c r="G13" s="46" t="s">
        <v>10264</v>
      </c>
      <c r="H13" s="46" t="s">
        <v>10254</v>
      </c>
      <c r="I13" s="46" t="s">
        <v>10265</v>
      </c>
      <c r="J13" s="46" t="s">
        <v>1852</v>
      </c>
      <c r="K13" s="153"/>
    </row>
    <row r="14" spans="1:11" x14ac:dyDescent="0.3">
      <c r="A14" s="46" t="s">
        <v>10266</v>
      </c>
      <c r="B14" s="46" t="s">
        <v>10207</v>
      </c>
      <c r="C14" s="46" t="s">
        <v>10267</v>
      </c>
      <c r="D14" s="46" t="s">
        <v>10</v>
      </c>
      <c r="E14" s="46" t="s">
        <v>1577</v>
      </c>
      <c r="F14" s="46" t="s">
        <v>10268</v>
      </c>
      <c r="G14" s="46" t="s">
        <v>10269</v>
      </c>
      <c r="H14" s="46" t="s">
        <v>10270</v>
      </c>
      <c r="I14" s="46" t="s">
        <v>10271</v>
      </c>
      <c r="J14" s="46" t="s">
        <v>1852</v>
      </c>
      <c r="K14" s="153"/>
    </row>
    <row r="15" spans="1:11" ht="43.2" x14ac:dyDescent="0.3">
      <c r="A15" s="46" t="s">
        <v>10272</v>
      </c>
      <c r="B15" s="46" t="s">
        <v>10207</v>
      </c>
      <c r="C15" s="46" t="s">
        <v>10273</v>
      </c>
      <c r="D15" s="46" t="s">
        <v>13</v>
      </c>
      <c r="E15" s="46" t="s">
        <v>1577</v>
      </c>
      <c r="F15" s="46" t="s">
        <v>10274</v>
      </c>
      <c r="G15" s="46" t="s">
        <v>10275</v>
      </c>
      <c r="H15" s="46" t="s">
        <v>10276</v>
      </c>
      <c r="I15" s="46" t="s">
        <v>14</v>
      </c>
      <c r="J15" s="46" t="s">
        <v>1852</v>
      </c>
      <c r="K15" s="154" t="s">
        <v>12828</v>
      </c>
    </row>
    <row r="16" spans="1:11" ht="28.8" x14ac:dyDescent="0.3">
      <c r="A16" s="46" t="s">
        <v>10277</v>
      </c>
      <c r="B16" s="46" t="s">
        <v>10207</v>
      </c>
      <c r="C16" s="46" t="s">
        <v>10278</v>
      </c>
      <c r="D16" s="46" t="s">
        <v>13</v>
      </c>
      <c r="E16" s="46" t="s">
        <v>1577</v>
      </c>
      <c r="F16" s="46" t="s">
        <v>10279</v>
      </c>
      <c r="G16" s="46" t="s">
        <v>10275</v>
      </c>
      <c r="H16" s="46" t="s">
        <v>10276</v>
      </c>
      <c r="I16" s="46" t="s">
        <v>14</v>
      </c>
      <c r="J16" s="46" t="s">
        <v>1852</v>
      </c>
      <c r="K16" s="154" t="s">
        <v>12829</v>
      </c>
    </row>
    <row r="17" spans="1:11" x14ac:dyDescent="0.3">
      <c r="A17" s="46" t="s">
        <v>10280</v>
      </c>
      <c r="B17" s="46" t="s">
        <v>10207</v>
      </c>
      <c r="C17" s="46" t="s">
        <v>10281</v>
      </c>
      <c r="D17" s="46" t="s">
        <v>10</v>
      </c>
      <c r="E17" s="46" t="s">
        <v>1577</v>
      </c>
      <c r="F17" s="46" t="s">
        <v>10282</v>
      </c>
      <c r="G17" s="46" t="s">
        <v>10269</v>
      </c>
      <c r="H17" s="46" t="s">
        <v>12901</v>
      </c>
      <c r="I17" s="46" t="s">
        <v>12902</v>
      </c>
      <c r="J17" s="46" t="s">
        <v>1868</v>
      </c>
      <c r="K17" s="155"/>
    </row>
    <row r="18" spans="1:11" x14ac:dyDescent="0.3">
      <c r="A18" s="46" t="s">
        <v>10283</v>
      </c>
      <c r="B18" s="46" t="s">
        <v>10207</v>
      </c>
      <c r="C18" s="46" t="s">
        <v>10284</v>
      </c>
      <c r="D18" s="46" t="s">
        <v>13</v>
      </c>
      <c r="E18" s="46" t="s">
        <v>1577</v>
      </c>
      <c r="F18" s="46" t="s">
        <v>10285</v>
      </c>
      <c r="G18" s="46" t="s">
        <v>10286</v>
      </c>
      <c r="H18" s="46" t="s">
        <v>10287</v>
      </c>
      <c r="I18" s="46" t="s">
        <v>14</v>
      </c>
      <c r="J18" s="46" t="s">
        <v>1852</v>
      </c>
      <c r="K18" s="153"/>
    </row>
    <row r="19" spans="1:11" x14ac:dyDescent="0.3">
      <c r="A19" s="46" t="s">
        <v>10288</v>
      </c>
      <c r="B19" s="46" t="s">
        <v>10207</v>
      </c>
      <c r="C19" s="46" t="s">
        <v>10289</v>
      </c>
      <c r="D19" s="46" t="s">
        <v>13</v>
      </c>
      <c r="E19" s="46" t="s">
        <v>1577</v>
      </c>
      <c r="F19" s="46" t="s">
        <v>10290</v>
      </c>
      <c r="G19" s="46" t="s">
        <v>10291</v>
      </c>
      <c r="H19" s="46" t="s">
        <v>10287</v>
      </c>
      <c r="I19" s="46" t="s">
        <v>14</v>
      </c>
      <c r="J19" s="46" t="s">
        <v>1852</v>
      </c>
      <c r="K19" s="153"/>
    </row>
    <row r="20" spans="1:11" x14ac:dyDescent="0.3">
      <c r="A20" s="46" t="s">
        <v>10292</v>
      </c>
      <c r="B20" s="46" t="s">
        <v>10207</v>
      </c>
      <c r="C20" s="46" t="s">
        <v>10293</v>
      </c>
      <c r="D20" s="46" t="s">
        <v>10</v>
      </c>
      <c r="E20" s="46" t="s">
        <v>1577</v>
      </c>
      <c r="F20" s="46" t="s">
        <v>10218</v>
      </c>
      <c r="G20" s="46" t="s">
        <v>10294</v>
      </c>
      <c r="H20" s="46" t="s">
        <v>10295</v>
      </c>
      <c r="I20" s="46" t="s">
        <v>10296</v>
      </c>
      <c r="J20" s="46" t="s">
        <v>1852</v>
      </c>
      <c r="K20" s="153"/>
    </row>
    <row r="21" spans="1:11" x14ac:dyDescent="0.3">
      <c r="A21" s="46" t="s">
        <v>10297</v>
      </c>
      <c r="B21" s="46" t="s">
        <v>10207</v>
      </c>
      <c r="C21" s="46" t="s">
        <v>10298</v>
      </c>
      <c r="D21" s="46" t="s">
        <v>13</v>
      </c>
      <c r="E21" s="46" t="s">
        <v>1577</v>
      </c>
      <c r="F21" s="46" t="s">
        <v>10218</v>
      </c>
      <c r="G21" s="46" t="s">
        <v>10299</v>
      </c>
      <c r="H21" s="46" t="s">
        <v>10300</v>
      </c>
      <c r="I21" s="46" t="s">
        <v>14</v>
      </c>
      <c r="J21" s="46" t="s">
        <v>1868</v>
      </c>
      <c r="K21" s="153"/>
    </row>
    <row r="22" spans="1:11" x14ac:dyDescent="0.3">
      <c r="A22" s="89" t="s">
        <v>10301</v>
      </c>
      <c r="B22" s="89" t="s">
        <v>10302</v>
      </c>
      <c r="C22" s="89" t="s">
        <v>10303</v>
      </c>
      <c r="D22" s="89" t="s">
        <v>13</v>
      </c>
      <c r="E22" s="89" t="s">
        <v>10304</v>
      </c>
      <c r="F22" s="89" t="s">
        <v>10305</v>
      </c>
      <c r="G22" s="89" t="s">
        <v>10306</v>
      </c>
      <c r="H22" s="89" t="s">
        <v>10307</v>
      </c>
      <c r="I22" s="89" t="s">
        <v>10308</v>
      </c>
      <c r="J22" s="89" t="s">
        <v>1852</v>
      </c>
      <c r="K22" s="153"/>
    </row>
    <row r="23" spans="1:11" x14ac:dyDescent="0.3">
      <c r="A23" s="89" t="s">
        <v>10309</v>
      </c>
      <c r="B23" s="89" t="s">
        <v>10302</v>
      </c>
      <c r="C23" s="89" t="s">
        <v>10310</v>
      </c>
      <c r="D23" s="89" t="s">
        <v>13</v>
      </c>
      <c r="E23" s="89" t="s">
        <v>10304</v>
      </c>
      <c r="F23" s="89" t="s">
        <v>10311</v>
      </c>
      <c r="G23" s="89" t="s">
        <v>10312</v>
      </c>
      <c r="H23" s="89" t="s">
        <v>10307</v>
      </c>
      <c r="I23" s="89" t="s">
        <v>10308</v>
      </c>
      <c r="J23" s="89" t="s">
        <v>1852</v>
      </c>
      <c r="K23" s="153"/>
    </row>
    <row r="24" spans="1:11" x14ac:dyDescent="0.3">
      <c r="A24" s="89" t="s">
        <v>10313</v>
      </c>
      <c r="B24" s="89" t="s">
        <v>10302</v>
      </c>
      <c r="C24" s="89" t="s">
        <v>10314</v>
      </c>
      <c r="D24" s="89" t="s">
        <v>13</v>
      </c>
      <c r="E24" s="89" t="s">
        <v>7846</v>
      </c>
      <c r="F24" s="89" t="s">
        <v>10315</v>
      </c>
      <c r="G24" s="89" t="s">
        <v>10316</v>
      </c>
      <c r="H24" s="89" t="s">
        <v>10317</v>
      </c>
      <c r="I24" s="89" t="s">
        <v>10318</v>
      </c>
      <c r="J24" s="89" t="s">
        <v>1852</v>
      </c>
      <c r="K24" s="153"/>
    </row>
    <row r="25" spans="1:11" x14ac:dyDescent="0.3">
      <c r="A25" s="89" t="s">
        <v>10319</v>
      </c>
      <c r="B25" s="89" t="s">
        <v>10302</v>
      </c>
      <c r="C25" s="89" t="s">
        <v>10320</v>
      </c>
      <c r="D25" s="89" t="s">
        <v>13</v>
      </c>
      <c r="E25" s="89" t="s">
        <v>7846</v>
      </c>
      <c r="F25" s="89" t="s">
        <v>10321</v>
      </c>
      <c r="G25" s="89" t="s">
        <v>10322</v>
      </c>
      <c r="H25" s="89" t="s">
        <v>10323</v>
      </c>
      <c r="I25" s="89" t="s">
        <v>14</v>
      </c>
      <c r="J25" s="89" t="s">
        <v>1852</v>
      </c>
    </row>
    <row r="26" spans="1:11" x14ac:dyDescent="0.3">
      <c r="A26" s="89" t="s">
        <v>10324</v>
      </c>
      <c r="B26" s="89" t="s">
        <v>10302</v>
      </c>
      <c r="C26" s="89" t="s">
        <v>10325</v>
      </c>
      <c r="D26" s="89" t="s">
        <v>13</v>
      </c>
      <c r="E26" s="89" t="s">
        <v>7846</v>
      </c>
      <c r="F26" s="89" t="s">
        <v>10326</v>
      </c>
      <c r="G26" s="89" t="s">
        <v>10327</v>
      </c>
      <c r="H26" s="89" t="s">
        <v>10328</v>
      </c>
      <c r="I26" s="89" t="s">
        <v>10329</v>
      </c>
      <c r="J26" s="89" t="s">
        <v>1852</v>
      </c>
      <c r="K26" s="154"/>
    </row>
    <row r="27" spans="1:11" x14ac:dyDescent="0.3">
      <c r="A27" s="89" t="s">
        <v>10330</v>
      </c>
      <c r="B27" s="89" t="s">
        <v>10302</v>
      </c>
      <c r="C27" s="89" t="s">
        <v>10331</v>
      </c>
      <c r="D27" s="89" t="s">
        <v>13</v>
      </c>
      <c r="E27" s="89" t="s">
        <v>10304</v>
      </c>
      <c r="F27" s="89" t="s">
        <v>10332</v>
      </c>
      <c r="G27" s="89" t="s">
        <v>10306</v>
      </c>
      <c r="H27" s="89" t="s">
        <v>10307</v>
      </c>
      <c r="I27" s="89" t="s">
        <v>10308</v>
      </c>
      <c r="J27" s="89" t="s">
        <v>1852</v>
      </c>
      <c r="K27" s="153"/>
    </row>
    <row r="28" spans="1:11" x14ac:dyDescent="0.3">
      <c r="A28" s="89" t="s">
        <v>10333</v>
      </c>
      <c r="B28" s="89" t="s">
        <v>10302</v>
      </c>
      <c r="C28" s="89" t="s">
        <v>10334</v>
      </c>
      <c r="D28" s="89" t="s">
        <v>13</v>
      </c>
      <c r="E28" s="89" t="s">
        <v>7846</v>
      </c>
      <c r="F28" s="89" t="s">
        <v>10335</v>
      </c>
      <c r="G28" s="89" t="s">
        <v>10336</v>
      </c>
      <c r="H28" s="89" t="s">
        <v>10337</v>
      </c>
      <c r="I28" s="89" t="s">
        <v>14</v>
      </c>
      <c r="J28" s="89" t="s">
        <v>1852</v>
      </c>
      <c r="K28" s="153"/>
    </row>
    <row r="29" spans="1:11" x14ac:dyDescent="0.3">
      <c r="A29" s="89" t="s">
        <v>10338</v>
      </c>
      <c r="B29" s="89" t="s">
        <v>10302</v>
      </c>
      <c r="C29" s="89" t="s">
        <v>10339</v>
      </c>
      <c r="D29" s="89" t="s">
        <v>13</v>
      </c>
      <c r="E29" s="89" t="s">
        <v>7846</v>
      </c>
      <c r="F29" s="89" t="s">
        <v>10340</v>
      </c>
      <c r="G29" s="89" t="s">
        <v>10341</v>
      </c>
      <c r="H29" s="89" t="s">
        <v>10317</v>
      </c>
      <c r="I29" s="89" t="s">
        <v>14</v>
      </c>
      <c r="J29" s="89" t="s">
        <v>1852</v>
      </c>
      <c r="K29" s="153"/>
    </row>
    <row r="30" spans="1:11" x14ac:dyDescent="0.3">
      <c r="A30" s="89" t="s">
        <v>10342</v>
      </c>
      <c r="B30" s="89" t="s">
        <v>10302</v>
      </c>
      <c r="C30" s="89" t="s">
        <v>10343</v>
      </c>
      <c r="D30" s="89" t="s">
        <v>13</v>
      </c>
      <c r="E30" s="89" t="s">
        <v>7846</v>
      </c>
      <c r="F30" s="89" t="s">
        <v>10344</v>
      </c>
      <c r="G30" s="89" t="s">
        <v>10345</v>
      </c>
      <c r="H30" s="89" t="s">
        <v>10346</v>
      </c>
      <c r="I30" s="89" t="s">
        <v>14</v>
      </c>
      <c r="J30" s="89" t="s">
        <v>1852</v>
      </c>
      <c r="K30" s="153"/>
    </row>
    <row r="31" spans="1:11" x14ac:dyDescent="0.3">
      <c r="A31" s="89" t="s">
        <v>10347</v>
      </c>
      <c r="B31" s="89" t="s">
        <v>10302</v>
      </c>
      <c r="C31" s="89" t="s">
        <v>10348</v>
      </c>
      <c r="D31" s="89" t="s">
        <v>13</v>
      </c>
      <c r="E31" s="89" t="s">
        <v>7846</v>
      </c>
      <c r="F31" s="89" t="s">
        <v>10349</v>
      </c>
      <c r="G31" s="89" t="s">
        <v>10350</v>
      </c>
      <c r="H31" s="89" t="s">
        <v>10351</v>
      </c>
      <c r="I31" s="89" t="s">
        <v>14</v>
      </c>
      <c r="J31" s="89" t="s">
        <v>1868</v>
      </c>
      <c r="K31" s="153"/>
    </row>
    <row r="32" spans="1:11" x14ac:dyDescent="0.3">
      <c r="A32" s="89" t="s">
        <v>10352</v>
      </c>
      <c r="B32" s="89" t="s">
        <v>10302</v>
      </c>
      <c r="C32" s="89" t="s">
        <v>9578</v>
      </c>
      <c r="D32" s="89" t="s">
        <v>13</v>
      </c>
      <c r="E32" s="89" t="s">
        <v>4088</v>
      </c>
      <c r="F32" s="89" t="s">
        <v>10353</v>
      </c>
      <c r="G32" s="89" t="s">
        <v>9580</v>
      </c>
      <c r="H32" s="89" t="s">
        <v>9581</v>
      </c>
      <c r="I32" s="89" t="s">
        <v>14</v>
      </c>
      <c r="J32" s="89" t="s">
        <v>1868</v>
      </c>
      <c r="K32" s="153"/>
    </row>
    <row r="33" spans="1:11" x14ac:dyDescent="0.3">
      <c r="A33" s="89" t="s">
        <v>10354</v>
      </c>
      <c r="B33" s="89" t="s">
        <v>10302</v>
      </c>
      <c r="C33" s="89" t="s">
        <v>10355</v>
      </c>
      <c r="D33" s="89" t="s">
        <v>13</v>
      </c>
      <c r="E33" s="89" t="s">
        <v>7445</v>
      </c>
      <c r="F33" s="89" t="s">
        <v>10356</v>
      </c>
      <c r="G33" s="89" t="s">
        <v>10357</v>
      </c>
      <c r="H33" s="89" t="s">
        <v>10358</v>
      </c>
      <c r="I33" s="89" t="s">
        <v>14</v>
      </c>
      <c r="J33" s="89" t="s">
        <v>1868</v>
      </c>
      <c r="K33" s="153"/>
    </row>
    <row r="34" spans="1:11" x14ac:dyDescent="0.3">
      <c r="A34" s="89" t="s">
        <v>10359</v>
      </c>
      <c r="B34" s="89" t="s">
        <v>10302</v>
      </c>
      <c r="C34" s="89" t="s">
        <v>10360</v>
      </c>
      <c r="D34" s="89" t="s">
        <v>13</v>
      </c>
      <c r="E34" s="89" t="s">
        <v>10361</v>
      </c>
      <c r="F34" s="89" t="s">
        <v>10362</v>
      </c>
      <c r="G34" s="89" t="s">
        <v>10224</v>
      </c>
      <c r="H34" s="89" t="s">
        <v>10363</v>
      </c>
      <c r="I34" s="89" t="s">
        <v>14</v>
      </c>
      <c r="J34" s="89" t="s">
        <v>1868</v>
      </c>
      <c r="K34" s="153"/>
    </row>
    <row r="35" spans="1:11" x14ac:dyDescent="0.3">
      <c r="A35" s="89" t="s">
        <v>10364</v>
      </c>
      <c r="B35" s="89" t="s">
        <v>10302</v>
      </c>
      <c r="C35" s="89" t="s">
        <v>10365</v>
      </c>
      <c r="D35" s="89" t="s">
        <v>13</v>
      </c>
      <c r="E35" s="89" t="s">
        <v>1577</v>
      </c>
      <c r="F35" s="89" t="s">
        <v>10366</v>
      </c>
      <c r="G35" s="89" t="s">
        <v>10224</v>
      </c>
      <c r="H35" s="89" t="s">
        <v>10367</v>
      </c>
      <c r="I35" s="89" t="s">
        <v>14</v>
      </c>
      <c r="J35" s="89" t="s">
        <v>1868</v>
      </c>
      <c r="K35" s="153"/>
    </row>
    <row r="36" spans="1:11" x14ac:dyDescent="0.3">
      <c r="A36" s="89" t="s">
        <v>10368</v>
      </c>
      <c r="B36" s="89" t="s">
        <v>10302</v>
      </c>
      <c r="C36" s="89" t="s">
        <v>10369</v>
      </c>
      <c r="D36" s="89" t="s">
        <v>13</v>
      </c>
      <c r="E36" s="89" t="s">
        <v>716</v>
      </c>
      <c r="F36" s="89" t="s">
        <v>10370</v>
      </c>
      <c r="G36" s="89" t="s">
        <v>10306</v>
      </c>
      <c r="H36" s="89" t="s">
        <v>10371</v>
      </c>
      <c r="I36" s="89" t="s">
        <v>10372</v>
      </c>
      <c r="J36" s="89" t="s">
        <v>1852</v>
      </c>
      <c r="K36" s="153"/>
    </row>
    <row r="37" spans="1:11" x14ac:dyDescent="0.3">
      <c r="A37" s="89" t="s">
        <v>10373</v>
      </c>
      <c r="B37" s="89" t="s">
        <v>10302</v>
      </c>
      <c r="C37" s="89" t="s">
        <v>10374</v>
      </c>
      <c r="D37" s="89" t="s">
        <v>13</v>
      </c>
      <c r="E37" s="89" t="s">
        <v>477</v>
      </c>
      <c r="F37" s="89" t="s">
        <v>10375</v>
      </c>
      <c r="G37" s="89" t="s">
        <v>10376</v>
      </c>
      <c r="H37" s="89" t="s">
        <v>10377</v>
      </c>
      <c r="I37" s="89" t="s">
        <v>14</v>
      </c>
      <c r="J37" s="89" t="s">
        <v>1852</v>
      </c>
      <c r="K37" s="153"/>
    </row>
    <row r="38" spans="1:11" x14ac:dyDescent="0.3">
      <c r="A38" s="47" t="s">
        <v>10378</v>
      </c>
      <c r="B38" s="47" t="s">
        <v>10379</v>
      </c>
      <c r="C38" s="47" t="s">
        <v>10380</v>
      </c>
      <c r="D38" s="47" t="s">
        <v>10</v>
      </c>
      <c r="E38" s="47" t="s">
        <v>7846</v>
      </c>
      <c r="F38" s="47" t="s">
        <v>10381</v>
      </c>
      <c r="G38" s="47" t="s">
        <v>8798</v>
      </c>
      <c r="H38" s="47" t="s">
        <v>10382</v>
      </c>
      <c r="I38" s="47" t="s">
        <v>10383</v>
      </c>
      <c r="J38" s="47" t="s">
        <v>1852</v>
      </c>
      <c r="K38" s="153"/>
    </row>
    <row r="39" spans="1:11" x14ac:dyDescent="0.3">
      <c r="A39" s="47" t="s">
        <v>10384</v>
      </c>
      <c r="B39" s="47" t="s">
        <v>10379</v>
      </c>
      <c r="C39" s="47" t="s">
        <v>10385</v>
      </c>
      <c r="D39" s="47" t="s">
        <v>10</v>
      </c>
      <c r="E39" s="47" t="s">
        <v>7846</v>
      </c>
      <c r="F39" s="47" t="s">
        <v>10386</v>
      </c>
      <c r="G39" s="47" t="s">
        <v>8798</v>
      </c>
      <c r="H39" s="47" t="s">
        <v>10387</v>
      </c>
      <c r="I39" s="47" t="s">
        <v>10388</v>
      </c>
      <c r="J39" s="47" t="s">
        <v>1852</v>
      </c>
      <c r="K39" s="153"/>
    </row>
    <row r="40" spans="1:11" x14ac:dyDescent="0.3">
      <c r="A40" s="47" t="s">
        <v>10389</v>
      </c>
      <c r="B40" s="47" t="s">
        <v>10379</v>
      </c>
      <c r="C40" s="47" t="s">
        <v>10390</v>
      </c>
      <c r="D40" s="47" t="s">
        <v>10</v>
      </c>
      <c r="E40" s="47" t="s">
        <v>7846</v>
      </c>
      <c r="F40" s="47" t="s">
        <v>10391</v>
      </c>
      <c r="G40" s="47" t="s">
        <v>8798</v>
      </c>
      <c r="H40" s="47" t="s">
        <v>10392</v>
      </c>
      <c r="I40" s="47" t="s">
        <v>10393</v>
      </c>
      <c r="J40" s="47" t="s">
        <v>1852</v>
      </c>
      <c r="K40" s="153"/>
    </row>
    <row r="41" spans="1:11" x14ac:dyDescent="0.3">
      <c r="A41" s="47" t="s">
        <v>10394</v>
      </c>
      <c r="B41" s="47" t="s">
        <v>10379</v>
      </c>
      <c r="C41" s="47" t="s">
        <v>10395</v>
      </c>
      <c r="D41" s="47" t="s">
        <v>10</v>
      </c>
      <c r="E41" s="47" t="s">
        <v>10304</v>
      </c>
      <c r="F41" s="47" t="s">
        <v>10396</v>
      </c>
      <c r="G41" s="47" t="s">
        <v>10397</v>
      </c>
      <c r="H41" s="47" t="s">
        <v>10398</v>
      </c>
      <c r="I41" s="47" t="s">
        <v>10399</v>
      </c>
      <c r="J41" s="47" t="s">
        <v>1852</v>
      </c>
      <c r="K41" s="153"/>
    </row>
    <row r="42" spans="1:11" x14ac:dyDescent="0.3">
      <c r="A42" s="47" t="s">
        <v>10400</v>
      </c>
      <c r="B42" s="47" t="s">
        <v>10379</v>
      </c>
      <c r="C42" s="47" t="s">
        <v>10401</v>
      </c>
      <c r="D42" s="47" t="s">
        <v>10</v>
      </c>
      <c r="E42" s="47" t="s">
        <v>7846</v>
      </c>
      <c r="F42" s="47" t="s">
        <v>10402</v>
      </c>
      <c r="G42" s="47" t="s">
        <v>10403</v>
      </c>
      <c r="H42" s="47" t="s">
        <v>10404</v>
      </c>
      <c r="I42" s="47" t="s">
        <v>10405</v>
      </c>
      <c r="J42" s="47" t="s">
        <v>1868</v>
      </c>
      <c r="K42" s="153"/>
    </row>
    <row r="43" spans="1:11" x14ac:dyDescent="0.3">
      <c r="A43" s="47" t="s">
        <v>10406</v>
      </c>
      <c r="B43" s="47" t="s">
        <v>10379</v>
      </c>
      <c r="C43" s="47" t="s">
        <v>10407</v>
      </c>
      <c r="D43" s="47" t="s">
        <v>10</v>
      </c>
      <c r="E43" s="47" t="s">
        <v>7846</v>
      </c>
      <c r="F43" s="47" t="s">
        <v>10344</v>
      </c>
      <c r="G43" s="47" t="s">
        <v>10408</v>
      </c>
      <c r="H43" s="47" t="s">
        <v>10409</v>
      </c>
      <c r="I43" s="47" t="s">
        <v>10410</v>
      </c>
      <c r="J43" s="47" t="s">
        <v>1852</v>
      </c>
      <c r="K43" s="153"/>
    </row>
    <row r="44" spans="1:11" x14ac:dyDescent="0.3">
      <c r="A44" s="47" t="s">
        <v>10411</v>
      </c>
      <c r="B44" s="47" t="s">
        <v>10379</v>
      </c>
      <c r="C44" s="47" t="s">
        <v>10412</v>
      </c>
      <c r="D44" s="47" t="s">
        <v>10</v>
      </c>
      <c r="E44" s="47" t="s">
        <v>7846</v>
      </c>
      <c r="F44" s="47" t="s">
        <v>10344</v>
      </c>
      <c r="G44" s="47" t="s">
        <v>10413</v>
      </c>
      <c r="H44" s="47" t="s">
        <v>9619</v>
      </c>
      <c r="I44" s="47" t="s">
        <v>10414</v>
      </c>
      <c r="J44" s="47" t="s">
        <v>1852</v>
      </c>
      <c r="K44" s="153"/>
    </row>
    <row r="45" spans="1:11" x14ac:dyDescent="0.3">
      <c r="A45" s="47" t="s">
        <v>10415</v>
      </c>
      <c r="B45" s="47" t="s">
        <v>10379</v>
      </c>
      <c r="C45" s="47" t="s">
        <v>10416</v>
      </c>
      <c r="D45" s="47" t="s">
        <v>10</v>
      </c>
      <c r="E45" s="47" t="s">
        <v>7445</v>
      </c>
      <c r="F45" s="47" t="s">
        <v>10417</v>
      </c>
      <c r="G45" s="47" t="s">
        <v>9624</v>
      </c>
      <c r="H45" s="47" t="s">
        <v>9625</v>
      </c>
      <c r="I45" s="47" t="s">
        <v>14</v>
      </c>
      <c r="J45" s="47" t="s">
        <v>1868</v>
      </c>
      <c r="K45" s="153"/>
    </row>
    <row r="46" spans="1:11" x14ac:dyDescent="0.3">
      <c r="A46" s="47" t="s">
        <v>10418</v>
      </c>
      <c r="B46" s="47" t="s">
        <v>10379</v>
      </c>
      <c r="C46" s="47" t="s">
        <v>9631</v>
      </c>
      <c r="D46" s="47" t="s">
        <v>13</v>
      </c>
      <c r="E46" s="47" t="s">
        <v>7445</v>
      </c>
      <c r="F46" s="47" t="s">
        <v>10419</v>
      </c>
      <c r="G46" s="47" t="s">
        <v>9628</v>
      </c>
      <c r="H46" s="47" t="s">
        <v>9633</v>
      </c>
      <c r="I46" s="47" t="s">
        <v>14</v>
      </c>
      <c r="J46" s="47" t="s">
        <v>1868</v>
      </c>
      <c r="K46" s="153"/>
    </row>
    <row r="47" spans="1:11" x14ac:dyDescent="0.3">
      <c r="A47" s="47" t="s">
        <v>10420</v>
      </c>
      <c r="B47" s="47" t="s">
        <v>10379</v>
      </c>
      <c r="C47" s="47" t="s">
        <v>9647</v>
      </c>
      <c r="D47" s="47" t="s">
        <v>10</v>
      </c>
      <c r="E47" s="47" t="s">
        <v>86</v>
      </c>
      <c r="F47" s="47" t="s">
        <v>10421</v>
      </c>
      <c r="G47" s="47" t="s">
        <v>10422</v>
      </c>
      <c r="H47" s="47" t="s">
        <v>9650</v>
      </c>
      <c r="I47" s="47" t="s">
        <v>90</v>
      </c>
      <c r="J47" s="47" t="s">
        <v>1852</v>
      </c>
    </row>
    <row r="48" spans="1:11" ht="28.8" x14ac:dyDescent="0.3">
      <c r="A48" s="47" t="s">
        <v>10423</v>
      </c>
      <c r="B48" s="47" t="s">
        <v>10379</v>
      </c>
      <c r="C48" s="47" t="s">
        <v>10424</v>
      </c>
      <c r="D48" s="47" t="s">
        <v>10</v>
      </c>
      <c r="E48" s="47" t="s">
        <v>1577</v>
      </c>
      <c r="F48" s="47" t="s">
        <v>10218</v>
      </c>
      <c r="G48" s="47" t="s">
        <v>10425</v>
      </c>
      <c r="H48" s="47" t="s">
        <v>10398</v>
      </c>
      <c r="I48" s="47" t="s">
        <v>10426</v>
      </c>
      <c r="J48" s="47" t="s">
        <v>1852</v>
      </c>
      <c r="K48" s="154" t="s">
        <v>12830</v>
      </c>
    </row>
    <row r="49" spans="1:11" x14ac:dyDescent="0.3">
      <c r="A49" s="47" t="s">
        <v>10427</v>
      </c>
      <c r="B49" s="47" t="s">
        <v>10379</v>
      </c>
      <c r="C49" s="47" t="s">
        <v>10428</v>
      </c>
      <c r="D49" s="47" t="s">
        <v>10</v>
      </c>
      <c r="E49" s="47" t="s">
        <v>1577</v>
      </c>
      <c r="F49" s="47" t="s">
        <v>10218</v>
      </c>
      <c r="G49" s="47" t="s">
        <v>10429</v>
      </c>
      <c r="H49" s="47" t="s">
        <v>10430</v>
      </c>
      <c r="I49" s="47" t="s">
        <v>10431</v>
      </c>
      <c r="J49" s="47" t="s">
        <v>1852</v>
      </c>
      <c r="K49" s="153"/>
    </row>
    <row r="50" spans="1:11" x14ac:dyDescent="0.3">
      <c r="A50" s="47" t="s">
        <v>10432</v>
      </c>
      <c r="B50" s="47" t="s">
        <v>10379</v>
      </c>
      <c r="C50" s="47" t="s">
        <v>9659</v>
      </c>
      <c r="D50" s="47" t="s">
        <v>10</v>
      </c>
      <c r="E50" s="47" t="s">
        <v>7445</v>
      </c>
      <c r="F50" s="47" t="s">
        <v>10433</v>
      </c>
      <c r="G50" s="47" t="s">
        <v>10434</v>
      </c>
      <c r="H50" s="47" t="s">
        <v>9662</v>
      </c>
      <c r="I50" s="47" t="s">
        <v>14</v>
      </c>
      <c r="J50" s="47" t="s">
        <v>1868</v>
      </c>
      <c r="K50" s="153"/>
    </row>
    <row r="51" spans="1:11" x14ac:dyDescent="0.3">
      <c r="A51" s="47" t="s">
        <v>10435</v>
      </c>
      <c r="B51" s="47" t="s">
        <v>10379</v>
      </c>
      <c r="C51" s="47" t="s">
        <v>10436</v>
      </c>
      <c r="D51" s="47" t="s">
        <v>10</v>
      </c>
      <c r="E51" s="47" t="s">
        <v>7846</v>
      </c>
      <c r="F51" s="47" t="s">
        <v>10437</v>
      </c>
      <c r="G51" s="47" t="s">
        <v>10438</v>
      </c>
      <c r="H51" s="47" t="s">
        <v>9619</v>
      </c>
      <c r="I51" s="47" t="s">
        <v>10439</v>
      </c>
      <c r="J51" s="47" t="s">
        <v>1868</v>
      </c>
      <c r="K51" s="153"/>
    </row>
    <row r="52" spans="1:11" x14ac:dyDescent="0.3">
      <c r="A52" s="47" t="s">
        <v>10440</v>
      </c>
      <c r="B52" s="47" t="s">
        <v>10379</v>
      </c>
      <c r="C52" s="47" t="s">
        <v>10441</v>
      </c>
      <c r="D52" s="47" t="s">
        <v>10</v>
      </c>
      <c r="E52" s="47" t="s">
        <v>7846</v>
      </c>
      <c r="F52" s="47" t="s">
        <v>10442</v>
      </c>
      <c r="G52" s="47" t="s">
        <v>10443</v>
      </c>
      <c r="H52" s="47" t="s">
        <v>10444</v>
      </c>
      <c r="I52" s="47" t="s">
        <v>10445</v>
      </c>
      <c r="J52" s="47" t="s">
        <v>1868</v>
      </c>
    </row>
    <row r="53" spans="1:11" ht="28.8" x14ac:dyDescent="0.3">
      <c r="A53" s="47" t="s">
        <v>10446</v>
      </c>
      <c r="B53" s="47" t="s">
        <v>10379</v>
      </c>
      <c r="C53" s="47" t="s">
        <v>10447</v>
      </c>
      <c r="D53" s="47" t="s">
        <v>10</v>
      </c>
      <c r="E53" s="47" t="s">
        <v>1625</v>
      </c>
      <c r="F53" s="47" t="s">
        <v>10448</v>
      </c>
      <c r="G53" s="47" t="s">
        <v>10449</v>
      </c>
      <c r="H53" s="47" t="s">
        <v>9644</v>
      </c>
      <c r="I53" s="47" t="s">
        <v>10450</v>
      </c>
      <c r="J53" s="47" t="s">
        <v>1873</v>
      </c>
      <c r="K53" s="156" t="s">
        <v>12831</v>
      </c>
    </row>
    <row r="54" spans="1:11" x14ac:dyDescent="0.3">
      <c r="A54" s="47" t="s">
        <v>10451</v>
      </c>
      <c r="B54" s="47" t="s">
        <v>10379</v>
      </c>
      <c r="C54" s="47" t="s">
        <v>10452</v>
      </c>
      <c r="D54" s="47" t="s">
        <v>10</v>
      </c>
      <c r="E54" s="47" t="s">
        <v>7846</v>
      </c>
      <c r="F54" s="47" t="s">
        <v>10453</v>
      </c>
      <c r="G54" s="47" t="s">
        <v>10454</v>
      </c>
      <c r="H54" s="47" t="s">
        <v>10455</v>
      </c>
      <c r="I54" s="47" t="s">
        <v>10456</v>
      </c>
      <c r="J54" s="47" t="s">
        <v>1868</v>
      </c>
      <c r="K54" s="153"/>
    </row>
    <row r="55" spans="1:11" x14ac:dyDescent="0.3">
      <c r="A55" s="47" t="s">
        <v>10457</v>
      </c>
      <c r="B55" s="47" t="s">
        <v>10379</v>
      </c>
      <c r="C55" s="47" t="s">
        <v>9627</v>
      </c>
      <c r="D55" s="47" t="s">
        <v>13</v>
      </c>
      <c r="E55" s="47" t="s">
        <v>7445</v>
      </c>
      <c r="F55" s="47" t="s">
        <v>10396</v>
      </c>
      <c r="G55" s="47" t="s">
        <v>9628</v>
      </c>
      <c r="H55" s="47" t="s">
        <v>10458</v>
      </c>
      <c r="I55" s="47" t="s">
        <v>14</v>
      </c>
      <c r="J55" s="47" t="s">
        <v>1868</v>
      </c>
      <c r="K55" s="153"/>
    </row>
    <row r="56" spans="1:11" x14ac:dyDescent="0.3">
      <c r="A56" s="40" t="s">
        <v>10459</v>
      </c>
      <c r="B56" s="40" t="s">
        <v>10460</v>
      </c>
      <c r="C56" s="40" t="s">
        <v>2386</v>
      </c>
      <c r="D56" s="40" t="s">
        <v>13</v>
      </c>
      <c r="E56" s="40" t="s">
        <v>35</v>
      </c>
      <c r="F56" s="40" t="s">
        <v>10461</v>
      </c>
      <c r="G56" s="40" t="s">
        <v>10462</v>
      </c>
      <c r="H56" s="40" t="s">
        <v>13788</v>
      </c>
      <c r="I56" s="40" t="s">
        <v>10463</v>
      </c>
      <c r="J56" s="40" t="s">
        <v>1852</v>
      </c>
      <c r="K56" s="153"/>
    </row>
    <row r="57" spans="1:11" x14ac:dyDescent="0.3">
      <c r="A57" s="40" t="s">
        <v>10464</v>
      </c>
      <c r="B57" s="40" t="s">
        <v>10460</v>
      </c>
      <c r="C57" s="40" t="s">
        <v>10465</v>
      </c>
      <c r="D57" s="40" t="s">
        <v>13</v>
      </c>
      <c r="E57" s="40" t="s">
        <v>35</v>
      </c>
      <c r="F57" s="40" t="s">
        <v>10466</v>
      </c>
      <c r="G57" s="40" t="s">
        <v>10467</v>
      </c>
      <c r="H57" s="40" t="s">
        <v>10468</v>
      </c>
      <c r="I57" s="40" t="s">
        <v>14</v>
      </c>
      <c r="J57" s="40" t="s">
        <v>1852</v>
      </c>
      <c r="K57" s="153"/>
    </row>
    <row r="58" spans="1:11" x14ac:dyDescent="0.3">
      <c r="A58" s="40" t="s">
        <v>10469</v>
      </c>
      <c r="B58" s="40" t="s">
        <v>10460</v>
      </c>
      <c r="C58" s="40" t="s">
        <v>10470</v>
      </c>
      <c r="D58" s="40" t="s">
        <v>13</v>
      </c>
      <c r="E58" s="40" t="s">
        <v>35</v>
      </c>
      <c r="F58" s="40" t="s">
        <v>10466</v>
      </c>
      <c r="G58" s="40" t="s">
        <v>10467</v>
      </c>
      <c r="H58" s="40" t="s">
        <v>10471</v>
      </c>
      <c r="I58" s="40" t="s">
        <v>10472</v>
      </c>
      <c r="J58" s="40" t="s">
        <v>1852</v>
      </c>
      <c r="K58" s="153"/>
    </row>
    <row r="59" spans="1:11" x14ac:dyDescent="0.3">
      <c r="A59" s="40" t="s">
        <v>10473</v>
      </c>
      <c r="B59" s="40" t="s">
        <v>10460</v>
      </c>
      <c r="C59" s="40" t="s">
        <v>10474</v>
      </c>
      <c r="D59" s="40" t="s">
        <v>13</v>
      </c>
      <c r="E59" s="40" t="s">
        <v>35</v>
      </c>
      <c r="F59" s="40" t="s">
        <v>10475</v>
      </c>
      <c r="G59" s="40" t="s">
        <v>10462</v>
      </c>
      <c r="H59" s="40" t="s">
        <v>13789</v>
      </c>
      <c r="I59" s="40" t="s">
        <v>10476</v>
      </c>
      <c r="J59" s="40" t="s">
        <v>1852</v>
      </c>
      <c r="K59" s="153"/>
    </row>
    <row r="60" spans="1:11" x14ac:dyDescent="0.3">
      <c r="A60" s="40" t="s">
        <v>10477</v>
      </c>
      <c r="B60" s="40" t="s">
        <v>10460</v>
      </c>
      <c r="C60" s="40" t="s">
        <v>10478</v>
      </c>
      <c r="D60" s="40" t="s">
        <v>13</v>
      </c>
      <c r="E60" s="40" t="s">
        <v>35</v>
      </c>
      <c r="F60" s="40" t="s">
        <v>10479</v>
      </c>
      <c r="G60" s="40" t="s">
        <v>10467</v>
      </c>
      <c r="H60" s="40" t="s">
        <v>10480</v>
      </c>
      <c r="I60" s="40" t="s">
        <v>14</v>
      </c>
      <c r="J60" s="40" t="s">
        <v>1852</v>
      </c>
      <c r="K60" s="153"/>
    </row>
    <row r="61" spans="1:11" x14ac:dyDescent="0.3">
      <c r="A61" s="40" t="s">
        <v>10481</v>
      </c>
      <c r="B61" s="40" t="s">
        <v>10460</v>
      </c>
      <c r="C61" s="40" t="s">
        <v>10482</v>
      </c>
      <c r="D61" s="40" t="s">
        <v>13</v>
      </c>
      <c r="E61" s="40" t="s">
        <v>35</v>
      </c>
      <c r="F61" s="40" t="s">
        <v>10483</v>
      </c>
      <c r="G61" s="40" t="s">
        <v>10467</v>
      </c>
      <c r="H61" s="40" t="s">
        <v>10484</v>
      </c>
      <c r="I61" s="40" t="s">
        <v>10485</v>
      </c>
      <c r="J61" s="40" t="s">
        <v>1852</v>
      </c>
      <c r="K61" s="153"/>
    </row>
    <row r="62" spans="1:11" x14ac:dyDescent="0.3">
      <c r="A62" s="40" t="s">
        <v>10486</v>
      </c>
      <c r="B62" s="40" t="s">
        <v>10460</v>
      </c>
      <c r="C62" s="40" t="s">
        <v>10487</v>
      </c>
      <c r="D62" s="40" t="s">
        <v>13</v>
      </c>
      <c r="E62" s="40" t="s">
        <v>35</v>
      </c>
      <c r="F62" s="40" t="s">
        <v>10488</v>
      </c>
      <c r="G62" s="40" t="s">
        <v>10467</v>
      </c>
      <c r="H62" s="40" t="s">
        <v>10489</v>
      </c>
      <c r="I62" s="40" t="s">
        <v>14</v>
      </c>
      <c r="J62" s="40" t="s">
        <v>1852</v>
      </c>
      <c r="K62" s="153"/>
    </row>
    <row r="63" spans="1:11" x14ac:dyDescent="0.3">
      <c r="A63" s="40" t="s">
        <v>10490</v>
      </c>
      <c r="B63" s="40" t="s">
        <v>10460</v>
      </c>
      <c r="C63" s="40" t="s">
        <v>10491</v>
      </c>
      <c r="D63" s="40" t="s">
        <v>13</v>
      </c>
      <c r="E63" s="40" t="s">
        <v>35</v>
      </c>
      <c r="F63" s="40" t="s">
        <v>10492</v>
      </c>
      <c r="G63" s="40" t="s">
        <v>10467</v>
      </c>
      <c r="H63" s="40" t="s">
        <v>10493</v>
      </c>
      <c r="I63" s="40" t="s">
        <v>14</v>
      </c>
      <c r="J63" s="40" t="s">
        <v>1852</v>
      </c>
      <c r="K63" s="153"/>
    </row>
    <row r="64" spans="1:11" x14ac:dyDescent="0.3">
      <c r="A64" s="40" t="s">
        <v>10494</v>
      </c>
      <c r="B64" s="40" t="s">
        <v>10460</v>
      </c>
      <c r="C64" s="40" t="s">
        <v>10495</v>
      </c>
      <c r="D64" s="40" t="s">
        <v>13</v>
      </c>
      <c r="E64" s="40" t="s">
        <v>35</v>
      </c>
      <c r="F64" s="40" t="s">
        <v>10496</v>
      </c>
      <c r="G64" s="40" t="s">
        <v>10462</v>
      </c>
      <c r="H64" s="40" t="s">
        <v>13790</v>
      </c>
      <c r="I64" s="40" t="s">
        <v>10497</v>
      </c>
      <c r="J64" s="40" t="s">
        <v>1852</v>
      </c>
      <c r="K64" s="153"/>
    </row>
    <row r="65" spans="1:11" x14ac:dyDescent="0.3">
      <c r="A65" s="40" t="s">
        <v>10498</v>
      </c>
      <c r="B65" s="40" t="s">
        <v>10460</v>
      </c>
      <c r="C65" s="40" t="s">
        <v>10499</v>
      </c>
      <c r="D65" s="40" t="s">
        <v>10</v>
      </c>
      <c r="E65" s="40" t="s">
        <v>1577</v>
      </c>
      <c r="F65" s="40" t="s">
        <v>10500</v>
      </c>
      <c r="G65" s="40" t="s">
        <v>10501</v>
      </c>
      <c r="H65" s="40" t="s">
        <v>10502</v>
      </c>
      <c r="I65" s="40" t="s">
        <v>10503</v>
      </c>
      <c r="J65" s="40" t="s">
        <v>1852</v>
      </c>
      <c r="K65" s="153"/>
    </row>
    <row r="66" spans="1:11" x14ac:dyDescent="0.3">
      <c r="A66" s="40" t="s">
        <v>10504</v>
      </c>
      <c r="B66" s="40" t="s">
        <v>10460</v>
      </c>
      <c r="C66" s="40" t="s">
        <v>10505</v>
      </c>
      <c r="D66" s="40" t="s">
        <v>13</v>
      </c>
      <c r="E66" s="40" t="s">
        <v>7445</v>
      </c>
      <c r="F66" s="40" t="s">
        <v>10506</v>
      </c>
      <c r="G66" s="40" t="s">
        <v>10507</v>
      </c>
      <c r="H66" s="40" t="s">
        <v>10508</v>
      </c>
      <c r="I66" s="40" t="s">
        <v>14</v>
      </c>
      <c r="J66" s="40" t="s">
        <v>1868</v>
      </c>
      <c r="K66" s="153"/>
    </row>
    <row r="67" spans="1:11" x14ac:dyDescent="0.3">
      <c r="A67" s="40" t="s">
        <v>10509</v>
      </c>
      <c r="B67" s="40" t="s">
        <v>10460</v>
      </c>
      <c r="C67" s="40" t="s">
        <v>10510</v>
      </c>
      <c r="D67" s="40" t="s">
        <v>13</v>
      </c>
      <c r="E67" s="40" t="s">
        <v>7445</v>
      </c>
      <c r="F67" s="40" t="s">
        <v>10511</v>
      </c>
      <c r="G67" s="40" t="s">
        <v>10507</v>
      </c>
      <c r="H67" s="40" t="s">
        <v>10512</v>
      </c>
      <c r="I67" s="40" t="s">
        <v>14</v>
      </c>
      <c r="J67" s="40" t="s">
        <v>1868</v>
      </c>
      <c r="K67" s="153"/>
    </row>
    <row r="68" spans="1:11" x14ac:dyDescent="0.3">
      <c r="A68" s="40" t="s">
        <v>10513</v>
      </c>
      <c r="B68" s="40" t="s">
        <v>10460</v>
      </c>
      <c r="C68" s="40" t="s">
        <v>10514</v>
      </c>
      <c r="D68" s="40" t="s">
        <v>13</v>
      </c>
      <c r="E68" s="40" t="s">
        <v>15</v>
      </c>
      <c r="F68" s="40" t="s">
        <v>10515</v>
      </c>
      <c r="G68" s="40" t="s">
        <v>10516</v>
      </c>
      <c r="H68" s="40" t="s">
        <v>13791</v>
      </c>
      <c r="I68" s="40" t="s">
        <v>10517</v>
      </c>
      <c r="J68" s="40" t="s">
        <v>1852</v>
      </c>
      <c r="K68" s="153"/>
    </row>
    <row r="69" spans="1:11" x14ac:dyDescent="0.3">
      <c r="A69" s="40" t="s">
        <v>10518</v>
      </c>
      <c r="B69" s="40" t="s">
        <v>10460</v>
      </c>
      <c r="C69" s="40" t="s">
        <v>10519</v>
      </c>
      <c r="D69" s="40" t="s">
        <v>13</v>
      </c>
      <c r="E69" s="40" t="s">
        <v>15</v>
      </c>
      <c r="F69" s="40" t="s">
        <v>10520</v>
      </c>
      <c r="G69" s="40" t="s">
        <v>10521</v>
      </c>
      <c r="H69" s="40" t="s">
        <v>12903</v>
      </c>
      <c r="I69" s="40" t="s">
        <v>14</v>
      </c>
      <c r="J69" s="40" t="s">
        <v>1852</v>
      </c>
      <c r="K69" s="155"/>
    </row>
    <row r="70" spans="1:11" x14ac:dyDescent="0.3">
      <c r="A70" s="40" t="s">
        <v>10522</v>
      </c>
      <c r="B70" s="40" t="s">
        <v>10460</v>
      </c>
      <c r="C70" s="40" t="s">
        <v>13015</v>
      </c>
      <c r="D70" s="40" t="s">
        <v>13</v>
      </c>
      <c r="E70" s="40" t="s">
        <v>7373</v>
      </c>
      <c r="F70" s="40" t="s">
        <v>10523</v>
      </c>
      <c r="G70" s="40" t="s">
        <v>10524</v>
      </c>
      <c r="H70" s="40" t="s">
        <v>13016</v>
      </c>
      <c r="I70" s="40" t="s">
        <v>14</v>
      </c>
      <c r="J70" s="40" t="s">
        <v>1868</v>
      </c>
      <c r="K70" s="162"/>
    </row>
    <row r="71" spans="1:11" x14ac:dyDescent="0.3">
      <c r="A71" s="40" t="s">
        <v>10525</v>
      </c>
      <c r="B71" s="40" t="s">
        <v>10460</v>
      </c>
      <c r="C71" s="40" t="s">
        <v>10526</v>
      </c>
      <c r="D71" s="40" t="s">
        <v>13</v>
      </c>
      <c r="E71" s="40" t="s">
        <v>25</v>
      </c>
      <c r="F71" s="40" t="s">
        <v>10527</v>
      </c>
      <c r="G71" s="40" t="s">
        <v>10528</v>
      </c>
      <c r="H71" s="40" t="s">
        <v>10529</v>
      </c>
      <c r="I71" s="40" t="s">
        <v>10530</v>
      </c>
      <c r="J71" s="40" t="s">
        <v>1852</v>
      </c>
      <c r="K71" s="153"/>
    </row>
    <row r="72" spans="1:11" x14ac:dyDescent="0.3">
      <c r="A72" s="40" t="s">
        <v>10531</v>
      </c>
      <c r="B72" s="40" t="s">
        <v>10460</v>
      </c>
      <c r="C72" s="40" t="s">
        <v>10532</v>
      </c>
      <c r="D72" s="40" t="s">
        <v>10</v>
      </c>
      <c r="E72" s="40" t="s">
        <v>1577</v>
      </c>
      <c r="F72" s="40" t="s">
        <v>10533</v>
      </c>
      <c r="G72" s="40" t="s">
        <v>10501</v>
      </c>
      <c r="H72" s="40" t="s">
        <v>10534</v>
      </c>
      <c r="I72" s="40" t="s">
        <v>10535</v>
      </c>
      <c r="J72" s="40" t="s">
        <v>1868</v>
      </c>
      <c r="K72" s="153"/>
    </row>
    <row r="73" spans="1:11" x14ac:dyDescent="0.3">
      <c r="A73" s="40" t="s">
        <v>10536</v>
      </c>
      <c r="B73" s="40" t="s">
        <v>10460</v>
      </c>
      <c r="C73" s="40" t="s">
        <v>10537</v>
      </c>
      <c r="D73" s="40" t="s">
        <v>13</v>
      </c>
      <c r="E73" s="40" t="s">
        <v>35</v>
      </c>
      <c r="F73" s="40" t="s">
        <v>10538</v>
      </c>
      <c r="G73" s="40" t="s">
        <v>10539</v>
      </c>
      <c r="H73" s="40" t="s">
        <v>10540</v>
      </c>
      <c r="I73" s="40" t="s">
        <v>10541</v>
      </c>
      <c r="J73" s="40" t="s">
        <v>1852</v>
      </c>
      <c r="K73" s="153"/>
    </row>
    <row r="74" spans="1:11" x14ac:dyDescent="0.3">
      <c r="A74" s="90" t="s">
        <v>10542</v>
      </c>
      <c r="B74" s="90" t="s">
        <v>10543</v>
      </c>
      <c r="C74" s="90" t="s">
        <v>10544</v>
      </c>
      <c r="D74" s="90" t="s">
        <v>13</v>
      </c>
      <c r="E74" s="90" t="s">
        <v>1818</v>
      </c>
      <c r="F74" s="90" t="s">
        <v>10545</v>
      </c>
      <c r="G74" s="90" t="s">
        <v>10546</v>
      </c>
      <c r="H74" s="90" t="s">
        <v>10547</v>
      </c>
      <c r="I74" s="90" t="s">
        <v>10548</v>
      </c>
      <c r="J74" s="90" t="s">
        <v>1852</v>
      </c>
      <c r="K74" s="153"/>
    </row>
    <row r="75" spans="1:11" x14ac:dyDescent="0.3">
      <c r="A75" s="90" t="s">
        <v>10549</v>
      </c>
      <c r="B75" s="90" t="s">
        <v>10543</v>
      </c>
      <c r="C75" s="90" t="s">
        <v>10550</v>
      </c>
      <c r="D75" s="90" t="s">
        <v>13</v>
      </c>
      <c r="E75" s="90" t="s">
        <v>1818</v>
      </c>
      <c r="F75" s="90" t="s">
        <v>10551</v>
      </c>
      <c r="G75" s="90" t="s">
        <v>10546</v>
      </c>
      <c r="H75" s="90" t="s">
        <v>10547</v>
      </c>
      <c r="I75" s="90" t="s">
        <v>10552</v>
      </c>
      <c r="J75" s="90" t="s">
        <v>1852</v>
      </c>
      <c r="K75" s="153"/>
    </row>
    <row r="76" spans="1:11" x14ac:dyDescent="0.3">
      <c r="A76" s="90" t="s">
        <v>10553</v>
      </c>
      <c r="B76" s="90" t="s">
        <v>10543</v>
      </c>
      <c r="C76" s="90" t="s">
        <v>10554</v>
      </c>
      <c r="D76" s="90" t="s">
        <v>13</v>
      </c>
      <c r="E76" s="90" t="s">
        <v>1818</v>
      </c>
      <c r="F76" s="90" t="s">
        <v>10555</v>
      </c>
      <c r="G76" s="90" t="s">
        <v>10546</v>
      </c>
      <c r="H76" s="90" t="s">
        <v>10547</v>
      </c>
      <c r="I76" s="90" t="s">
        <v>10556</v>
      </c>
      <c r="J76" s="90" t="s">
        <v>1852</v>
      </c>
      <c r="K76" s="153"/>
    </row>
    <row r="77" spans="1:11" x14ac:dyDescent="0.3">
      <c r="A77" s="90" t="s">
        <v>10557</v>
      </c>
      <c r="B77" s="90" t="s">
        <v>10543</v>
      </c>
      <c r="C77" s="90" t="s">
        <v>10558</v>
      </c>
      <c r="D77" s="90" t="s">
        <v>10</v>
      </c>
      <c r="E77" s="90" t="s">
        <v>1818</v>
      </c>
      <c r="F77" s="90" t="s">
        <v>10559</v>
      </c>
      <c r="G77" s="90" t="s">
        <v>10560</v>
      </c>
      <c r="H77" s="90" t="s">
        <v>10547</v>
      </c>
      <c r="I77" s="90" t="s">
        <v>10561</v>
      </c>
      <c r="J77" s="90" t="s">
        <v>1852</v>
      </c>
    </row>
    <row r="78" spans="1:11" ht="43.2" x14ac:dyDescent="0.3">
      <c r="A78" s="90" t="s">
        <v>10562</v>
      </c>
      <c r="B78" s="90" t="s">
        <v>10543</v>
      </c>
      <c r="C78" s="90" t="s">
        <v>10563</v>
      </c>
      <c r="D78" s="90" t="s">
        <v>10</v>
      </c>
      <c r="E78" s="90" t="s">
        <v>1818</v>
      </c>
      <c r="F78" s="90" t="s">
        <v>10564</v>
      </c>
      <c r="G78" s="90" t="s">
        <v>10565</v>
      </c>
      <c r="H78" s="90" t="s">
        <v>10547</v>
      </c>
      <c r="I78" s="90" t="s">
        <v>10566</v>
      </c>
      <c r="J78" s="90" t="s">
        <v>1852</v>
      </c>
      <c r="K78" s="154" t="s">
        <v>12832</v>
      </c>
    </row>
    <row r="79" spans="1:11" x14ac:dyDescent="0.3">
      <c r="A79" s="90" t="s">
        <v>10567</v>
      </c>
      <c r="B79" s="90" t="s">
        <v>10543</v>
      </c>
      <c r="C79" s="90" t="s">
        <v>10568</v>
      </c>
      <c r="D79" s="90" t="s">
        <v>13</v>
      </c>
      <c r="E79" s="90" t="s">
        <v>1818</v>
      </c>
      <c r="F79" s="90" t="s">
        <v>10569</v>
      </c>
      <c r="G79" s="90" t="s">
        <v>10570</v>
      </c>
      <c r="H79" s="90" t="s">
        <v>10571</v>
      </c>
      <c r="I79" s="90" t="s">
        <v>14</v>
      </c>
      <c r="J79" s="90" t="s">
        <v>1852</v>
      </c>
      <c r="K79" s="153"/>
    </row>
    <row r="80" spans="1:11" x14ac:dyDescent="0.3">
      <c r="A80" s="90" t="s">
        <v>10572</v>
      </c>
      <c r="B80" s="90" t="s">
        <v>10543</v>
      </c>
      <c r="C80" s="90" t="s">
        <v>10573</v>
      </c>
      <c r="D80" s="90" t="s">
        <v>13</v>
      </c>
      <c r="E80" s="90" t="s">
        <v>1818</v>
      </c>
      <c r="F80" s="90" t="s">
        <v>10574</v>
      </c>
      <c r="G80" s="90" t="s">
        <v>10575</v>
      </c>
      <c r="H80" s="90" t="s">
        <v>10571</v>
      </c>
      <c r="I80" s="90" t="s">
        <v>14</v>
      </c>
      <c r="J80" s="90" t="s">
        <v>1852</v>
      </c>
      <c r="K80" s="153"/>
    </row>
    <row r="81" spans="1:11" x14ac:dyDescent="0.3">
      <c r="A81" s="90" t="s">
        <v>10576</v>
      </c>
      <c r="B81" s="90" t="s">
        <v>10543</v>
      </c>
      <c r="C81" s="90" t="s">
        <v>10577</v>
      </c>
      <c r="D81" s="90" t="s">
        <v>13</v>
      </c>
      <c r="E81" s="90" t="s">
        <v>1818</v>
      </c>
      <c r="F81" s="90" t="s">
        <v>10578</v>
      </c>
      <c r="G81" s="90" t="s">
        <v>10579</v>
      </c>
      <c r="H81" s="90" t="s">
        <v>10571</v>
      </c>
      <c r="I81" s="90" t="s">
        <v>14</v>
      </c>
      <c r="J81" s="90" t="s">
        <v>1852</v>
      </c>
      <c r="K81" s="153"/>
    </row>
    <row r="82" spans="1:11" x14ac:dyDescent="0.3">
      <c r="A82" s="90" t="s">
        <v>10580</v>
      </c>
      <c r="B82" s="90" t="s">
        <v>10543</v>
      </c>
      <c r="C82" s="90" t="s">
        <v>10581</v>
      </c>
      <c r="D82" s="90" t="s">
        <v>13</v>
      </c>
      <c r="E82" s="90" t="s">
        <v>1818</v>
      </c>
      <c r="F82" s="90" t="s">
        <v>10545</v>
      </c>
      <c r="G82" s="90" t="s">
        <v>10582</v>
      </c>
      <c r="H82" s="90" t="s">
        <v>10583</v>
      </c>
      <c r="I82" s="90" t="s">
        <v>10584</v>
      </c>
      <c r="J82" s="90" t="s">
        <v>1852</v>
      </c>
      <c r="K82" s="153"/>
    </row>
    <row r="83" spans="1:11" x14ac:dyDescent="0.3">
      <c r="A83" s="90" t="s">
        <v>10585</v>
      </c>
      <c r="B83" s="90" t="s">
        <v>10543</v>
      </c>
      <c r="C83" s="90" t="s">
        <v>10586</v>
      </c>
      <c r="D83" s="90" t="s">
        <v>13</v>
      </c>
      <c r="E83" s="90" t="s">
        <v>10587</v>
      </c>
      <c r="F83" s="90" t="s">
        <v>10588</v>
      </c>
      <c r="G83" s="90" t="s">
        <v>10589</v>
      </c>
      <c r="H83" s="90" t="s">
        <v>10590</v>
      </c>
      <c r="I83" s="90" t="s">
        <v>10308</v>
      </c>
      <c r="J83" s="90" t="s">
        <v>1852</v>
      </c>
      <c r="K83" s="153"/>
    </row>
    <row r="84" spans="1:11" x14ac:dyDescent="0.3">
      <c r="A84" s="90" t="s">
        <v>10591</v>
      </c>
      <c r="B84" s="90" t="s">
        <v>10543</v>
      </c>
      <c r="C84" s="90" t="s">
        <v>10592</v>
      </c>
      <c r="D84" s="90" t="s">
        <v>13</v>
      </c>
      <c r="E84" s="90" t="s">
        <v>1818</v>
      </c>
      <c r="F84" s="90" t="s">
        <v>10593</v>
      </c>
      <c r="G84" s="90" t="s">
        <v>10594</v>
      </c>
      <c r="H84" s="90" t="s">
        <v>10595</v>
      </c>
      <c r="I84" s="90" t="s">
        <v>14</v>
      </c>
      <c r="J84" s="90" t="s">
        <v>1868</v>
      </c>
      <c r="K84" s="153"/>
    </row>
    <row r="85" spans="1:11" x14ac:dyDescent="0.3">
      <c r="A85" s="90" t="s">
        <v>10596</v>
      </c>
      <c r="B85" s="90" t="s">
        <v>10543</v>
      </c>
      <c r="C85" s="90" t="s">
        <v>10597</v>
      </c>
      <c r="D85" s="90" t="s">
        <v>10</v>
      </c>
      <c r="E85" s="90" t="s">
        <v>1818</v>
      </c>
      <c r="F85" s="90" t="s">
        <v>10598</v>
      </c>
      <c r="G85" s="90" t="s">
        <v>10599</v>
      </c>
      <c r="H85" s="90" t="s">
        <v>10600</v>
      </c>
      <c r="I85" s="90" t="s">
        <v>10601</v>
      </c>
      <c r="J85" s="90" t="s">
        <v>1852</v>
      </c>
      <c r="K85" s="153"/>
    </row>
    <row r="86" spans="1:11" x14ac:dyDescent="0.3">
      <c r="A86" s="90" t="s">
        <v>10602</v>
      </c>
      <c r="B86" s="90" t="s">
        <v>10543</v>
      </c>
      <c r="C86" s="90" t="s">
        <v>10603</v>
      </c>
      <c r="D86" s="90" t="s">
        <v>13</v>
      </c>
      <c r="E86" s="90" t="s">
        <v>1818</v>
      </c>
      <c r="F86" s="90" t="s">
        <v>10604</v>
      </c>
      <c r="G86" s="90" t="s">
        <v>10605</v>
      </c>
      <c r="H86" s="90" t="s">
        <v>10606</v>
      </c>
      <c r="I86" s="90" t="s">
        <v>14</v>
      </c>
      <c r="J86" s="90" t="s">
        <v>1868</v>
      </c>
    </row>
    <row r="87" spans="1:11" ht="28.8" x14ac:dyDescent="0.3">
      <c r="A87" s="90" t="s">
        <v>10607</v>
      </c>
      <c r="B87" s="90" t="s">
        <v>10543</v>
      </c>
      <c r="C87" s="90" t="s">
        <v>10608</v>
      </c>
      <c r="D87" s="90" t="s">
        <v>13</v>
      </c>
      <c r="E87" s="90" t="s">
        <v>1818</v>
      </c>
      <c r="F87" s="90" t="s">
        <v>10609</v>
      </c>
      <c r="G87" s="90" t="s">
        <v>10610</v>
      </c>
      <c r="H87" s="90" t="s">
        <v>10611</v>
      </c>
      <c r="I87" s="90" t="s">
        <v>10612</v>
      </c>
      <c r="J87" s="90" t="s">
        <v>1868</v>
      </c>
      <c r="K87" s="154" t="s">
        <v>12833</v>
      </c>
    </row>
    <row r="88" spans="1:11" ht="28.8" x14ac:dyDescent="0.3">
      <c r="A88" s="90" t="s">
        <v>10613</v>
      </c>
      <c r="B88" s="90" t="s">
        <v>10543</v>
      </c>
      <c r="C88" s="90" t="s">
        <v>10614</v>
      </c>
      <c r="D88" s="90" t="s">
        <v>10</v>
      </c>
      <c r="E88" s="90" t="s">
        <v>1818</v>
      </c>
      <c r="F88" s="90" t="s">
        <v>10615</v>
      </c>
      <c r="G88" s="90" t="s">
        <v>10616</v>
      </c>
      <c r="H88" s="90" t="s">
        <v>10617</v>
      </c>
      <c r="I88" s="90" t="s">
        <v>10618</v>
      </c>
      <c r="J88" s="90" t="s">
        <v>1868</v>
      </c>
      <c r="K88" s="154" t="s">
        <v>12834</v>
      </c>
    </row>
    <row r="89" spans="1:11" x14ac:dyDescent="0.3">
      <c r="A89" s="90" t="s">
        <v>10619</v>
      </c>
      <c r="B89" s="90" t="s">
        <v>10543</v>
      </c>
      <c r="C89" s="90" t="s">
        <v>10620</v>
      </c>
      <c r="D89" s="90" t="s">
        <v>13</v>
      </c>
      <c r="E89" s="90" t="s">
        <v>10621</v>
      </c>
      <c r="F89" s="90" t="s">
        <v>10545</v>
      </c>
      <c r="G89" s="90" t="s">
        <v>10622</v>
      </c>
      <c r="H89" s="90" t="s">
        <v>10623</v>
      </c>
      <c r="I89" s="90" t="s">
        <v>14</v>
      </c>
      <c r="J89" s="90" t="s">
        <v>1868</v>
      </c>
      <c r="K89" s="153"/>
    </row>
    <row r="90" spans="1:11" x14ac:dyDescent="0.3">
      <c r="A90" s="91" t="s">
        <v>10624</v>
      </c>
      <c r="B90" s="91" t="s">
        <v>10625</v>
      </c>
      <c r="C90" s="91" t="s">
        <v>10626</v>
      </c>
      <c r="D90" s="91" t="s">
        <v>13</v>
      </c>
      <c r="E90" s="91" t="s">
        <v>10627</v>
      </c>
      <c r="F90" s="91" t="s">
        <v>10628</v>
      </c>
      <c r="G90" s="91" t="s">
        <v>10306</v>
      </c>
      <c r="H90" s="91" t="s">
        <v>10629</v>
      </c>
      <c r="I90" s="91" t="s">
        <v>10630</v>
      </c>
      <c r="J90" s="91" t="s">
        <v>1852</v>
      </c>
      <c r="K90" s="153"/>
    </row>
    <row r="91" spans="1:11" x14ac:dyDescent="0.3">
      <c r="A91" s="91" t="s">
        <v>10631</v>
      </c>
      <c r="B91" s="91" t="s">
        <v>10625</v>
      </c>
      <c r="C91" s="91" t="s">
        <v>10632</v>
      </c>
      <c r="D91" s="91" t="s">
        <v>13</v>
      </c>
      <c r="E91" s="91" t="s">
        <v>716</v>
      </c>
      <c r="F91" s="91" t="s">
        <v>10633</v>
      </c>
      <c r="G91" s="91" t="s">
        <v>10312</v>
      </c>
      <c r="H91" s="91" t="s">
        <v>10634</v>
      </c>
      <c r="I91" s="91" t="s">
        <v>10308</v>
      </c>
      <c r="J91" s="91" t="s">
        <v>1852</v>
      </c>
      <c r="K91" s="156"/>
    </row>
    <row r="92" spans="1:11" x14ac:dyDescent="0.3">
      <c r="A92" s="91" t="s">
        <v>10635</v>
      </c>
      <c r="B92" s="91" t="s">
        <v>10625</v>
      </c>
      <c r="C92" s="91" t="s">
        <v>10636</v>
      </c>
      <c r="D92" s="91" t="s">
        <v>13</v>
      </c>
      <c r="E92" s="91" t="s">
        <v>13026</v>
      </c>
      <c r="F92" s="91" t="s">
        <v>10637</v>
      </c>
      <c r="G92" s="91" t="s">
        <v>10638</v>
      </c>
      <c r="H92" s="91" t="s">
        <v>10639</v>
      </c>
      <c r="I92" s="91" t="s">
        <v>10640</v>
      </c>
      <c r="J92" s="91" t="s">
        <v>1852</v>
      </c>
      <c r="K92" s="156"/>
    </row>
    <row r="93" spans="1:11" x14ac:dyDescent="0.3">
      <c r="A93" s="91" t="s">
        <v>10641</v>
      </c>
      <c r="B93" s="91" t="s">
        <v>10625</v>
      </c>
      <c r="C93" s="91" t="s">
        <v>2724</v>
      </c>
      <c r="D93" s="91" t="s">
        <v>13</v>
      </c>
      <c r="E93" s="91" t="s">
        <v>9099</v>
      </c>
      <c r="F93" s="91" t="s">
        <v>10642</v>
      </c>
      <c r="G93" s="91" t="s">
        <v>10643</v>
      </c>
      <c r="H93" s="91" t="s">
        <v>10644</v>
      </c>
      <c r="I93" s="91" t="s">
        <v>10645</v>
      </c>
      <c r="J93" s="91" t="s">
        <v>1852</v>
      </c>
      <c r="K93" s="153"/>
    </row>
    <row r="94" spans="1:11" x14ac:dyDescent="0.3">
      <c r="A94" s="91" t="s">
        <v>10646</v>
      </c>
      <c r="B94" s="91" t="s">
        <v>10625</v>
      </c>
      <c r="C94" s="91" t="s">
        <v>10647</v>
      </c>
      <c r="D94" s="91" t="s">
        <v>13</v>
      </c>
      <c r="E94" s="91" t="s">
        <v>10648</v>
      </c>
      <c r="F94" s="91" t="s">
        <v>10649</v>
      </c>
      <c r="G94" s="91" t="s">
        <v>10306</v>
      </c>
      <c r="H94" s="91" t="s">
        <v>10650</v>
      </c>
      <c r="I94" s="91" t="s">
        <v>10651</v>
      </c>
      <c r="J94" s="91" t="s">
        <v>1852</v>
      </c>
      <c r="K94" s="153"/>
    </row>
    <row r="95" spans="1:11" x14ac:dyDescent="0.3">
      <c r="A95" s="91" t="s">
        <v>10652</v>
      </c>
      <c r="B95" s="91" t="s">
        <v>10625</v>
      </c>
      <c r="C95" s="91" t="s">
        <v>10653</v>
      </c>
      <c r="D95" s="91" t="s">
        <v>13</v>
      </c>
      <c r="E95" s="91" t="s">
        <v>10654</v>
      </c>
      <c r="F95" s="91" t="s">
        <v>10655</v>
      </c>
      <c r="G95" s="91" t="s">
        <v>10306</v>
      </c>
      <c r="H95" s="91" t="s">
        <v>10656</v>
      </c>
      <c r="I95" s="91" t="s">
        <v>14</v>
      </c>
      <c r="J95" s="91" t="s">
        <v>1852</v>
      </c>
      <c r="K95" s="153"/>
    </row>
    <row r="96" spans="1:11" x14ac:dyDescent="0.3">
      <c r="A96" s="91" t="s">
        <v>10657</v>
      </c>
      <c r="B96" s="91" t="s">
        <v>10625</v>
      </c>
      <c r="C96" s="91" t="s">
        <v>10658</v>
      </c>
      <c r="D96" s="91" t="s">
        <v>13</v>
      </c>
      <c r="E96" s="91" t="s">
        <v>716</v>
      </c>
      <c r="F96" s="91" t="s">
        <v>10659</v>
      </c>
      <c r="G96" s="91" t="s">
        <v>10660</v>
      </c>
      <c r="H96" s="91" t="s">
        <v>10661</v>
      </c>
      <c r="I96" s="91" t="s">
        <v>14</v>
      </c>
      <c r="J96" s="91" t="s">
        <v>1868</v>
      </c>
      <c r="K96" s="153"/>
    </row>
    <row r="97" spans="1:11" x14ac:dyDescent="0.3">
      <c r="A97" s="91" t="s">
        <v>10662</v>
      </c>
      <c r="B97" s="91" t="s">
        <v>10625</v>
      </c>
      <c r="C97" s="91" t="s">
        <v>10663</v>
      </c>
      <c r="D97" s="91" t="s">
        <v>13</v>
      </c>
      <c r="E97" s="91" t="s">
        <v>10664</v>
      </c>
      <c r="F97" s="91" t="s">
        <v>10665</v>
      </c>
      <c r="G97" s="91" t="s">
        <v>10666</v>
      </c>
      <c r="H97" s="91" t="s">
        <v>10667</v>
      </c>
      <c r="I97" s="91" t="s">
        <v>14</v>
      </c>
      <c r="J97" s="91" t="s">
        <v>1868</v>
      </c>
      <c r="K97" s="153"/>
    </row>
    <row r="98" spans="1:11" x14ac:dyDescent="0.3">
      <c r="A98" s="91" t="s">
        <v>10668</v>
      </c>
      <c r="B98" s="91" t="s">
        <v>10625</v>
      </c>
      <c r="C98" s="91" t="s">
        <v>10669</v>
      </c>
      <c r="D98" s="91" t="s">
        <v>13</v>
      </c>
      <c r="E98" s="91" t="s">
        <v>716</v>
      </c>
      <c r="F98" s="91" t="s">
        <v>10670</v>
      </c>
      <c r="G98" s="91" t="s">
        <v>10306</v>
      </c>
      <c r="H98" s="91" t="s">
        <v>10671</v>
      </c>
      <c r="I98" s="91" t="s">
        <v>14</v>
      </c>
      <c r="J98" s="91" t="s">
        <v>1868</v>
      </c>
      <c r="K98" s="153"/>
    </row>
    <row r="99" spans="1:11" x14ac:dyDescent="0.3">
      <c r="A99" s="91" t="s">
        <v>10672</v>
      </c>
      <c r="B99" s="91" t="s">
        <v>10625</v>
      </c>
      <c r="C99" s="91" t="s">
        <v>10673</v>
      </c>
      <c r="D99" s="91" t="s">
        <v>21</v>
      </c>
      <c r="E99" s="91" t="s">
        <v>10674</v>
      </c>
      <c r="F99" s="91" t="s">
        <v>10675</v>
      </c>
      <c r="G99" s="91" t="s">
        <v>10306</v>
      </c>
      <c r="H99" s="91" t="s">
        <v>10676</v>
      </c>
      <c r="I99" s="91" t="s">
        <v>14</v>
      </c>
      <c r="J99" s="91" t="s">
        <v>1868</v>
      </c>
      <c r="K99" s="153"/>
    </row>
    <row r="100" spans="1:11" x14ac:dyDescent="0.3">
      <c r="A100" s="91" t="s">
        <v>10677</v>
      </c>
      <c r="B100" s="91" t="s">
        <v>10625</v>
      </c>
      <c r="C100" s="91" t="s">
        <v>10678</v>
      </c>
      <c r="D100" s="91" t="s">
        <v>21</v>
      </c>
      <c r="E100" s="91" t="s">
        <v>10679</v>
      </c>
      <c r="F100" s="91" t="s">
        <v>10680</v>
      </c>
      <c r="G100" s="91" t="s">
        <v>10681</v>
      </c>
      <c r="H100" s="91" t="s">
        <v>10682</v>
      </c>
      <c r="I100" s="91" t="s">
        <v>14</v>
      </c>
      <c r="J100" s="91" t="s">
        <v>1852</v>
      </c>
      <c r="K100" s="153"/>
    </row>
    <row r="101" spans="1:11" x14ac:dyDescent="0.3">
      <c r="A101" s="91" t="s">
        <v>10683</v>
      </c>
      <c r="B101" s="91" t="s">
        <v>10625</v>
      </c>
      <c r="C101" s="91" t="s">
        <v>10684</v>
      </c>
      <c r="D101" s="91" t="s">
        <v>21</v>
      </c>
      <c r="E101" s="91" t="s">
        <v>721</v>
      </c>
      <c r="F101" s="91" t="s">
        <v>10685</v>
      </c>
      <c r="G101" s="91" t="s">
        <v>10686</v>
      </c>
      <c r="H101" s="91" t="s">
        <v>10687</v>
      </c>
      <c r="I101" s="91" t="s">
        <v>10688</v>
      </c>
      <c r="J101" s="91" t="s">
        <v>1852</v>
      </c>
      <c r="K101" s="156"/>
    </row>
    <row r="102" spans="1:11" x14ac:dyDescent="0.3">
      <c r="A102" s="91" t="s">
        <v>10689</v>
      </c>
      <c r="B102" s="91" t="s">
        <v>10625</v>
      </c>
      <c r="C102" s="91" t="s">
        <v>10690</v>
      </c>
      <c r="D102" s="91" t="s">
        <v>13</v>
      </c>
      <c r="E102" s="91" t="s">
        <v>9099</v>
      </c>
      <c r="F102" s="91" t="s">
        <v>10691</v>
      </c>
      <c r="G102" s="91" t="s">
        <v>9105</v>
      </c>
      <c r="H102" s="91" t="s">
        <v>10692</v>
      </c>
      <c r="I102" s="91" t="s">
        <v>10693</v>
      </c>
      <c r="J102" s="91" t="s">
        <v>1852</v>
      </c>
      <c r="K102" s="153"/>
    </row>
    <row r="103" spans="1:11" x14ac:dyDescent="0.3">
      <c r="A103" s="91" t="s">
        <v>10694</v>
      </c>
      <c r="B103" s="91" t="s">
        <v>10625</v>
      </c>
      <c r="C103" s="91" t="s">
        <v>10695</v>
      </c>
      <c r="D103" s="91" t="s">
        <v>13</v>
      </c>
      <c r="E103" s="91" t="s">
        <v>716</v>
      </c>
      <c r="F103" s="91" t="s">
        <v>10696</v>
      </c>
      <c r="G103" s="91" t="s">
        <v>10306</v>
      </c>
      <c r="H103" s="91" t="s">
        <v>10697</v>
      </c>
      <c r="I103" s="91" t="s">
        <v>10698</v>
      </c>
      <c r="J103" s="91" t="s">
        <v>1852</v>
      </c>
      <c r="K103" s="153"/>
    </row>
    <row r="104" spans="1:11" x14ac:dyDescent="0.3">
      <c r="A104" s="91" t="s">
        <v>10699</v>
      </c>
      <c r="B104" s="91" t="s">
        <v>10625</v>
      </c>
      <c r="C104" s="91" t="s">
        <v>10700</v>
      </c>
      <c r="D104" s="91" t="s">
        <v>13</v>
      </c>
      <c r="E104" s="91" t="s">
        <v>716</v>
      </c>
      <c r="F104" s="91" t="s">
        <v>10701</v>
      </c>
      <c r="G104" s="91" t="s">
        <v>10306</v>
      </c>
      <c r="H104" s="91" t="s">
        <v>10702</v>
      </c>
      <c r="I104" s="91" t="s">
        <v>14</v>
      </c>
      <c r="J104" s="91" t="s">
        <v>1868</v>
      </c>
      <c r="K104" s="153"/>
    </row>
    <row r="105" spans="1:11" x14ac:dyDescent="0.3">
      <c r="A105" s="91" t="s">
        <v>10703</v>
      </c>
      <c r="B105" s="91" t="s">
        <v>10625</v>
      </c>
      <c r="C105" s="91" t="s">
        <v>10704</v>
      </c>
      <c r="D105" s="91" t="s">
        <v>13</v>
      </c>
      <c r="E105" s="91" t="s">
        <v>716</v>
      </c>
      <c r="F105" s="91" t="s">
        <v>10705</v>
      </c>
      <c r="G105" s="91" t="s">
        <v>10306</v>
      </c>
      <c r="H105" s="91" t="s">
        <v>10706</v>
      </c>
      <c r="I105" s="91" t="s">
        <v>14</v>
      </c>
      <c r="J105" s="91" t="s">
        <v>1868</v>
      </c>
      <c r="K105" s="153"/>
    </row>
    <row r="106" spans="1:11" x14ac:dyDescent="0.3">
      <c r="A106" s="91" t="s">
        <v>10707</v>
      </c>
      <c r="B106" s="91" t="s">
        <v>10625</v>
      </c>
      <c r="C106" s="91" t="s">
        <v>10708</v>
      </c>
      <c r="D106" s="91" t="s">
        <v>13</v>
      </c>
      <c r="E106" s="91" t="s">
        <v>10664</v>
      </c>
      <c r="F106" s="91" t="s">
        <v>10709</v>
      </c>
      <c r="G106" s="91" t="s">
        <v>10710</v>
      </c>
      <c r="H106" s="91" t="s">
        <v>10711</v>
      </c>
      <c r="I106" s="91" t="s">
        <v>14</v>
      </c>
      <c r="J106" s="91" t="s">
        <v>1868</v>
      </c>
      <c r="K106" s="153"/>
    </row>
    <row r="107" spans="1:11" x14ac:dyDescent="0.3">
      <c r="A107" s="91" t="s">
        <v>10712</v>
      </c>
      <c r="B107" s="91" t="s">
        <v>10625</v>
      </c>
      <c r="C107" s="91" t="s">
        <v>10713</v>
      </c>
      <c r="D107" s="91" t="s">
        <v>21</v>
      </c>
      <c r="E107" s="91" t="s">
        <v>10648</v>
      </c>
      <c r="F107" s="91" t="s">
        <v>10714</v>
      </c>
      <c r="G107" s="91" t="s">
        <v>10715</v>
      </c>
      <c r="H107" s="91" t="s">
        <v>10716</v>
      </c>
      <c r="I107" s="91" t="s">
        <v>10717</v>
      </c>
      <c r="J107" s="91" t="s">
        <v>1873</v>
      </c>
      <c r="K107" s="153"/>
    </row>
    <row r="108" spans="1:11" x14ac:dyDescent="0.3">
      <c r="A108" s="92" t="s">
        <v>10718</v>
      </c>
      <c r="B108" s="92" t="s">
        <v>9907</v>
      </c>
      <c r="C108" s="92" t="s">
        <v>10719</v>
      </c>
      <c r="D108" s="92" t="s">
        <v>13</v>
      </c>
      <c r="E108" s="92" t="s">
        <v>1420</v>
      </c>
      <c r="F108" s="92" t="s">
        <v>10720</v>
      </c>
      <c r="G108" s="92" t="s">
        <v>10721</v>
      </c>
      <c r="H108" s="92" t="s">
        <v>10722</v>
      </c>
      <c r="I108" s="92" t="s">
        <v>14</v>
      </c>
      <c r="J108" s="92" t="s">
        <v>1852</v>
      </c>
      <c r="K108" s="153"/>
    </row>
    <row r="109" spans="1:11" x14ac:dyDescent="0.3">
      <c r="A109" s="92" t="s">
        <v>10723</v>
      </c>
      <c r="B109" s="92" t="s">
        <v>9907</v>
      </c>
      <c r="C109" s="92" t="s">
        <v>10724</v>
      </c>
      <c r="D109" s="92" t="s">
        <v>13</v>
      </c>
      <c r="E109" s="92" t="s">
        <v>1420</v>
      </c>
      <c r="F109" s="92" t="s">
        <v>10725</v>
      </c>
      <c r="G109" s="92" t="s">
        <v>10341</v>
      </c>
      <c r="H109" s="92" t="s">
        <v>10726</v>
      </c>
      <c r="I109" s="92" t="s">
        <v>14</v>
      </c>
      <c r="J109" s="92" t="s">
        <v>1852</v>
      </c>
      <c r="K109" s="153"/>
    </row>
    <row r="110" spans="1:11" x14ac:dyDescent="0.3">
      <c r="A110" s="92" t="s">
        <v>10727</v>
      </c>
      <c r="B110" s="92" t="s">
        <v>9907</v>
      </c>
      <c r="C110" s="92" t="s">
        <v>10728</v>
      </c>
      <c r="D110" s="92" t="s">
        <v>13</v>
      </c>
      <c r="E110" s="92" t="s">
        <v>1420</v>
      </c>
      <c r="F110" s="92" t="s">
        <v>10725</v>
      </c>
      <c r="G110" s="92" t="s">
        <v>10322</v>
      </c>
      <c r="H110" s="92" t="s">
        <v>10729</v>
      </c>
      <c r="I110" s="92" t="s">
        <v>14</v>
      </c>
      <c r="J110" s="92" t="s">
        <v>1852</v>
      </c>
      <c r="K110" s="153"/>
    </row>
    <row r="111" spans="1:11" x14ac:dyDescent="0.3">
      <c r="A111" s="92" t="s">
        <v>10730</v>
      </c>
      <c r="B111" s="92" t="s">
        <v>9907</v>
      </c>
      <c r="C111" s="92" t="s">
        <v>10731</v>
      </c>
      <c r="D111" s="92" t="s">
        <v>13</v>
      </c>
      <c r="E111" s="92" t="s">
        <v>1420</v>
      </c>
      <c r="F111" s="92" t="s">
        <v>8286</v>
      </c>
      <c r="G111" s="92" t="s">
        <v>10732</v>
      </c>
      <c r="H111" s="92" t="s">
        <v>9923</v>
      </c>
      <c r="I111" s="92" t="s">
        <v>14</v>
      </c>
      <c r="J111" s="92" t="s">
        <v>1852</v>
      </c>
      <c r="K111" s="153"/>
    </row>
    <row r="112" spans="1:11" x14ac:dyDescent="0.3">
      <c r="A112" s="92" t="s">
        <v>10733</v>
      </c>
      <c r="B112" s="92" t="s">
        <v>9907</v>
      </c>
      <c r="C112" s="92" t="s">
        <v>10734</v>
      </c>
      <c r="D112" s="92" t="s">
        <v>10</v>
      </c>
      <c r="E112" s="92" t="s">
        <v>1420</v>
      </c>
      <c r="F112" s="92" t="s">
        <v>9159</v>
      </c>
      <c r="G112" s="92" t="s">
        <v>10735</v>
      </c>
      <c r="H112" s="92" t="s">
        <v>8292</v>
      </c>
      <c r="I112" s="92" t="s">
        <v>10736</v>
      </c>
      <c r="J112" s="92" t="s">
        <v>1852</v>
      </c>
      <c r="K112" s="153"/>
    </row>
    <row r="113" spans="1:11" x14ac:dyDescent="0.3">
      <c r="A113" s="92" t="s">
        <v>10737</v>
      </c>
      <c r="B113" s="92" t="s">
        <v>9907</v>
      </c>
      <c r="C113" s="92" t="s">
        <v>10738</v>
      </c>
      <c r="D113" s="92" t="s">
        <v>10</v>
      </c>
      <c r="E113" s="92" t="s">
        <v>1420</v>
      </c>
      <c r="F113" s="92" t="s">
        <v>9159</v>
      </c>
      <c r="G113" s="92" t="s">
        <v>10565</v>
      </c>
      <c r="H113" s="92" t="s">
        <v>8292</v>
      </c>
      <c r="I113" s="92" t="s">
        <v>10739</v>
      </c>
      <c r="J113" s="92" t="s">
        <v>1852</v>
      </c>
      <c r="K113" s="153"/>
    </row>
    <row r="114" spans="1:11" x14ac:dyDescent="0.3">
      <c r="A114" s="92" t="s">
        <v>10740</v>
      </c>
      <c r="B114" s="92" t="s">
        <v>9907</v>
      </c>
      <c r="C114" s="92" t="s">
        <v>10741</v>
      </c>
      <c r="D114" s="92" t="s">
        <v>13</v>
      </c>
      <c r="E114" s="92" t="s">
        <v>1420</v>
      </c>
      <c r="F114" s="92" t="s">
        <v>8300</v>
      </c>
      <c r="G114" s="92" t="s">
        <v>10742</v>
      </c>
      <c r="H114" s="92" t="s">
        <v>10743</v>
      </c>
      <c r="I114" s="92" t="s">
        <v>14</v>
      </c>
      <c r="J114" s="92" t="s">
        <v>1868</v>
      </c>
      <c r="K114" s="153"/>
    </row>
    <row r="115" spans="1:11" x14ac:dyDescent="0.3">
      <c r="A115" s="92" t="s">
        <v>10744</v>
      </c>
      <c r="B115" s="92" t="s">
        <v>9907</v>
      </c>
      <c r="C115" s="92" t="s">
        <v>10745</v>
      </c>
      <c r="D115" s="92" t="s">
        <v>10</v>
      </c>
      <c r="E115" s="92" t="s">
        <v>1420</v>
      </c>
      <c r="F115" s="92" t="s">
        <v>8300</v>
      </c>
      <c r="G115" s="92" t="s">
        <v>10746</v>
      </c>
      <c r="H115" s="92" t="s">
        <v>8302</v>
      </c>
      <c r="I115" s="92" t="s">
        <v>10747</v>
      </c>
      <c r="J115" s="92" t="s">
        <v>1852</v>
      </c>
      <c r="K115" s="153"/>
    </row>
    <row r="116" spans="1:11" x14ac:dyDescent="0.3">
      <c r="A116" s="92" t="s">
        <v>10748</v>
      </c>
      <c r="B116" s="92" t="s">
        <v>9907</v>
      </c>
      <c r="C116" s="92" t="s">
        <v>10749</v>
      </c>
      <c r="D116" s="92" t="s">
        <v>10</v>
      </c>
      <c r="E116" s="92" t="s">
        <v>1420</v>
      </c>
      <c r="F116" s="92" t="s">
        <v>10750</v>
      </c>
      <c r="G116" s="92" t="s">
        <v>10565</v>
      </c>
      <c r="H116" s="92" t="s">
        <v>10751</v>
      </c>
      <c r="I116" s="92" t="s">
        <v>10752</v>
      </c>
      <c r="J116" s="92" t="s">
        <v>1852</v>
      </c>
      <c r="K116" s="153"/>
    </row>
    <row r="117" spans="1:11" x14ac:dyDescent="0.3">
      <c r="A117" s="92" t="s">
        <v>10753</v>
      </c>
      <c r="B117" s="92" t="s">
        <v>9907</v>
      </c>
      <c r="C117" s="92" t="s">
        <v>9947</v>
      </c>
      <c r="D117" s="92" t="s">
        <v>13</v>
      </c>
      <c r="E117" s="92" t="s">
        <v>9948</v>
      </c>
      <c r="F117" s="92" t="s">
        <v>9180</v>
      </c>
      <c r="G117" s="92" t="s">
        <v>10754</v>
      </c>
      <c r="H117" s="92" t="s">
        <v>9950</v>
      </c>
      <c r="I117" s="92" t="s">
        <v>14</v>
      </c>
      <c r="J117" s="92" t="s">
        <v>1868</v>
      </c>
      <c r="K117" s="153"/>
    </row>
    <row r="118" spans="1:11" x14ac:dyDescent="0.3">
      <c r="A118" s="92" t="s">
        <v>10755</v>
      </c>
      <c r="B118" s="92" t="s">
        <v>9907</v>
      </c>
      <c r="C118" s="92" t="s">
        <v>10756</v>
      </c>
      <c r="D118" s="92" t="s">
        <v>10</v>
      </c>
      <c r="E118" s="92" t="s">
        <v>152</v>
      </c>
      <c r="F118" s="92" t="s">
        <v>8318</v>
      </c>
      <c r="G118" s="92" t="s">
        <v>10757</v>
      </c>
      <c r="H118" s="92" t="s">
        <v>8320</v>
      </c>
      <c r="I118" s="92" t="s">
        <v>9191</v>
      </c>
      <c r="J118" s="92" t="s">
        <v>1852</v>
      </c>
      <c r="K118" s="153"/>
    </row>
    <row r="119" spans="1:11" x14ac:dyDescent="0.3">
      <c r="A119" s="92" t="s">
        <v>10758</v>
      </c>
      <c r="B119" s="92" t="s">
        <v>9907</v>
      </c>
      <c r="C119" s="92" t="s">
        <v>10759</v>
      </c>
      <c r="D119" s="92" t="s">
        <v>13</v>
      </c>
      <c r="E119" s="92" t="s">
        <v>1420</v>
      </c>
      <c r="F119" s="92" t="s">
        <v>10760</v>
      </c>
      <c r="G119" s="92" t="s">
        <v>10761</v>
      </c>
      <c r="H119" s="92" t="s">
        <v>10762</v>
      </c>
      <c r="I119" s="92" t="s">
        <v>14</v>
      </c>
      <c r="J119" s="92" t="s">
        <v>1868</v>
      </c>
      <c r="K119" s="153"/>
    </row>
    <row r="120" spans="1:11" x14ac:dyDescent="0.3">
      <c r="A120" s="92" t="s">
        <v>10763</v>
      </c>
      <c r="B120" s="92" t="s">
        <v>9907</v>
      </c>
      <c r="C120" s="92" t="s">
        <v>10764</v>
      </c>
      <c r="D120" s="92" t="s">
        <v>13</v>
      </c>
      <c r="E120" s="92" t="s">
        <v>1420</v>
      </c>
      <c r="F120" s="92" t="s">
        <v>10765</v>
      </c>
      <c r="G120" s="92" t="s">
        <v>10766</v>
      </c>
      <c r="H120" s="92" t="s">
        <v>10767</v>
      </c>
      <c r="I120" s="92" t="s">
        <v>10768</v>
      </c>
      <c r="J120" s="92" t="s">
        <v>1868</v>
      </c>
      <c r="K120" s="153"/>
    </row>
    <row r="121" spans="1:11" x14ac:dyDescent="0.3">
      <c r="A121" s="92" t="s">
        <v>10769</v>
      </c>
      <c r="B121" s="92" t="s">
        <v>9907</v>
      </c>
      <c r="C121" s="92" t="s">
        <v>10770</v>
      </c>
      <c r="D121" s="92" t="s">
        <v>13</v>
      </c>
      <c r="E121" s="92" t="s">
        <v>10771</v>
      </c>
      <c r="F121" s="92" t="s">
        <v>10772</v>
      </c>
      <c r="G121" s="92" t="s">
        <v>10773</v>
      </c>
      <c r="H121" s="92" t="s">
        <v>10774</v>
      </c>
      <c r="I121" s="92" t="s">
        <v>10775</v>
      </c>
      <c r="J121" s="92" t="s">
        <v>1868</v>
      </c>
      <c r="K121" s="153"/>
    </row>
    <row r="122" spans="1:11" x14ac:dyDescent="0.3">
      <c r="A122" s="93" t="s">
        <v>10776</v>
      </c>
      <c r="B122" s="93" t="s">
        <v>10777</v>
      </c>
      <c r="C122" s="93" t="s">
        <v>10778</v>
      </c>
      <c r="D122" s="93" t="s">
        <v>13</v>
      </c>
      <c r="E122" s="93" t="s">
        <v>7373</v>
      </c>
      <c r="F122" s="93" t="s">
        <v>10779</v>
      </c>
      <c r="G122" s="93" t="s">
        <v>10780</v>
      </c>
      <c r="H122" s="93" t="s">
        <v>10781</v>
      </c>
      <c r="I122" s="93" t="s">
        <v>14</v>
      </c>
      <c r="J122" s="93" t="s">
        <v>1852</v>
      </c>
      <c r="K122" s="153"/>
    </row>
    <row r="123" spans="1:11" x14ac:dyDescent="0.3">
      <c r="A123" s="93" t="s">
        <v>10782</v>
      </c>
      <c r="B123" s="93" t="s">
        <v>10777</v>
      </c>
      <c r="C123" s="93" t="s">
        <v>10783</v>
      </c>
      <c r="D123" s="93" t="s">
        <v>13</v>
      </c>
      <c r="E123" s="93" t="s">
        <v>7373</v>
      </c>
      <c r="F123" s="93" t="s">
        <v>10784</v>
      </c>
      <c r="G123" s="93" t="s">
        <v>10780</v>
      </c>
      <c r="H123" s="93" t="s">
        <v>10785</v>
      </c>
      <c r="I123" s="93" t="s">
        <v>14</v>
      </c>
      <c r="J123" s="93" t="s">
        <v>1852</v>
      </c>
      <c r="K123" s="153"/>
    </row>
    <row r="124" spans="1:11" x14ac:dyDescent="0.3">
      <c r="A124" s="93" t="s">
        <v>10786</v>
      </c>
      <c r="B124" s="93" t="s">
        <v>10777</v>
      </c>
      <c r="C124" s="93" t="s">
        <v>10787</v>
      </c>
      <c r="D124" s="93" t="s">
        <v>13</v>
      </c>
      <c r="E124" s="93" t="s">
        <v>7373</v>
      </c>
      <c r="F124" s="93" t="s">
        <v>10788</v>
      </c>
      <c r="G124" s="93" t="s">
        <v>10780</v>
      </c>
      <c r="H124" s="93" t="s">
        <v>10789</v>
      </c>
      <c r="I124" s="93" t="s">
        <v>14</v>
      </c>
      <c r="J124" s="93" t="s">
        <v>1852</v>
      </c>
      <c r="K124" s="153"/>
    </row>
    <row r="125" spans="1:11" x14ac:dyDescent="0.3">
      <c r="A125" s="93" t="s">
        <v>10790</v>
      </c>
      <c r="B125" s="93" t="s">
        <v>10777</v>
      </c>
      <c r="C125" s="93" t="s">
        <v>10791</v>
      </c>
      <c r="D125" s="93" t="s">
        <v>13</v>
      </c>
      <c r="E125" s="93" t="s">
        <v>7373</v>
      </c>
      <c r="F125" s="93" t="s">
        <v>10792</v>
      </c>
      <c r="G125" s="93" t="s">
        <v>10780</v>
      </c>
      <c r="H125" s="93" t="s">
        <v>10793</v>
      </c>
      <c r="I125" s="93" t="s">
        <v>14</v>
      </c>
      <c r="J125" s="93" t="s">
        <v>1852</v>
      </c>
      <c r="K125" s="153"/>
    </row>
    <row r="126" spans="1:11" x14ac:dyDescent="0.3">
      <c r="A126" s="93" t="s">
        <v>10794</v>
      </c>
      <c r="B126" s="93" t="s">
        <v>10777</v>
      </c>
      <c r="C126" s="93" t="s">
        <v>10795</v>
      </c>
      <c r="D126" s="93" t="s">
        <v>13</v>
      </c>
      <c r="E126" s="93" t="s">
        <v>7373</v>
      </c>
      <c r="F126" s="93" t="s">
        <v>10796</v>
      </c>
      <c r="G126" s="93" t="s">
        <v>10780</v>
      </c>
      <c r="H126" s="93" t="s">
        <v>10797</v>
      </c>
      <c r="I126" s="93" t="s">
        <v>14</v>
      </c>
      <c r="J126" s="93" t="s">
        <v>1852</v>
      </c>
      <c r="K126" s="153"/>
    </row>
    <row r="127" spans="1:11" x14ac:dyDescent="0.3">
      <c r="A127" s="93" t="s">
        <v>10798</v>
      </c>
      <c r="B127" s="93" t="s">
        <v>10777</v>
      </c>
      <c r="C127" s="93" t="s">
        <v>10799</v>
      </c>
      <c r="D127" s="93" t="s">
        <v>13</v>
      </c>
      <c r="E127" s="93" t="s">
        <v>7373</v>
      </c>
      <c r="F127" s="93" t="s">
        <v>10800</v>
      </c>
      <c r="G127" s="93" t="s">
        <v>10780</v>
      </c>
      <c r="H127" s="93" t="s">
        <v>10801</v>
      </c>
      <c r="I127" s="93" t="s">
        <v>14</v>
      </c>
      <c r="J127" s="93" t="s">
        <v>1868</v>
      </c>
      <c r="K127" s="155"/>
    </row>
    <row r="128" spans="1:11" x14ac:dyDescent="0.3">
      <c r="A128" s="93" t="s">
        <v>10802</v>
      </c>
      <c r="B128" s="93" t="s">
        <v>10777</v>
      </c>
      <c r="C128" s="93" t="s">
        <v>10803</v>
      </c>
      <c r="D128" s="93" t="s">
        <v>13</v>
      </c>
      <c r="E128" s="93" t="s">
        <v>7373</v>
      </c>
      <c r="F128" s="93" t="s">
        <v>10804</v>
      </c>
      <c r="G128" s="93" t="s">
        <v>10780</v>
      </c>
      <c r="H128" s="93" t="s">
        <v>10805</v>
      </c>
      <c r="I128" s="93" t="s">
        <v>14</v>
      </c>
      <c r="J128" s="93" t="s">
        <v>1868</v>
      </c>
      <c r="K128" s="162"/>
    </row>
    <row r="129" spans="1:11" x14ac:dyDescent="0.3">
      <c r="A129" s="93" t="s">
        <v>10806</v>
      </c>
      <c r="B129" s="93" t="s">
        <v>10777</v>
      </c>
      <c r="C129" s="93" t="s">
        <v>10807</v>
      </c>
      <c r="D129" s="93" t="s">
        <v>13</v>
      </c>
      <c r="E129" s="93" t="s">
        <v>477</v>
      </c>
      <c r="F129" s="93" t="s">
        <v>10808</v>
      </c>
      <c r="G129" s="93" t="s">
        <v>10809</v>
      </c>
      <c r="H129" s="93" t="s">
        <v>10810</v>
      </c>
      <c r="I129" s="93" t="s">
        <v>14</v>
      </c>
      <c r="J129" s="93" t="s">
        <v>1852</v>
      </c>
      <c r="K129" s="153"/>
    </row>
    <row r="130" spans="1:11" x14ac:dyDescent="0.3">
      <c r="A130" s="93" t="s">
        <v>10811</v>
      </c>
      <c r="B130" s="93" t="s">
        <v>10777</v>
      </c>
      <c r="C130" s="93" t="s">
        <v>10812</v>
      </c>
      <c r="D130" s="93" t="s">
        <v>13</v>
      </c>
      <c r="E130" s="93" t="s">
        <v>10813</v>
      </c>
      <c r="F130" s="93" t="s">
        <v>10814</v>
      </c>
      <c r="G130" s="93" t="s">
        <v>10815</v>
      </c>
      <c r="H130" s="93" t="s">
        <v>10816</v>
      </c>
      <c r="I130" s="93" t="s">
        <v>10817</v>
      </c>
      <c r="J130" s="93" t="s">
        <v>1852</v>
      </c>
      <c r="K130" s="153"/>
    </row>
    <row r="131" spans="1:11" x14ac:dyDescent="0.3">
      <c r="A131" s="93" t="s">
        <v>10818</v>
      </c>
      <c r="B131" s="93" t="s">
        <v>10777</v>
      </c>
      <c r="C131" s="93" t="s">
        <v>10819</v>
      </c>
      <c r="D131" s="93" t="s">
        <v>13</v>
      </c>
      <c r="E131" s="93" t="s">
        <v>10813</v>
      </c>
      <c r="F131" s="93" t="s">
        <v>10820</v>
      </c>
      <c r="G131" s="93" t="s">
        <v>10815</v>
      </c>
      <c r="H131" s="93" t="s">
        <v>10821</v>
      </c>
      <c r="I131" s="93" t="s">
        <v>14</v>
      </c>
      <c r="J131" s="93" t="s">
        <v>1868</v>
      </c>
      <c r="K131" s="153"/>
    </row>
    <row r="132" spans="1:11" x14ac:dyDescent="0.3">
      <c r="A132" s="93" t="s">
        <v>10822</v>
      </c>
      <c r="B132" s="93" t="s">
        <v>10777</v>
      </c>
      <c r="C132" s="93" t="s">
        <v>10823</v>
      </c>
      <c r="D132" s="93" t="s">
        <v>13</v>
      </c>
      <c r="E132" s="93" t="s">
        <v>10824</v>
      </c>
      <c r="F132" s="93" t="s">
        <v>10825</v>
      </c>
      <c r="G132" s="93" t="s">
        <v>10826</v>
      </c>
      <c r="H132" s="93" t="s">
        <v>10827</v>
      </c>
      <c r="I132" s="93" t="s">
        <v>14</v>
      </c>
      <c r="J132" s="93" t="s">
        <v>1868</v>
      </c>
      <c r="K132" s="153"/>
    </row>
    <row r="133" spans="1:11" x14ac:dyDescent="0.3">
      <c r="A133" s="93" t="s">
        <v>10828</v>
      </c>
      <c r="B133" s="93" t="s">
        <v>10777</v>
      </c>
      <c r="C133" s="93" t="s">
        <v>10829</v>
      </c>
      <c r="D133" s="93" t="s">
        <v>13</v>
      </c>
      <c r="E133" s="93" t="s">
        <v>10824</v>
      </c>
      <c r="F133" s="93" t="s">
        <v>10830</v>
      </c>
      <c r="G133" s="93" t="s">
        <v>10831</v>
      </c>
      <c r="H133" s="93" t="s">
        <v>10832</v>
      </c>
      <c r="I133" s="93" t="s">
        <v>14</v>
      </c>
      <c r="J133" s="93" t="s">
        <v>1873</v>
      </c>
      <c r="K133" s="153"/>
    </row>
    <row r="134" spans="1:11" x14ac:dyDescent="0.3">
      <c r="A134" s="93" t="s">
        <v>10833</v>
      </c>
      <c r="B134" s="93" t="s">
        <v>10777</v>
      </c>
      <c r="C134" s="93" t="s">
        <v>10834</v>
      </c>
      <c r="D134" s="93" t="s">
        <v>13</v>
      </c>
      <c r="E134" s="93" t="s">
        <v>7373</v>
      </c>
      <c r="F134" s="93" t="s">
        <v>10835</v>
      </c>
      <c r="G134" s="93" t="s">
        <v>10780</v>
      </c>
      <c r="H134" s="93" t="s">
        <v>10836</v>
      </c>
      <c r="I134" s="93" t="s">
        <v>14</v>
      </c>
      <c r="J134" s="93" t="s">
        <v>1852</v>
      </c>
      <c r="K134" s="153"/>
    </row>
    <row r="135" spans="1:11" x14ac:dyDescent="0.3">
      <c r="A135" s="93" t="s">
        <v>10837</v>
      </c>
      <c r="B135" s="93" t="s">
        <v>10777</v>
      </c>
      <c r="C135" s="93" t="s">
        <v>10838</v>
      </c>
      <c r="D135" s="93" t="s">
        <v>21</v>
      </c>
      <c r="E135" s="93" t="s">
        <v>7373</v>
      </c>
      <c r="F135" s="93" t="s">
        <v>10839</v>
      </c>
      <c r="G135" s="93" t="s">
        <v>10780</v>
      </c>
      <c r="H135" s="93" t="s">
        <v>10840</v>
      </c>
      <c r="I135" s="93" t="s">
        <v>14</v>
      </c>
      <c r="J135" s="93" t="s">
        <v>1868</v>
      </c>
      <c r="K135" s="153"/>
    </row>
    <row r="136" spans="1:11" x14ac:dyDescent="0.3">
      <c r="A136" s="93" t="s">
        <v>10841</v>
      </c>
      <c r="B136" s="93" t="s">
        <v>10777</v>
      </c>
      <c r="C136" s="93" t="s">
        <v>10842</v>
      </c>
      <c r="D136" s="93" t="s">
        <v>13</v>
      </c>
      <c r="E136" s="93" t="s">
        <v>10843</v>
      </c>
      <c r="F136" s="93" t="s">
        <v>10844</v>
      </c>
      <c r="G136" s="93" t="s">
        <v>10845</v>
      </c>
      <c r="H136" s="93" t="s">
        <v>10846</v>
      </c>
      <c r="I136" s="93" t="s">
        <v>14</v>
      </c>
      <c r="J136" s="93" t="s">
        <v>1873</v>
      </c>
      <c r="K136" s="153"/>
    </row>
    <row r="137" spans="1:11" x14ac:dyDescent="0.3">
      <c r="A137" s="93" t="s">
        <v>10847</v>
      </c>
      <c r="B137" s="93" t="s">
        <v>10777</v>
      </c>
      <c r="C137" s="93" t="s">
        <v>10848</v>
      </c>
      <c r="D137" s="93" t="s">
        <v>13</v>
      </c>
      <c r="E137" s="93" t="s">
        <v>10849</v>
      </c>
      <c r="F137" s="93" t="s">
        <v>10850</v>
      </c>
      <c r="G137" s="93" t="s">
        <v>10851</v>
      </c>
      <c r="H137" s="93" t="s">
        <v>10852</v>
      </c>
      <c r="I137" s="93" t="s">
        <v>14</v>
      </c>
      <c r="J137" s="93" t="s">
        <v>1873</v>
      </c>
      <c r="K137" s="153"/>
    </row>
    <row r="138" spans="1:11" x14ac:dyDescent="0.3">
      <c r="A138" s="87" t="s">
        <v>10853</v>
      </c>
      <c r="B138" s="87" t="s">
        <v>7475</v>
      </c>
      <c r="C138" s="87" t="s">
        <v>10854</v>
      </c>
      <c r="D138" s="87" t="s">
        <v>13</v>
      </c>
      <c r="E138" s="87" t="s">
        <v>799</v>
      </c>
      <c r="F138" s="87" t="s">
        <v>10232</v>
      </c>
      <c r="G138" s="87" t="s">
        <v>8508</v>
      </c>
      <c r="H138" s="87" t="s">
        <v>10855</v>
      </c>
      <c r="I138" s="87" t="s">
        <v>14</v>
      </c>
      <c r="J138" s="87" t="s">
        <v>1852</v>
      </c>
      <c r="K138" s="153"/>
    </row>
    <row r="139" spans="1:11" x14ac:dyDescent="0.3">
      <c r="A139" s="87" t="s">
        <v>10856</v>
      </c>
      <c r="B139" s="87" t="s">
        <v>7475</v>
      </c>
      <c r="C139" s="87" t="s">
        <v>10857</v>
      </c>
      <c r="D139" s="87" t="s">
        <v>13</v>
      </c>
      <c r="E139" s="87" t="s">
        <v>799</v>
      </c>
      <c r="F139" s="87" t="s">
        <v>10858</v>
      </c>
      <c r="G139" s="87" t="s">
        <v>8508</v>
      </c>
      <c r="H139" s="87" t="s">
        <v>10859</v>
      </c>
      <c r="I139" s="87" t="s">
        <v>14</v>
      </c>
      <c r="J139" s="87" t="s">
        <v>1852</v>
      </c>
      <c r="K139" s="153"/>
    </row>
    <row r="140" spans="1:11" x14ac:dyDescent="0.3">
      <c r="A140" s="87" t="s">
        <v>10860</v>
      </c>
      <c r="B140" s="87" t="s">
        <v>7475</v>
      </c>
      <c r="C140" s="87" t="s">
        <v>10861</v>
      </c>
      <c r="D140" s="87" t="s">
        <v>13</v>
      </c>
      <c r="E140" s="87" t="s">
        <v>799</v>
      </c>
      <c r="F140" s="87" t="s">
        <v>10862</v>
      </c>
      <c r="G140" s="87" t="s">
        <v>8508</v>
      </c>
      <c r="H140" s="87" t="s">
        <v>10863</v>
      </c>
      <c r="I140" s="87" t="s">
        <v>14</v>
      </c>
      <c r="J140" s="87" t="s">
        <v>1852</v>
      </c>
      <c r="K140" s="153"/>
    </row>
    <row r="141" spans="1:11" x14ac:dyDescent="0.3">
      <c r="A141" s="87" t="s">
        <v>10864</v>
      </c>
      <c r="B141" s="87" t="s">
        <v>7475</v>
      </c>
      <c r="C141" s="87" t="s">
        <v>10865</v>
      </c>
      <c r="D141" s="87" t="s">
        <v>13</v>
      </c>
      <c r="E141" s="87" t="s">
        <v>799</v>
      </c>
      <c r="F141" s="87" t="s">
        <v>10351</v>
      </c>
      <c r="G141" s="87" t="s">
        <v>8508</v>
      </c>
      <c r="H141" s="87" t="s">
        <v>10866</v>
      </c>
      <c r="I141" s="87" t="s">
        <v>14</v>
      </c>
      <c r="J141" s="87" t="s">
        <v>1852</v>
      </c>
      <c r="K141" s="153"/>
    </row>
    <row r="142" spans="1:11" x14ac:dyDescent="0.3">
      <c r="A142" s="87" t="s">
        <v>10867</v>
      </c>
      <c r="B142" s="87" t="s">
        <v>7475</v>
      </c>
      <c r="C142" s="87" t="s">
        <v>10868</v>
      </c>
      <c r="D142" s="87" t="s">
        <v>13</v>
      </c>
      <c r="E142" s="87" t="s">
        <v>10869</v>
      </c>
      <c r="F142" s="87" t="s">
        <v>10870</v>
      </c>
      <c r="G142" s="87" t="s">
        <v>10871</v>
      </c>
      <c r="H142" s="87" t="s">
        <v>10872</v>
      </c>
      <c r="I142" s="87" t="s">
        <v>14</v>
      </c>
      <c r="J142" s="87" t="s">
        <v>1852</v>
      </c>
      <c r="K142" s="153"/>
    </row>
    <row r="143" spans="1:11" x14ac:dyDescent="0.3">
      <c r="A143" s="87" t="s">
        <v>10873</v>
      </c>
      <c r="B143" s="87" t="s">
        <v>7475</v>
      </c>
      <c r="C143" s="87" t="s">
        <v>10874</v>
      </c>
      <c r="D143" s="87" t="s">
        <v>13</v>
      </c>
      <c r="E143" s="87" t="s">
        <v>799</v>
      </c>
      <c r="F143" s="87" t="s">
        <v>10796</v>
      </c>
      <c r="G143" s="87" t="s">
        <v>8508</v>
      </c>
      <c r="H143" s="87" t="s">
        <v>10875</v>
      </c>
      <c r="I143" s="87" t="s">
        <v>14</v>
      </c>
      <c r="J143" s="87" t="s">
        <v>1868</v>
      </c>
      <c r="K143" s="153"/>
    </row>
    <row r="144" spans="1:11" x14ac:dyDescent="0.3">
      <c r="A144" s="87" t="s">
        <v>10876</v>
      </c>
      <c r="B144" s="87" t="s">
        <v>7475</v>
      </c>
      <c r="C144" s="87" t="s">
        <v>10877</v>
      </c>
      <c r="D144" s="87" t="s">
        <v>13</v>
      </c>
      <c r="E144" s="87" t="s">
        <v>799</v>
      </c>
      <c r="F144" s="87" t="s">
        <v>10878</v>
      </c>
      <c r="G144" s="87" t="s">
        <v>8508</v>
      </c>
      <c r="H144" s="87" t="s">
        <v>10879</v>
      </c>
      <c r="I144" s="87" t="s">
        <v>14</v>
      </c>
      <c r="J144" s="87" t="s">
        <v>1868</v>
      </c>
      <c r="K144" s="153"/>
    </row>
    <row r="145" spans="1:11" x14ac:dyDescent="0.3">
      <c r="A145" s="87" t="s">
        <v>10880</v>
      </c>
      <c r="B145" s="87" t="s">
        <v>7475</v>
      </c>
      <c r="C145" s="87" t="s">
        <v>10881</v>
      </c>
      <c r="D145" s="87" t="s">
        <v>13</v>
      </c>
      <c r="E145" s="87" t="s">
        <v>799</v>
      </c>
      <c r="F145" s="87" t="s">
        <v>10882</v>
      </c>
      <c r="G145" s="87" t="s">
        <v>10883</v>
      </c>
      <c r="H145" s="87" t="s">
        <v>10884</v>
      </c>
      <c r="I145" s="87" t="s">
        <v>14</v>
      </c>
      <c r="J145" s="87" t="s">
        <v>1868</v>
      </c>
      <c r="K145" s="153"/>
    </row>
    <row r="146" spans="1:11" x14ac:dyDescent="0.3">
      <c r="A146" s="87" t="s">
        <v>10885</v>
      </c>
      <c r="B146" s="87" t="s">
        <v>7475</v>
      </c>
      <c r="C146" s="87" t="s">
        <v>10886</v>
      </c>
      <c r="D146" s="87" t="s">
        <v>13</v>
      </c>
      <c r="E146" s="87" t="s">
        <v>10887</v>
      </c>
      <c r="F146" s="87" t="s">
        <v>10830</v>
      </c>
      <c r="G146" s="87" t="s">
        <v>10888</v>
      </c>
      <c r="H146" s="87" t="s">
        <v>10889</v>
      </c>
      <c r="I146" s="87" t="s">
        <v>14</v>
      </c>
      <c r="J146" s="87" t="s">
        <v>1873</v>
      </c>
      <c r="K146" s="153"/>
    </row>
    <row r="147" spans="1:11" x14ac:dyDescent="0.3">
      <c r="A147" s="87" t="s">
        <v>10890</v>
      </c>
      <c r="B147" s="87" t="s">
        <v>7475</v>
      </c>
      <c r="C147" s="87" t="s">
        <v>10891</v>
      </c>
      <c r="D147" s="87" t="s">
        <v>13</v>
      </c>
      <c r="E147" s="87" t="s">
        <v>10887</v>
      </c>
      <c r="F147" s="87" t="s">
        <v>10892</v>
      </c>
      <c r="G147" s="87" t="s">
        <v>10893</v>
      </c>
      <c r="H147" s="87" t="s">
        <v>10894</v>
      </c>
      <c r="I147" s="87" t="s">
        <v>14</v>
      </c>
      <c r="J147" s="87" t="s">
        <v>1873</v>
      </c>
      <c r="K147" s="153"/>
    </row>
    <row r="148" spans="1:11" x14ac:dyDescent="0.3">
      <c r="A148" s="87" t="s">
        <v>10895</v>
      </c>
      <c r="B148" s="87" t="s">
        <v>7475</v>
      </c>
      <c r="C148" s="87" t="s">
        <v>10896</v>
      </c>
      <c r="D148" s="87" t="s">
        <v>13</v>
      </c>
      <c r="E148" s="87" t="s">
        <v>10897</v>
      </c>
      <c r="F148" s="87" t="s">
        <v>10898</v>
      </c>
      <c r="G148" s="87" t="s">
        <v>10899</v>
      </c>
      <c r="H148" s="87" t="s">
        <v>10900</v>
      </c>
      <c r="I148" s="87" t="s">
        <v>10901</v>
      </c>
      <c r="J148" s="87" t="s">
        <v>1852</v>
      </c>
      <c r="K148" s="153"/>
    </row>
    <row r="149" spans="1:11" x14ac:dyDescent="0.3">
      <c r="A149" s="87" t="s">
        <v>10902</v>
      </c>
      <c r="B149" s="87" t="s">
        <v>7475</v>
      </c>
      <c r="C149" s="87" t="s">
        <v>10903</v>
      </c>
      <c r="D149" s="87" t="s">
        <v>13</v>
      </c>
      <c r="E149" s="87" t="s">
        <v>10904</v>
      </c>
      <c r="F149" s="87" t="s">
        <v>10905</v>
      </c>
      <c r="G149" s="87" t="s">
        <v>10906</v>
      </c>
      <c r="H149" s="87" t="s">
        <v>10907</v>
      </c>
      <c r="I149" s="87" t="s">
        <v>14</v>
      </c>
      <c r="J149" s="87" t="s">
        <v>1873</v>
      </c>
      <c r="K149" s="153"/>
    </row>
    <row r="150" spans="1:11" x14ac:dyDescent="0.3">
      <c r="A150" s="87" t="s">
        <v>10908</v>
      </c>
      <c r="B150" s="87" t="s">
        <v>7475</v>
      </c>
      <c r="C150" s="87" t="s">
        <v>10909</v>
      </c>
      <c r="D150" s="87" t="s">
        <v>13</v>
      </c>
      <c r="E150" s="87" t="s">
        <v>10910</v>
      </c>
      <c r="F150" s="87" t="s">
        <v>10911</v>
      </c>
      <c r="G150" s="87" t="s">
        <v>10912</v>
      </c>
      <c r="H150" s="87" t="s">
        <v>10913</v>
      </c>
      <c r="I150" s="87" t="s">
        <v>14</v>
      </c>
      <c r="J150" s="87" t="s">
        <v>1873</v>
      </c>
      <c r="K150" s="153"/>
    </row>
    <row r="151" spans="1:11" x14ac:dyDescent="0.3">
      <c r="A151" s="87" t="s">
        <v>10914</v>
      </c>
      <c r="B151" s="87" t="s">
        <v>7475</v>
      </c>
      <c r="C151" s="87" t="s">
        <v>10915</v>
      </c>
      <c r="D151" s="87" t="s">
        <v>13</v>
      </c>
      <c r="E151" s="87" t="s">
        <v>799</v>
      </c>
      <c r="F151" s="87" t="s">
        <v>10916</v>
      </c>
      <c r="G151" s="87" t="s">
        <v>10917</v>
      </c>
      <c r="H151" s="87" t="s">
        <v>10918</v>
      </c>
      <c r="I151" s="87" t="s">
        <v>10919</v>
      </c>
      <c r="J151" s="87" t="s">
        <v>1868</v>
      </c>
      <c r="K151" s="153"/>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1C3A-2E77-4CF9-9DD3-DA47AE768825}">
  <dimension ref="A1:K182"/>
  <sheetViews>
    <sheetView workbookViewId="0">
      <pane ySplit="1" topLeftCell="A2" activePane="bottomLeft" state="frozen"/>
      <selection pane="bottomLeft" activeCell="A157" sqref="A157:XFD157"/>
    </sheetView>
  </sheetViews>
  <sheetFormatPr defaultRowHeight="14.4" x14ac:dyDescent="0.3"/>
  <cols>
    <col min="1" max="1" width="18.5546875" customWidth="1"/>
    <col min="2" max="2" width="40.77734375" customWidth="1"/>
    <col min="3" max="3" width="51.88671875" customWidth="1"/>
    <col min="4" max="4" width="9.21875" customWidth="1"/>
    <col min="5" max="5" width="22.21875" customWidth="1"/>
    <col min="6" max="8" width="51.88671875" customWidth="1"/>
    <col min="9" max="9" width="46.3320312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8640</v>
      </c>
      <c r="B2" s="46" t="s">
        <v>8641</v>
      </c>
      <c r="C2" s="46" t="s">
        <v>8642</v>
      </c>
      <c r="D2" s="46" t="s">
        <v>13</v>
      </c>
      <c r="E2" s="46" t="s">
        <v>51</v>
      </c>
      <c r="F2" s="46" t="s">
        <v>8643</v>
      </c>
      <c r="G2" s="46" t="s">
        <v>8644</v>
      </c>
      <c r="H2" s="46" t="s">
        <v>8645</v>
      </c>
      <c r="I2" s="46" t="s">
        <v>8646</v>
      </c>
      <c r="J2" s="46" t="s">
        <v>1852</v>
      </c>
      <c r="K2" s="153"/>
    </row>
    <row r="3" spans="1:11" x14ac:dyDescent="0.3">
      <c r="A3" s="46" t="s">
        <v>8647</v>
      </c>
      <c r="B3" s="46" t="s">
        <v>8641</v>
      </c>
      <c r="C3" s="46" t="s">
        <v>8648</v>
      </c>
      <c r="D3" s="46" t="s">
        <v>13</v>
      </c>
      <c r="E3" s="46" t="s">
        <v>7772</v>
      </c>
      <c r="F3" s="46" t="s">
        <v>8649</v>
      </c>
      <c r="G3" s="46" t="s">
        <v>8650</v>
      </c>
      <c r="H3" s="46" t="s">
        <v>8651</v>
      </c>
      <c r="I3" s="46" t="s">
        <v>7776</v>
      </c>
      <c r="J3" s="46" t="s">
        <v>1852</v>
      </c>
      <c r="K3" s="153"/>
    </row>
    <row r="4" spans="1:11" x14ac:dyDescent="0.3">
      <c r="A4" s="46" t="s">
        <v>8652</v>
      </c>
      <c r="B4" s="46" t="s">
        <v>8641</v>
      </c>
      <c r="C4" s="46" t="s">
        <v>8653</v>
      </c>
      <c r="D4" s="46" t="s">
        <v>13</v>
      </c>
      <c r="E4" s="46" t="s">
        <v>8654</v>
      </c>
      <c r="F4" s="46" t="s">
        <v>8655</v>
      </c>
      <c r="G4" s="46" t="s">
        <v>8656</v>
      </c>
      <c r="H4" s="46" t="s">
        <v>8657</v>
      </c>
      <c r="I4" s="46" t="s">
        <v>8658</v>
      </c>
      <c r="J4" s="46" t="s">
        <v>1852</v>
      </c>
      <c r="K4" s="153"/>
    </row>
    <row r="5" spans="1:11" x14ac:dyDescent="0.3">
      <c r="A5" s="46" t="s">
        <v>8659</v>
      </c>
      <c r="B5" s="46" t="s">
        <v>8641</v>
      </c>
      <c r="C5" s="46" t="s">
        <v>8660</v>
      </c>
      <c r="D5" s="46" t="s">
        <v>13</v>
      </c>
      <c r="E5" s="46" t="s">
        <v>51</v>
      </c>
      <c r="F5" s="46" t="s">
        <v>8661</v>
      </c>
      <c r="G5" s="46" t="s">
        <v>8662</v>
      </c>
      <c r="H5" s="46" t="s">
        <v>8663</v>
      </c>
      <c r="I5" s="46" t="s">
        <v>8664</v>
      </c>
      <c r="J5" s="46" t="s">
        <v>1852</v>
      </c>
      <c r="K5" s="153"/>
    </row>
    <row r="6" spans="1:11" x14ac:dyDescent="0.3">
      <c r="A6" s="46" t="s">
        <v>8665</v>
      </c>
      <c r="B6" s="46" t="s">
        <v>8641</v>
      </c>
      <c r="C6" s="46" t="s">
        <v>8666</v>
      </c>
      <c r="D6" s="46" t="s">
        <v>13</v>
      </c>
      <c r="E6" s="46" t="s">
        <v>51</v>
      </c>
      <c r="F6" s="46" t="s">
        <v>8667</v>
      </c>
      <c r="G6" s="46" t="s">
        <v>8668</v>
      </c>
      <c r="H6" s="46" t="s">
        <v>8669</v>
      </c>
      <c r="I6" s="46" t="s">
        <v>14</v>
      </c>
      <c r="J6" s="46" t="s">
        <v>1852</v>
      </c>
      <c r="K6" s="153"/>
    </row>
    <row r="7" spans="1:11" x14ac:dyDescent="0.3">
      <c r="A7" s="46" t="s">
        <v>8670</v>
      </c>
      <c r="B7" s="46" t="s">
        <v>8641</v>
      </c>
      <c r="C7" s="46" t="s">
        <v>8671</v>
      </c>
      <c r="D7" s="46" t="s">
        <v>13</v>
      </c>
      <c r="E7" s="46" t="s">
        <v>51</v>
      </c>
      <c r="F7" s="46" t="s">
        <v>8672</v>
      </c>
      <c r="G7" s="46" t="s">
        <v>8673</v>
      </c>
      <c r="H7" s="46" t="s">
        <v>8674</v>
      </c>
      <c r="I7" s="46" t="s">
        <v>14</v>
      </c>
      <c r="J7" s="46" t="s">
        <v>1852</v>
      </c>
      <c r="K7" s="153"/>
    </row>
    <row r="8" spans="1:11" x14ac:dyDescent="0.3">
      <c r="A8" s="46" t="s">
        <v>8675</v>
      </c>
      <c r="B8" s="46" t="s">
        <v>8641</v>
      </c>
      <c r="C8" s="46" t="s">
        <v>8676</v>
      </c>
      <c r="D8" s="46" t="s">
        <v>13</v>
      </c>
      <c r="E8" s="46" t="s">
        <v>51</v>
      </c>
      <c r="F8" s="46" t="s">
        <v>8677</v>
      </c>
      <c r="G8" s="46" t="s">
        <v>8678</v>
      </c>
      <c r="H8" s="46" t="s">
        <v>8679</v>
      </c>
      <c r="I8" s="46" t="s">
        <v>14</v>
      </c>
      <c r="J8" s="46" t="s">
        <v>1868</v>
      </c>
      <c r="K8" s="153"/>
    </row>
    <row r="9" spans="1:11" x14ac:dyDescent="0.3">
      <c r="A9" s="46" t="s">
        <v>8680</v>
      </c>
      <c r="B9" s="46" t="s">
        <v>8641</v>
      </c>
      <c r="C9" s="46" t="s">
        <v>8681</v>
      </c>
      <c r="D9" s="46" t="s">
        <v>21</v>
      </c>
      <c r="E9" s="46" t="s">
        <v>51</v>
      </c>
      <c r="F9" s="46" t="s">
        <v>8682</v>
      </c>
      <c r="G9" s="46" t="s">
        <v>8683</v>
      </c>
      <c r="H9" s="46" t="s">
        <v>12895</v>
      </c>
      <c r="I9" s="46" t="s">
        <v>14</v>
      </c>
      <c r="J9" s="46" t="s">
        <v>1868</v>
      </c>
      <c r="K9" s="155"/>
    </row>
    <row r="10" spans="1:11" x14ac:dyDescent="0.3">
      <c r="A10" s="46" t="s">
        <v>8684</v>
      </c>
      <c r="B10" s="46" t="s">
        <v>8641</v>
      </c>
      <c r="C10" s="46" t="s">
        <v>8685</v>
      </c>
      <c r="D10" s="46" t="s">
        <v>13</v>
      </c>
      <c r="E10" s="46" t="s">
        <v>51</v>
      </c>
      <c r="F10" s="46" t="s">
        <v>8686</v>
      </c>
      <c r="G10" s="46" t="s">
        <v>8687</v>
      </c>
      <c r="H10" s="46" t="s">
        <v>8688</v>
      </c>
      <c r="I10" s="46" t="s">
        <v>14</v>
      </c>
      <c r="J10" s="46" t="s">
        <v>1852</v>
      </c>
      <c r="K10" s="153"/>
    </row>
    <row r="11" spans="1:11" x14ac:dyDescent="0.3">
      <c r="A11" s="46" t="s">
        <v>8689</v>
      </c>
      <c r="B11" s="46" t="s">
        <v>8641</v>
      </c>
      <c r="C11" s="46" t="s">
        <v>8690</v>
      </c>
      <c r="D11" s="46" t="s">
        <v>13</v>
      </c>
      <c r="E11" s="46" t="s">
        <v>731</v>
      </c>
      <c r="F11" s="46" t="s">
        <v>8691</v>
      </c>
      <c r="G11" s="46" t="s">
        <v>8687</v>
      </c>
      <c r="H11" s="46" t="s">
        <v>8692</v>
      </c>
      <c r="I11" s="46" t="s">
        <v>14</v>
      </c>
      <c r="J11" s="46" t="s">
        <v>1852</v>
      </c>
      <c r="K11" s="153"/>
    </row>
    <row r="12" spans="1:11" x14ac:dyDescent="0.3">
      <c r="A12" s="46" t="s">
        <v>8693</v>
      </c>
      <c r="B12" s="46" t="s">
        <v>8641</v>
      </c>
      <c r="C12" s="46" t="s">
        <v>8694</v>
      </c>
      <c r="D12" s="46" t="s">
        <v>13</v>
      </c>
      <c r="E12" s="46" t="s">
        <v>51</v>
      </c>
      <c r="F12" s="46" t="s">
        <v>8695</v>
      </c>
      <c r="G12" s="46" t="s">
        <v>8687</v>
      </c>
      <c r="H12" s="46" t="s">
        <v>8696</v>
      </c>
      <c r="I12" s="46" t="s">
        <v>14</v>
      </c>
      <c r="J12" s="46" t="s">
        <v>1852</v>
      </c>
      <c r="K12" s="153"/>
    </row>
    <row r="13" spans="1:11" x14ac:dyDescent="0.3">
      <c r="A13" s="46" t="s">
        <v>8697</v>
      </c>
      <c r="B13" s="46" t="s">
        <v>8641</v>
      </c>
      <c r="C13" s="46" t="s">
        <v>8698</v>
      </c>
      <c r="D13" s="46" t="s">
        <v>13</v>
      </c>
      <c r="E13" s="46" t="s">
        <v>7846</v>
      </c>
      <c r="F13" s="46" t="s">
        <v>8699</v>
      </c>
      <c r="G13" s="46" t="s">
        <v>8700</v>
      </c>
      <c r="H13" s="46" t="s">
        <v>8701</v>
      </c>
      <c r="I13" s="46" t="s">
        <v>14</v>
      </c>
      <c r="J13" s="46" t="s">
        <v>1852</v>
      </c>
      <c r="K13" s="153"/>
    </row>
    <row r="14" spans="1:11" x14ac:dyDescent="0.3">
      <c r="A14" s="46" t="s">
        <v>8702</v>
      </c>
      <c r="B14" s="46" t="s">
        <v>8641</v>
      </c>
      <c r="C14" s="46" t="s">
        <v>8703</v>
      </c>
      <c r="D14" s="46" t="s">
        <v>13</v>
      </c>
      <c r="E14" s="46" t="s">
        <v>51</v>
      </c>
      <c r="F14" s="46" t="s">
        <v>8704</v>
      </c>
      <c r="G14" s="46" t="s">
        <v>8650</v>
      </c>
      <c r="H14" s="46" t="s">
        <v>8705</v>
      </c>
      <c r="I14" s="46" t="s">
        <v>14</v>
      </c>
      <c r="J14" s="46" t="s">
        <v>1852</v>
      </c>
      <c r="K14" s="153"/>
    </row>
    <row r="15" spans="1:11" x14ac:dyDescent="0.3">
      <c r="A15" s="46" t="s">
        <v>8706</v>
      </c>
      <c r="B15" s="46" t="s">
        <v>8641</v>
      </c>
      <c r="C15" s="46" t="s">
        <v>8707</v>
      </c>
      <c r="D15" s="46" t="s">
        <v>13</v>
      </c>
      <c r="E15" s="46" t="s">
        <v>597</v>
      </c>
      <c r="F15" s="46" t="s">
        <v>8708</v>
      </c>
      <c r="G15" s="46" t="s">
        <v>8709</v>
      </c>
      <c r="H15" s="46" t="s">
        <v>8710</v>
      </c>
      <c r="I15" s="46" t="s">
        <v>14</v>
      </c>
      <c r="J15" s="46" t="s">
        <v>1852</v>
      </c>
      <c r="K15" s="153"/>
    </row>
    <row r="16" spans="1:11" x14ac:dyDescent="0.3">
      <c r="A16" s="46" t="s">
        <v>8711</v>
      </c>
      <c r="B16" s="46" t="s">
        <v>8641</v>
      </c>
      <c r="C16" s="46" t="s">
        <v>8712</v>
      </c>
      <c r="D16" s="46" t="s">
        <v>13</v>
      </c>
      <c r="E16" s="46" t="s">
        <v>391</v>
      </c>
      <c r="F16" s="46" t="s">
        <v>8713</v>
      </c>
      <c r="G16" s="46" t="s">
        <v>8714</v>
      </c>
      <c r="H16" s="46" t="s">
        <v>8715</v>
      </c>
      <c r="I16" s="46" t="s">
        <v>8716</v>
      </c>
      <c r="J16" s="46" t="s">
        <v>1852</v>
      </c>
      <c r="K16" s="153"/>
    </row>
    <row r="17" spans="1:11" x14ac:dyDescent="0.3">
      <c r="A17" s="46" t="s">
        <v>8717</v>
      </c>
      <c r="B17" s="46" t="s">
        <v>8641</v>
      </c>
      <c r="C17" s="46" t="s">
        <v>8718</v>
      </c>
      <c r="D17" s="46" t="s">
        <v>13</v>
      </c>
      <c r="E17" s="46" t="s">
        <v>51</v>
      </c>
      <c r="F17" s="46" t="s">
        <v>8719</v>
      </c>
      <c r="G17" s="46" t="s">
        <v>8720</v>
      </c>
      <c r="H17" s="46" t="s">
        <v>8721</v>
      </c>
      <c r="I17" s="46" t="s">
        <v>8722</v>
      </c>
      <c r="J17" s="46" t="s">
        <v>1868</v>
      </c>
      <c r="K17" s="153"/>
    </row>
    <row r="18" spans="1:11" x14ac:dyDescent="0.3">
      <c r="A18" s="46" t="s">
        <v>8723</v>
      </c>
      <c r="B18" s="46" t="s">
        <v>8641</v>
      </c>
      <c r="C18" s="46" t="s">
        <v>8724</v>
      </c>
      <c r="D18" s="46" t="s">
        <v>21</v>
      </c>
      <c r="E18" s="46" t="s">
        <v>8725</v>
      </c>
      <c r="F18" s="46" t="s">
        <v>8726</v>
      </c>
      <c r="G18" s="46" t="s">
        <v>8727</v>
      </c>
      <c r="H18" s="46" t="s">
        <v>8728</v>
      </c>
      <c r="I18" s="46" t="s">
        <v>14</v>
      </c>
      <c r="J18" s="46" t="s">
        <v>1868</v>
      </c>
      <c r="K18" s="153"/>
    </row>
    <row r="19" spans="1:11" x14ac:dyDescent="0.3">
      <c r="A19" s="46" t="s">
        <v>8729</v>
      </c>
      <c r="B19" s="46" t="s">
        <v>8641</v>
      </c>
      <c r="C19" s="46" t="s">
        <v>8730</v>
      </c>
      <c r="D19" s="46" t="s">
        <v>13</v>
      </c>
      <c r="E19" s="46" t="s">
        <v>51</v>
      </c>
      <c r="F19" s="46" t="s">
        <v>8731</v>
      </c>
      <c r="G19" s="46" t="s">
        <v>8732</v>
      </c>
      <c r="H19" s="46" t="s">
        <v>8733</v>
      </c>
      <c r="I19" s="46" t="s">
        <v>14</v>
      </c>
      <c r="J19" s="46" t="s">
        <v>1852</v>
      </c>
      <c r="K19" s="153"/>
    </row>
    <row r="20" spans="1:11" x14ac:dyDescent="0.3">
      <c r="A20" s="89" t="s">
        <v>8734</v>
      </c>
      <c r="B20" s="89" t="s">
        <v>8735</v>
      </c>
      <c r="C20" s="89" t="s">
        <v>8736</v>
      </c>
      <c r="D20" s="89" t="s">
        <v>13</v>
      </c>
      <c r="E20" s="89" t="s">
        <v>7846</v>
      </c>
      <c r="F20" s="89" t="s">
        <v>8737</v>
      </c>
      <c r="G20" s="89" t="s">
        <v>8738</v>
      </c>
      <c r="H20" s="89" t="s">
        <v>8739</v>
      </c>
      <c r="I20" s="89" t="s">
        <v>14</v>
      </c>
      <c r="J20" s="89" t="s">
        <v>1852</v>
      </c>
      <c r="K20" s="153"/>
    </row>
    <row r="21" spans="1:11" x14ac:dyDescent="0.3">
      <c r="A21" s="89" t="s">
        <v>8740</v>
      </c>
      <c r="B21" s="89" t="s">
        <v>8735</v>
      </c>
      <c r="C21" s="89" t="s">
        <v>8741</v>
      </c>
      <c r="D21" s="89" t="s">
        <v>13</v>
      </c>
      <c r="E21" s="89" t="s">
        <v>7846</v>
      </c>
      <c r="F21" s="89" t="s">
        <v>8742</v>
      </c>
      <c r="G21" s="89" t="s">
        <v>8743</v>
      </c>
      <c r="H21" s="89" t="s">
        <v>8744</v>
      </c>
      <c r="I21" s="89" t="s">
        <v>14</v>
      </c>
      <c r="J21" s="89" t="s">
        <v>1852</v>
      </c>
      <c r="K21" s="153"/>
    </row>
    <row r="22" spans="1:11" x14ac:dyDescent="0.3">
      <c r="A22" s="89" t="s">
        <v>8745</v>
      </c>
      <c r="B22" s="89" t="s">
        <v>8735</v>
      </c>
      <c r="C22" s="89" t="s">
        <v>8746</v>
      </c>
      <c r="D22" s="89" t="s">
        <v>13</v>
      </c>
      <c r="E22" s="89" t="s">
        <v>7846</v>
      </c>
      <c r="F22" s="89" t="s">
        <v>8747</v>
      </c>
      <c r="G22" s="89" t="s">
        <v>8748</v>
      </c>
      <c r="H22" s="89" t="s">
        <v>8749</v>
      </c>
      <c r="I22" s="89" t="s">
        <v>14</v>
      </c>
      <c r="J22" s="89" t="s">
        <v>1852</v>
      </c>
      <c r="K22" s="153"/>
    </row>
    <row r="23" spans="1:11" x14ac:dyDescent="0.3">
      <c r="A23" s="89" t="s">
        <v>8750</v>
      </c>
      <c r="B23" s="89" t="s">
        <v>8735</v>
      </c>
      <c r="C23" s="89" t="s">
        <v>8751</v>
      </c>
      <c r="D23" s="89" t="s">
        <v>13</v>
      </c>
      <c r="E23" s="89" t="s">
        <v>7846</v>
      </c>
      <c r="F23" s="89" t="s">
        <v>8752</v>
      </c>
      <c r="G23" s="89" t="s">
        <v>8743</v>
      </c>
      <c r="H23" s="89" t="s">
        <v>8744</v>
      </c>
      <c r="I23" s="89" t="s">
        <v>14</v>
      </c>
      <c r="J23" s="89" t="s">
        <v>1852</v>
      </c>
      <c r="K23" s="153"/>
    </row>
    <row r="24" spans="1:11" x14ac:dyDescent="0.3">
      <c r="A24" s="89" t="s">
        <v>8753</v>
      </c>
      <c r="B24" s="89" t="s">
        <v>8735</v>
      </c>
      <c r="C24" s="89" t="s">
        <v>8754</v>
      </c>
      <c r="D24" s="89" t="s">
        <v>13</v>
      </c>
      <c r="E24" s="89" t="s">
        <v>7846</v>
      </c>
      <c r="F24" s="89" t="s">
        <v>8755</v>
      </c>
      <c r="G24" s="89" t="s">
        <v>8748</v>
      </c>
      <c r="H24" s="89" t="s">
        <v>8749</v>
      </c>
      <c r="I24" s="89" t="s">
        <v>14</v>
      </c>
      <c r="J24" s="89" t="s">
        <v>1852</v>
      </c>
      <c r="K24" s="153"/>
    </row>
    <row r="25" spans="1:11" x14ac:dyDescent="0.3">
      <c r="A25" s="89" t="s">
        <v>8756</v>
      </c>
      <c r="B25" s="89" t="s">
        <v>8735</v>
      </c>
      <c r="C25" s="89" t="s">
        <v>8757</v>
      </c>
      <c r="D25" s="89" t="s">
        <v>13</v>
      </c>
      <c r="E25" s="89" t="s">
        <v>7846</v>
      </c>
      <c r="F25" s="89" t="s">
        <v>8758</v>
      </c>
      <c r="G25" s="89" t="s">
        <v>8759</v>
      </c>
      <c r="H25" s="89" t="s">
        <v>8760</v>
      </c>
      <c r="I25" s="89" t="s">
        <v>14</v>
      </c>
      <c r="J25" s="89" t="s">
        <v>1852</v>
      </c>
      <c r="K25" s="153"/>
    </row>
    <row r="26" spans="1:11" x14ac:dyDescent="0.3">
      <c r="A26" s="89" t="s">
        <v>8761</v>
      </c>
      <c r="B26" s="89" t="s">
        <v>8735</v>
      </c>
      <c r="C26" s="89" t="s">
        <v>8762</v>
      </c>
      <c r="D26" s="89" t="s">
        <v>13</v>
      </c>
      <c r="E26" s="89" t="s">
        <v>736</v>
      </c>
      <c r="F26" s="89" t="s">
        <v>8763</v>
      </c>
      <c r="G26" s="89" t="s">
        <v>8764</v>
      </c>
      <c r="H26" s="89" t="s">
        <v>8765</v>
      </c>
      <c r="I26" s="89" t="s">
        <v>8766</v>
      </c>
      <c r="J26" s="89" t="s">
        <v>1852</v>
      </c>
      <c r="K26" s="153"/>
    </row>
    <row r="27" spans="1:11" x14ac:dyDescent="0.3">
      <c r="A27" s="89" t="s">
        <v>8767</v>
      </c>
      <c r="B27" s="89" t="s">
        <v>8735</v>
      </c>
      <c r="C27" s="89" t="s">
        <v>8768</v>
      </c>
      <c r="D27" s="89" t="s">
        <v>13</v>
      </c>
      <c r="E27" s="89" t="s">
        <v>7846</v>
      </c>
      <c r="F27" s="89" t="s">
        <v>8769</v>
      </c>
      <c r="G27" s="89" t="s">
        <v>8770</v>
      </c>
      <c r="H27" s="89" t="s">
        <v>8771</v>
      </c>
      <c r="I27" s="89" t="s">
        <v>14</v>
      </c>
      <c r="J27" s="89" t="s">
        <v>1852</v>
      </c>
      <c r="K27" s="153"/>
    </row>
    <row r="28" spans="1:11" x14ac:dyDescent="0.3">
      <c r="A28" s="89" t="s">
        <v>8772</v>
      </c>
      <c r="B28" s="89" t="s">
        <v>8735</v>
      </c>
      <c r="C28" s="89" t="s">
        <v>8773</v>
      </c>
      <c r="D28" s="89" t="s">
        <v>13</v>
      </c>
      <c r="E28" s="89" t="s">
        <v>7846</v>
      </c>
      <c r="F28" s="89" t="s">
        <v>8774</v>
      </c>
      <c r="G28" s="89" t="s">
        <v>8775</v>
      </c>
      <c r="H28" s="89" t="s">
        <v>8776</v>
      </c>
      <c r="I28" s="89" t="s">
        <v>14</v>
      </c>
      <c r="J28" s="89" t="s">
        <v>1852</v>
      </c>
      <c r="K28" s="153"/>
    </row>
    <row r="29" spans="1:11" x14ac:dyDescent="0.3">
      <c r="A29" s="89" t="s">
        <v>8777</v>
      </c>
      <c r="B29" s="89" t="s">
        <v>8735</v>
      </c>
      <c r="C29" s="89" t="s">
        <v>8778</v>
      </c>
      <c r="D29" s="89" t="s">
        <v>13</v>
      </c>
      <c r="E29" s="89" t="s">
        <v>7846</v>
      </c>
      <c r="F29" s="89" t="s">
        <v>8779</v>
      </c>
      <c r="G29" s="89" t="s">
        <v>8780</v>
      </c>
      <c r="H29" s="89" t="s">
        <v>8781</v>
      </c>
      <c r="I29" s="89" t="s">
        <v>14</v>
      </c>
      <c r="J29" s="89" t="s">
        <v>1852</v>
      </c>
      <c r="K29" s="153"/>
    </row>
    <row r="30" spans="1:11" x14ac:dyDescent="0.3">
      <c r="A30" s="89" t="s">
        <v>8782</v>
      </c>
      <c r="B30" s="89" t="s">
        <v>8735</v>
      </c>
      <c r="C30" s="89" t="s">
        <v>8783</v>
      </c>
      <c r="D30" s="89" t="s">
        <v>13</v>
      </c>
      <c r="E30" s="89" t="s">
        <v>7846</v>
      </c>
      <c r="F30" s="89" t="s">
        <v>8784</v>
      </c>
      <c r="G30" s="89" t="s">
        <v>8785</v>
      </c>
      <c r="H30" s="89" t="s">
        <v>8786</v>
      </c>
      <c r="I30" s="89" t="s">
        <v>8787</v>
      </c>
      <c r="J30" s="89" t="s">
        <v>1868</v>
      </c>
      <c r="K30" s="153"/>
    </row>
    <row r="31" spans="1:11" x14ac:dyDescent="0.3">
      <c r="A31" s="89" t="s">
        <v>8788</v>
      </c>
      <c r="B31" s="89" t="s">
        <v>8735</v>
      </c>
      <c r="C31" s="89" t="s">
        <v>8789</v>
      </c>
      <c r="D31" s="89" t="s">
        <v>13</v>
      </c>
      <c r="E31" s="89" t="s">
        <v>7846</v>
      </c>
      <c r="F31" s="89" t="s">
        <v>8790</v>
      </c>
      <c r="G31" s="89" t="s">
        <v>8791</v>
      </c>
      <c r="H31" s="89" t="s">
        <v>8792</v>
      </c>
      <c r="I31" s="89" t="s">
        <v>8793</v>
      </c>
      <c r="J31" s="89" t="s">
        <v>1868</v>
      </c>
      <c r="K31" s="153"/>
    </row>
    <row r="32" spans="1:11" x14ac:dyDescent="0.3">
      <c r="A32" s="47" t="s">
        <v>8794</v>
      </c>
      <c r="B32" s="47" t="s">
        <v>8795</v>
      </c>
      <c r="C32" s="47" t="s">
        <v>8796</v>
      </c>
      <c r="D32" s="47" t="s">
        <v>10</v>
      </c>
      <c r="E32" s="47" t="s">
        <v>7846</v>
      </c>
      <c r="F32" s="47" t="s">
        <v>8797</v>
      </c>
      <c r="G32" s="47" t="s">
        <v>8798</v>
      </c>
      <c r="H32" s="47" t="s">
        <v>8799</v>
      </c>
      <c r="I32" s="47" t="s">
        <v>8800</v>
      </c>
      <c r="J32" s="47" t="s">
        <v>1852</v>
      </c>
      <c r="K32" s="153"/>
    </row>
    <row r="33" spans="1:11" x14ac:dyDescent="0.3">
      <c r="A33" s="47" t="s">
        <v>8801</v>
      </c>
      <c r="B33" s="47" t="s">
        <v>8795</v>
      </c>
      <c r="C33" s="47" t="s">
        <v>8802</v>
      </c>
      <c r="D33" s="47" t="s">
        <v>10</v>
      </c>
      <c r="E33" s="47" t="s">
        <v>7846</v>
      </c>
      <c r="F33" s="47" t="s">
        <v>8803</v>
      </c>
      <c r="G33" s="47" t="s">
        <v>8798</v>
      </c>
      <c r="H33" s="47" t="s">
        <v>8804</v>
      </c>
      <c r="I33" s="47" t="s">
        <v>8805</v>
      </c>
      <c r="J33" s="47" t="s">
        <v>1852</v>
      </c>
      <c r="K33" s="153"/>
    </row>
    <row r="34" spans="1:11" x14ac:dyDescent="0.3">
      <c r="A34" s="47" t="s">
        <v>8806</v>
      </c>
      <c r="B34" s="47" t="s">
        <v>8795</v>
      </c>
      <c r="C34" s="47" t="s">
        <v>8807</v>
      </c>
      <c r="D34" s="47" t="s">
        <v>10</v>
      </c>
      <c r="E34" s="47" t="s">
        <v>7846</v>
      </c>
      <c r="F34" s="47" t="s">
        <v>8808</v>
      </c>
      <c r="G34" s="47" t="s">
        <v>8809</v>
      </c>
      <c r="H34" s="47" t="s">
        <v>8810</v>
      </c>
      <c r="I34" s="47" t="s">
        <v>8811</v>
      </c>
      <c r="J34" s="47" t="s">
        <v>1852</v>
      </c>
      <c r="K34" s="153"/>
    </row>
    <row r="35" spans="1:11" x14ac:dyDescent="0.3">
      <c r="A35" s="47" t="s">
        <v>8812</v>
      </c>
      <c r="B35" s="47" t="s">
        <v>8795</v>
      </c>
      <c r="C35" s="47" t="s">
        <v>7955</v>
      </c>
      <c r="D35" s="47" t="s">
        <v>10</v>
      </c>
      <c r="E35" s="47" t="s">
        <v>7846</v>
      </c>
      <c r="F35" s="47" t="s">
        <v>8813</v>
      </c>
      <c r="G35" s="47" t="s">
        <v>8814</v>
      </c>
      <c r="H35" s="47" t="s">
        <v>7958</v>
      </c>
      <c r="I35" s="47" t="s">
        <v>8815</v>
      </c>
      <c r="J35" s="47" t="s">
        <v>1852</v>
      </c>
      <c r="K35" s="153"/>
    </row>
    <row r="36" spans="1:11" x14ac:dyDescent="0.3">
      <c r="A36" s="47" t="s">
        <v>8816</v>
      </c>
      <c r="B36" s="47" t="s">
        <v>8795</v>
      </c>
      <c r="C36" s="47" t="s">
        <v>8817</v>
      </c>
      <c r="D36" s="47" t="s">
        <v>10</v>
      </c>
      <c r="E36" s="47" t="s">
        <v>7846</v>
      </c>
      <c r="F36" s="47" t="s">
        <v>8813</v>
      </c>
      <c r="G36" s="47" t="s">
        <v>8818</v>
      </c>
      <c r="H36" s="47" t="s">
        <v>8819</v>
      </c>
      <c r="I36" s="47" t="s">
        <v>8820</v>
      </c>
      <c r="J36" s="47" t="s">
        <v>1852</v>
      </c>
      <c r="K36" s="153"/>
    </row>
    <row r="37" spans="1:11" x14ac:dyDescent="0.3">
      <c r="A37" s="47" t="s">
        <v>8821</v>
      </c>
      <c r="B37" s="47" t="s">
        <v>8795</v>
      </c>
      <c r="C37" s="47" t="s">
        <v>8822</v>
      </c>
      <c r="D37" s="47" t="s">
        <v>10</v>
      </c>
      <c r="E37" s="47" t="s">
        <v>1420</v>
      </c>
      <c r="F37" s="47" t="s">
        <v>8823</v>
      </c>
      <c r="G37" s="47" t="s">
        <v>8824</v>
      </c>
      <c r="H37" s="47" t="s">
        <v>8292</v>
      </c>
      <c r="I37" s="47" t="s">
        <v>8825</v>
      </c>
      <c r="J37" s="47" t="s">
        <v>1852</v>
      </c>
      <c r="K37" s="153"/>
    </row>
    <row r="38" spans="1:11" x14ac:dyDescent="0.3">
      <c r="A38" s="47" t="s">
        <v>8826</v>
      </c>
      <c r="B38" s="47" t="s">
        <v>8795</v>
      </c>
      <c r="C38" s="47" t="s">
        <v>8827</v>
      </c>
      <c r="D38" s="47" t="s">
        <v>10</v>
      </c>
      <c r="E38" s="47" t="s">
        <v>51</v>
      </c>
      <c r="F38" s="47" t="s">
        <v>8828</v>
      </c>
      <c r="G38" s="47" t="s">
        <v>8829</v>
      </c>
      <c r="H38" s="47" t="s">
        <v>8830</v>
      </c>
      <c r="I38" s="47" t="s">
        <v>8831</v>
      </c>
      <c r="J38" s="47" t="s">
        <v>1852</v>
      </c>
      <c r="K38" s="153"/>
    </row>
    <row r="39" spans="1:11" x14ac:dyDescent="0.3">
      <c r="A39" s="47" t="s">
        <v>8832</v>
      </c>
      <c r="B39" s="47" t="s">
        <v>8795</v>
      </c>
      <c r="C39" s="47" t="s">
        <v>8833</v>
      </c>
      <c r="D39" s="47" t="s">
        <v>10</v>
      </c>
      <c r="E39" s="47" t="s">
        <v>7846</v>
      </c>
      <c r="F39" s="47" t="s">
        <v>8834</v>
      </c>
      <c r="G39" s="47" t="s">
        <v>8835</v>
      </c>
      <c r="H39" s="47" t="s">
        <v>8836</v>
      </c>
      <c r="I39" s="47" t="s">
        <v>8837</v>
      </c>
      <c r="J39" s="47" t="s">
        <v>1852</v>
      </c>
      <c r="K39" s="153"/>
    </row>
    <row r="40" spans="1:11" x14ac:dyDescent="0.3">
      <c r="A40" s="47" t="s">
        <v>8838</v>
      </c>
      <c r="B40" s="47" t="s">
        <v>8795</v>
      </c>
      <c r="C40" s="47" t="s">
        <v>8839</v>
      </c>
      <c r="D40" s="47" t="s">
        <v>10</v>
      </c>
      <c r="E40" s="47" t="s">
        <v>1577</v>
      </c>
      <c r="F40" s="47" t="s">
        <v>8840</v>
      </c>
      <c r="G40" s="47" t="s">
        <v>8841</v>
      </c>
      <c r="H40" s="47" t="s">
        <v>8842</v>
      </c>
      <c r="I40" s="47" t="s">
        <v>8843</v>
      </c>
      <c r="J40" s="47" t="s">
        <v>1852</v>
      </c>
      <c r="K40" s="153"/>
    </row>
    <row r="41" spans="1:11" x14ac:dyDescent="0.3">
      <c r="A41" s="47" t="s">
        <v>8844</v>
      </c>
      <c r="B41" s="47" t="s">
        <v>8795</v>
      </c>
      <c r="C41" s="47" t="s">
        <v>8845</v>
      </c>
      <c r="D41" s="47" t="s">
        <v>10</v>
      </c>
      <c r="E41" s="47" t="s">
        <v>1577</v>
      </c>
      <c r="F41" s="47" t="s">
        <v>8688</v>
      </c>
      <c r="G41" s="47" t="s">
        <v>8846</v>
      </c>
      <c r="H41" s="47" t="s">
        <v>8847</v>
      </c>
      <c r="I41" s="47" t="s">
        <v>8848</v>
      </c>
      <c r="J41" s="47" t="s">
        <v>1852</v>
      </c>
      <c r="K41" s="153"/>
    </row>
    <row r="42" spans="1:11" x14ac:dyDescent="0.3">
      <c r="A42" s="47" t="s">
        <v>8849</v>
      </c>
      <c r="B42" s="47" t="s">
        <v>8795</v>
      </c>
      <c r="C42" s="47" t="s">
        <v>8850</v>
      </c>
      <c r="D42" s="47" t="s">
        <v>10</v>
      </c>
      <c r="E42" s="47" t="s">
        <v>736</v>
      </c>
      <c r="F42" s="47" t="s">
        <v>8851</v>
      </c>
      <c r="G42" s="47" t="s">
        <v>8852</v>
      </c>
      <c r="H42" s="47" t="s">
        <v>8853</v>
      </c>
      <c r="I42" s="47" t="s">
        <v>8854</v>
      </c>
      <c r="J42" s="47" t="s">
        <v>1852</v>
      </c>
      <c r="K42" s="153"/>
    </row>
    <row r="43" spans="1:11" x14ac:dyDescent="0.3">
      <c r="A43" s="47" t="s">
        <v>8855</v>
      </c>
      <c r="B43" s="47" t="s">
        <v>8795</v>
      </c>
      <c r="C43" s="47" t="s">
        <v>8856</v>
      </c>
      <c r="D43" s="47" t="s">
        <v>10</v>
      </c>
      <c r="E43" s="47" t="s">
        <v>14</v>
      </c>
      <c r="F43" s="47" t="s">
        <v>8857</v>
      </c>
      <c r="G43" s="47" t="s">
        <v>8824</v>
      </c>
      <c r="H43" s="47" t="s">
        <v>8858</v>
      </c>
      <c r="I43" s="47" t="s">
        <v>8859</v>
      </c>
      <c r="J43" s="47" t="s">
        <v>1852</v>
      </c>
      <c r="K43" s="155"/>
    </row>
    <row r="44" spans="1:11" x14ac:dyDescent="0.3">
      <c r="A44" s="40" t="s">
        <v>8860</v>
      </c>
      <c r="B44" s="40" t="s">
        <v>8861</v>
      </c>
      <c r="C44" s="40" t="s">
        <v>8862</v>
      </c>
      <c r="D44" s="40" t="s">
        <v>10</v>
      </c>
      <c r="E44" s="40" t="s">
        <v>8863</v>
      </c>
      <c r="F44" s="40" t="s">
        <v>8864</v>
      </c>
      <c r="G44" s="40" t="s">
        <v>7988</v>
      </c>
      <c r="H44" s="40" t="s">
        <v>13785</v>
      </c>
      <c r="I44" s="40" t="s">
        <v>8865</v>
      </c>
      <c r="J44" s="40" t="s">
        <v>1852</v>
      </c>
      <c r="K44" s="154"/>
    </row>
    <row r="45" spans="1:11" x14ac:dyDescent="0.3">
      <c r="A45" s="40" t="s">
        <v>8866</v>
      </c>
      <c r="B45" s="40" t="s">
        <v>8861</v>
      </c>
      <c r="C45" s="40" t="s">
        <v>8867</v>
      </c>
      <c r="D45" s="40" t="s">
        <v>10</v>
      </c>
      <c r="E45" s="40" t="s">
        <v>1805</v>
      </c>
      <c r="F45" s="40" t="s">
        <v>8868</v>
      </c>
      <c r="G45" s="40" t="s">
        <v>7988</v>
      </c>
      <c r="H45" s="40" t="s">
        <v>13786</v>
      </c>
      <c r="I45" s="40" t="s">
        <v>8869</v>
      </c>
      <c r="J45" s="40" t="s">
        <v>1852</v>
      </c>
      <c r="K45" s="153"/>
    </row>
    <row r="46" spans="1:11" x14ac:dyDescent="0.3">
      <c r="A46" s="40" t="s">
        <v>8870</v>
      </c>
      <c r="B46" s="40" t="s">
        <v>8861</v>
      </c>
      <c r="C46" s="40" t="s">
        <v>8871</v>
      </c>
      <c r="D46" s="40" t="s">
        <v>13</v>
      </c>
      <c r="E46" s="40" t="s">
        <v>1805</v>
      </c>
      <c r="F46" s="40" t="s">
        <v>8872</v>
      </c>
      <c r="G46" s="40" t="s">
        <v>7998</v>
      </c>
      <c r="H46" s="40" t="s">
        <v>8873</v>
      </c>
      <c r="I46" s="40" t="s">
        <v>14</v>
      </c>
      <c r="J46" s="40" t="s">
        <v>1852</v>
      </c>
      <c r="K46" s="153"/>
    </row>
    <row r="47" spans="1:11" x14ac:dyDescent="0.3">
      <c r="A47" s="40" t="s">
        <v>8874</v>
      </c>
      <c r="B47" s="40" t="s">
        <v>8861</v>
      </c>
      <c r="C47" s="40" t="s">
        <v>8875</v>
      </c>
      <c r="D47" s="40" t="s">
        <v>13</v>
      </c>
      <c r="E47" s="40" t="s">
        <v>1805</v>
      </c>
      <c r="F47" s="40" t="s">
        <v>8876</v>
      </c>
      <c r="G47" s="40" t="s">
        <v>7998</v>
      </c>
      <c r="H47" s="40" t="s">
        <v>8877</v>
      </c>
      <c r="I47" s="40" t="s">
        <v>14</v>
      </c>
      <c r="J47" s="40" t="s">
        <v>1852</v>
      </c>
      <c r="K47" s="153"/>
    </row>
    <row r="48" spans="1:11" x14ac:dyDescent="0.3">
      <c r="A48" s="40" t="s">
        <v>8878</v>
      </c>
      <c r="B48" s="40" t="s">
        <v>8861</v>
      </c>
      <c r="C48" s="40" t="s">
        <v>8879</v>
      </c>
      <c r="D48" s="40" t="s">
        <v>10</v>
      </c>
      <c r="E48" s="40" t="s">
        <v>1805</v>
      </c>
      <c r="F48" s="40" t="s">
        <v>8880</v>
      </c>
      <c r="G48" s="40" t="s">
        <v>7988</v>
      </c>
      <c r="H48" s="40" t="s">
        <v>13787</v>
      </c>
      <c r="I48" s="40" t="s">
        <v>8881</v>
      </c>
      <c r="J48" s="40" t="s">
        <v>1852</v>
      </c>
      <c r="K48" s="153"/>
    </row>
    <row r="49" spans="1:11" x14ac:dyDescent="0.3">
      <c r="A49" s="40" t="s">
        <v>8882</v>
      </c>
      <c r="B49" s="40" t="s">
        <v>8861</v>
      </c>
      <c r="C49" s="40" t="s">
        <v>8883</v>
      </c>
      <c r="D49" s="40" t="s">
        <v>13</v>
      </c>
      <c r="E49" s="40" t="s">
        <v>391</v>
      </c>
      <c r="F49" s="40" t="s">
        <v>8884</v>
      </c>
      <c r="G49" s="40" t="s">
        <v>8885</v>
      </c>
      <c r="H49" s="40" t="s">
        <v>8886</v>
      </c>
      <c r="I49" s="40" t="s">
        <v>8887</v>
      </c>
      <c r="J49" s="40" t="s">
        <v>1852</v>
      </c>
      <c r="K49" s="153"/>
    </row>
    <row r="50" spans="1:11" x14ac:dyDescent="0.3">
      <c r="A50" s="40" t="s">
        <v>8888</v>
      </c>
      <c r="B50" s="40" t="s">
        <v>8861</v>
      </c>
      <c r="C50" s="40" t="s">
        <v>8889</v>
      </c>
      <c r="D50" s="40" t="s">
        <v>13</v>
      </c>
      <c r="E50" s="40" t="s">
        <v>1037</v>
      </c>
      <c r="F50" s="40" t="s">
        <v>8890</v>
      </c>
      <c r="G50" s="40" t="s">
        <v>8057</v>
      </c>
      <c r="H50" s="40" t="s">
        <v>8891</v>
      </c>
      <c r="I50" s="40" t="s">
        <v>14</v>
      </c>
      <c r="J50" s="40" t="s">
        <v>1852</v>
      </c>
      <c r="K50" s="153"/>
    </row>
    <row r="51" spans="1:11" x14ac:dyDescent="0.3">
      <c r="A51" s="40" t="s">
        <v>8892</v>
      </c>
      <c r="B51" s="40" t="s">
        <v>8861</v>
      </c>
      <c r="C51" s="40" t="s">
        <v>8893</v>
      </c>
      <c r="D51" s="40" t="s">
        <v>13</v>
      </c>
      <c r="E51" s="40" t="s">
        <v>1037</v>
      </c>
      <c r="F51" s="40" t="s">
        <v>8894</v>
      </c>
      <c r="G51" s="40" t="s">
        <v>8057</v>
      </c>
      <c r="H51" s="40" t="s">
        <v>8895</v>
      </c>
      <c r="I51" s="40" t="s">
        <v>14</v>
      </c>
      <c r="J51" s="40" t="s">
        <v>1852</v>
      </c>
      <c r="K51" s="153"/>
    </row>
    <row r="52" spans="1:11" x14ac:dyDescent="0.3">
      <c r="A52" s="40" t="s">
        <v>8896</v>
      </c>
      <c r="B52" s="40" t="s">
        <v>8861</v>
      </c>
      <c r="C52" s="40" t="s">
        <v>8897</v>
      </c>
      <c r="D52" s="40" t="s">
        <v>13</v>
      </c>
      <c r="E52" s="40" t="s">
        <v>597</v>
      </c>
      <c r="F52" s="40" t="s">
        <v>8898</v>
      </c>
      <c r="G52" s="40" t="s">
        <v>8899</v>
      </c>
      <c r="H52" s="40" t="s">
        <v>12896</v>
      </c>
      <c r="I52" s="40" t="s">
        <v>14</v>
      </c>
      <c r="J52" s="40" t="s">
        <v>1868</v>
      </c>
      <c r="K52" s="156"/>
    </row>
    <row r="53" spans="1:11" x14ac:dyDescent="0.3">
      <c r="A53" s="40" t="s">
        <v>8900</v>
      </c>
      <c r="B53" s="40" t="s">
        <v>8861</v>
      </c>
      <c r="C53" s="40" t="s">
        <v>8901</v>
      </c>
      <c r="D53" s="40" t="s">
        <v>13</v>
      </c>
      <c r="E53" s="40" t="s">
        <v>571</v>
      </c>
      <c r="F53" s="40" t="s">
        <v>8902</v>
      </c>
      <c r="G53" s="40" t="s">
        <v>8903</v>
      </c>
      <c r="H53" s="40" t="s">
        <v>8904</v>
      </c>
      <c r="I53" s="40" t="s">
        <v>14</v>
      </c>
      <c r="J53" s="40" t="s">
        <v>1852</v>
      </c>
      <c r="K53" s="153"/>
    </row>
    <row r="54" spans="1:11" x14ac:dyDescent="0.3">
      <c r="A54" s="40" t="s">
        <v>8905</v>
      </c>
      <c r="B54" s="40" t="s">
        <v>8861</v>
      </c>
      <c r="C54" s="40" t="s">
        <v>8906</v>
      </c>
      <c r="D54" s="40" t="s">
        <v>13</v>
      </c>
      <c r="E54" s="40" t="s">
        <v>25</v>
      </c>
      <c r="F54" s="40" t="s">
        <v>8907</v>
      </c>
      <c r="G54" s="40" t="s">
        <v>8057</v>
      </c>
      <c r="H54" s="40" t="s">
        <v>8908</v>
      </c>
      <c r="I54" s="40" t="s">
        <v>8909</v>
      </c>
      <c r="J54" s="40" t="s">
        <v>1852</v>
      </c>
      <c r="K54" s="153"/>
    </row>
    <row r="55" spans="1:11" x14ac:dyDescent="0.3">
      <c r="A55" s="40" t="s">
        <v>8910</v>
      </c>
      <c r="B55" s="40" t="s">
        <v>8861</v>
      </c>
      <c r="C55" s="40" t="s">
        <v>8911</v>
      </c>
      <c r="D55" s="40" t="s">
        <v>10</v>
      </c>
      <c r="E55" s="40" t="s">
        <v>52</v>
      </c>
      <c r="F55" s="40" t="s">
        <v>8912</v>
      </c>
      <c r="G55" s="40" t="s">
        <v>8913</v>
      </c>
      <c r="H55" s="40" t="s">
        <v>8914</v>
      </c>
      <c r="I55" s="40" t="s">
        <v>8915</v>
      </c>
      <c r="J55" s="40" t="s">
        <v>1852</v>
      </c>
      <c r="K55" s="153"/>
    </row>
    <row r="56" spans="1:11" x14ac:dyDescent="0.3">
      <c r="A56" s="40" t="s">
        <v>8916</v>
      </c>
      <c r="B56" s="40" t="s">
        <v>8861</v>
      </c>
      <c r="C56" s="40" t="s">
        <v>8917</v>
      </c>
      <c r="D56" s="40" t="s">
        <v>10</v>
      </c>
      <c r="E56" s="40" t="s">
        <v>36</v>
      </c>
      <c r="F56" s="40" t="s">
        <v>8918</v>
      </c>
      <c r="G56" s="40" t="s">
        <v>8919</v>
      </c>
      <c r="H56" s="40" t="s">
        <v>8920</v>
      </c>
      <c r="I56" s="40" t="s">
        <v>8921</v>
      </c>
      <c r="J56" s="40" t="s">
        <v>1852</v>
      </c>
      <c r="K56" s="153"/>
    </row>
    <row r="57" spans="1:11" x14ac:dyDescent="0.3">
      <c r="A57" s="40" t="s">
        <v>8922</v>
      </c>
      <c r="B57" s="40" t="s">
        <v>8861</v>
      </c>
      <c r="C57" s="40" t="s">
        <v>8923</v>
      </c>
      <c r="D57" s="40" t="s">
        <v>13</v>
      </c>
      <c r="E57" s="40" t="s">
        <v>40</v>
      </c>
      <c r="F57" s="40" t="s">
        <v>8924</v>
      </c>
      <c r="G57" s="40" t="s">
        <v>8925</v>
      </c>
      <c r="H57" s="40" t="s">
        <v>8926</v>
      </c>
      <c r="I57" s="40" t="s">
        <v>8927</v>
      </c>
      <c r="J57" s="40" t="s">
        <v>1852</v>
      </c>
      <c r="K57" s="153"/>
    </row>
    <row r="58" spans="1:11" x14ac:dyDescent="0.3">
      <c r="A58" s="40" t="s">
        <v>8928</v>
      </c>
      <c r="B58" s="40" t="s">
        <v>8861</v>
      </c>
      <c r="C58" s="40" t="s">
        <v>8929</v>
      </c>
      <c r="D58" s="40" t="s">
        <v>13</v>
      </c>
      <c r="E58" s="40" t="s">
        <v>8930</v>
      </c>
      <c r="F58" s="40" t="s">
        <v>8931</v>
      </c>
      <c r="G58" s="40" t="s">
        <v>8932</v>
      </c>
      <c r="H58" s="40" t="s">
        <v>8933</v>
      </c>
      <c r="I58" s="40" t="s">
        <v>14</v>
      </c>
      <c r="J58" s="40" t="s">
        <v>1852</v>
      </c>
      <c r="K58" s="153"/>
    </row>
    <row r="59" spans="1:11" x14ac:dyDescent="0.3">
      <c r="A59" s="40" t="s">
        <v>8934</v>
      </c>
      <c r="B59" s="40" t="s">
        <v>8861</v>
      </c>
      <c r="C59" s="40" t="s">
        <v>8935</v>
      </c>
      <c r="D59" s="40" t="s">
        <v>13</v>
      </c>
      <c r="E59" s="40" t="s">
        <v>51</v>
      </c>
      <c r="F59" s="40" t="s">
        <v>8936</v>
      </c>
      <c r="G59" s="40" t="s">
        <v>8937</v>
      </c>
      <c r="H59" s="40" t="s">
        <v>8938</v>
      </c>
      <c r="I59" s="40" t="s">
        <v>8939</v>
      </c>
      <c r="J59" s="40" t="s">
        <v>1868</v>
      </c>
      <c r="K59" s="153"/>
    </row>
    <row r="60" spans="1:11" x14ac:dyDescent="0.3">
      <c r="A60" s="90" t="s">
        <v>8940</v>
      </c>
      <c r="B60" s="90" t="s">
        <v>8941</v>
      </c>
      <c r="C60" s="90" t="s">
        <v>8942</v>
      </c>
      <c r="D60" s="90" t="s">
        <v>13</v>
      </c>
      <c r="E60" s="90" t="s">
        <v>36</v>
      </c>
      <c r="F60" s="90" t="s">
        <v>8943</v>
      </c>
      <c r="G60" s="90" t="s">
        <v>8944</v>
      </c>
      <c r="H60" s="90" t="s">
        <v>8945</v>
      </c>
      <c r="I60" s="90" t="s">
        <v>8946</v>
      </c>
      <c r="J60" s="90" t="s">
        <v>1852</v>
      </c>
      <c r="K60" s="153"/>
    </row>
    <row r="61" spans="1:11" x14ac:dyDescent="0.3">
      <c r="A61" s="90" t="s">
        <v>8947</v>
      </c>
      <c r="B61" s="90" t="s">
        <v>8941</v>
      </c>
      <c r="C61" s="90" t="s">
        <v>8948</v>
      </c>
      <c r="D61" s="90" t="s">
        <v>10</v>
      </c>
      <c r="E61" s="90" t="s">
        <v>52</v>
      </c>
      <c r="F61" s="90" t="s">
        <v>8949</v>
      </c>
      <c r="G61" s="90" t="s">
        <v>8950</v>
      </c>
      <c r="H61" s="90" t="s">
        <v>8951</v>
      </c>
      <c r="I61" s="90" t="s">
        <v>8952</v>
      </c>
      <c r="J61" s="90" t="s">
        <v>1852</v>
      </c>
      <c r="K61" s="153"/>
    </row>
    <row r="62" spans="1:11" x14ac:dyDescent="0.3">
      <c r="A62" s="90" t="s">
        <v>8953</v>
      </c>
      <c r="B62" s="90" t="s">
        <v>8941</v>
      </c>
      <c r="C62" s="90" t="s">
        <v>8954</v>
      </c>
      <c r="D62" s="90" t="s">
        <v>10</v>
      </c>
      <c r="E62" s="90" t="s">
        <v>52</v>
      </c>
      <c r="F62" s="90" t="s">
        <v>8949</v>
      </c>
      <c r="G62" s="90" t="s">
        <v>8955</v>
      </c>
      <c r="H62" s="90" t="s">
        <v>8956</v>
      </c>
      <c r="I62" s="90" t="s">
        <v>8957</v>
      </c>
      <c r="J62" s="90" t="s">
        <v>1852</v>
      </c>
      <c r="K62" s="153"/>
    </row>
    <row r="63" spans="1:11" x14ac:dyDescent="0.3">
      <c r="A63" s="90" t="s">
        <v>8958</v>
      </c>
      <c r="B63" s="90" t="s">
        <v>8941</v>
      </c>
      <c r="C63" s="90" t="s">
        <v>8959</v>
      </c>
      <c r="D63" s="90" t="s">
        <v>10</v>
      </c>
      <c r="E63" s="90" t="s">
        <v>52</v>
      </c>
      <c r="F63" s="90" t="s">
        <v>8949</v>
      </c>
      <c r="G63" s="90" t="s">
        <v>8960</v>
      </c>
      <c r="H63" s="90" t="s">
        <v>8956</v>
      </c>
      <c r="I63" s="90" t="s">
        <v>8961</v>
      </c>
      <c r="J63" s="90" t="s">
        <v>1852</v>
      </c>
      <c r="K63" s="153"/>
    </row>
    <row r="64" spans="1:11" x14ac:dyDescent="0.3">
      <c r="A64" s="90" t="s">
        <v>8962</v>
      </c>
      <c r="B64" s="90" t="s">
        <v>8941</v>
      </c>
      <c r="C64" s="90" t="s">
        <v>8963</v>
      </c>
      <c r="D64" s="90" t="s">
        <v>10</v>
      </c>
      <c r="E64" s="90" t="s">
        <v>52</v>
      </c>
      <c r="F64" s="90" t="s">
        <v>8949</v>
      </c>
      <c r="G64" s="90" t="s">
        <v>8964</v>
      </c>
      <c r="H64" s="90" t="s">
        <v>8965</v>
      </c>
      <c r="I64" s="90" t="s">
        <v>8966</v>
      </c>
      <c r="J64" s="90" t="s">
        <v>1852</v>
      </c>
      <c r="K64" s="153"/>
    </row>
    <row r="65" spans="1:11" x14ac:dyDescent="0.3">
      <c r="A65" s="90" t="s">
        <v>8967</v>
      </c>
      <c r="B65" s="90" t="s">
        <v>8941</v>
      </c>
      <c r="C65" s="90" t="s">
        <v>8968</v>
      </c>
      <c r="D65" s="90" t="s">
        <v>10</v>
      </c>
      <c r="E65" s="90" t="s">
        <v>52</v>
      </c>
      <c r="F65" s="90" t="s">
        <v>8949</v>
      </c>
      <c r="G65" s="90" t="s">
        <v>8969</v>
      </c>
      <c r="H65" s="90" t="s">
        <v>8970</v>
      </c>
      <c r="I65" s="90" t="s">
        <v>8966</v>
      </c>
      <c r="J65" s="90" t="s">
        <v>1852</v>
      </c>
      <c r="K65" s="153"/>
    </row>
    <row r="66" spans="1:11" x14ac:dyDescent="0.3">
      <c r="A66" s="90" t="s">
        <v>8971</v>
      </c>
      <c r="B66" s="90" t="s">
        <v>8941</v>
      </c>
      <c r="C66" s="90" t="s">
        <v>8972</v>
      </c>
      <c r="D66" s="90" t="s">
        <v>13</v>
      </c>
      <c r="E66" s="90" t="s">
        <v>52</v>
      </c>
      <c r="F66" s="90" t="s">
        <v>8973</v>
      </c>
      <c r="G66" s="90" t="s">
        <v>8974</v>
      </c>
      <c r="H66" s="90" t="s">
        <v>8975</v>
      </c>
      <c r="I66" s="90" t="s">
        <v>14</v>
      </c>
      <c r="J66" s="90" t="s">
        <v>1868</v>
      </c>
      <c r="K66" s="153"/>
    </row>
    <row r="67" spans="1:11" x14ac:dyDescent="0.3">
      <c r="A67" s="90" t="s">
        <v>8976</v>
      </c>
      <c r="B67" s="90" t="s">
        <v>8941</v>
      </c>
      <c r="C67" s="90" t="s">
        <v>8977</v>
      </c>
      <c r="D67" s="90" t="s">
        <v>13</v>
      </c>
      <c r="E67" s="90" t="s">
        <v>52</v>
      </c>
      <c r="F67" s="90" t="s">
        <v>8978</v>
      </c>
      <c r="G67" s="90" t="s">
        <v>8979</v>
      </c>
      <c r="H67" s="90" t="s">
        <v>8980</v>
      </c>
      <c r="I67" s="90" t="s">
        <v>14</v>
      </c>
      <c r="J67" s="90" t="s">
        <v>1852</v>
      </c>
      <c r="K67" s="153"/>
    </row>
    <row r="68" spans="1:11" ht="72" x14ac:dyDescent="0.3">
      <c r="A68" s="90" t="s">
        <v>8981</v>
      </c>
      <c r="B68" s="90" t="s">
        <v>8941</v>
      </c>
      <c r="C68" s="90" t="s">
        <v>8982</v>
      </c>
      <c r="D68" s="90" t="s">
        <v>13</v>
      </c>
      <c r="E68" s="90" t="s">
        <v>731</v>
      </c>
      <c r="F68" s="90" t="s">
        <v>8983</v>
      </c>
      <c r="G68" s="90" t="s">
        <v>8984</v>
      </c>
      <c r="H68" s="90" t="s">
        <v>8645</v>
      </c>
      <c r="I68" s="90" t="s">
        <v>8985</v>
      </c>
      <c r="J68" s="90" t="s">
        <v>1852</v>
      </c>
      <c r="K68" s="154" t="s">
        <v>12844</v>
      </c>
    </row>
    <row r="69" spans="1:11" x14ac:dyDescent="0.3">
      <c r="A69" s="90" t="s">
        <v>8986</v>
      </c>
      <c r="B69" s="90" t="s">
        <v>8941</v>
      </c>
      <c r="C69" s="90" t="s">
        <v>8987</v>
      </c>
      <c r="D69" s="90" t="s">
        <v>13</v>
      </c>
      <c r="E69" s="90" t="s">
        <v>736</v>
      </c>
      <c r="F69" s="90" t="s">
        <v>8988</v>
      </c>
      <c r="G69" s="90" t="s">
        <v>8989</v>
      </c>
      <c r="H69" s="90" t="s">
        <v>8990</v>
      </c>
      <c r="I69" s="90" t="s">
        <v>8991</v>
      </c>
      <c r="J69" s="90" t="s">
        <v>1852</v>
      </c>
      <c r="K69" s="153"/>
    </row>
    <row r="70" spans="1:11" x14ac:dyDescent="0.3">
      <c r="A70" s="90" t="s">
        <v>8992</v>
      </c>
      <c r="B70" s="90" t="s">
        <v>8941</v>
      </c>
      <c r="C70" s="90" t="s">
        <v>8993</v>
      </c>
      <c r="D70" s="90" t="s">
        <v>13</v>
      </c>
      <c r="E70" s="90" t="s">
        <v>40</v>
      </c>
      <c r="F70" s="90" t="s">
        <v>8994</v>
      </c>
      <c r="G70" s="90" t="s">
        <v>8995</v>
      </c>
      <c r="H70" s="90" t="s">
        <v>8996</v>
      </c>
      <c r="I70" s="90" t="s">
        <v>8997</v>
      </c>
      <c r="J70" s="90" t="s">
        <v>1852</v>
      </c>
      <c r="K70" s="153"/>
    </row>
    <row r="71" spans="1:11" x14ac:dyDescent="0.3">
      <c r="A71" s="90" t="s">
        <v>8998</v>
      </c>
      <c r="B71" s="90" t="s">
        <v>8941</v>
      </c>
      <c r="C71" s="90" t="s">
        <v>8999</v>
      </c>
      <c r="D71" s="90" t="s">
        <v>10</v>
      </c>
      <c r="E71" s="90" t="s">
        <v>629</v>
      </c>
      <c r="F71" s="90" t="s">
        <v>9000</v>
      </c>
      <c r="G71" s="90" t="s">
        <v>9001</v>
      </c>
      <c r="H71" s="90" t="s">
        <v>9002</v>
      </c>
      <c r="I71" s="90" t="s">
        <v>9003</v>
      </c>
      <c r="J71" s="90" t="s">
        <v>1852</v>
      </c>
      <c r="K71" s="156"/>
    </row>
    <row r="72" spans="1:11" x14ac:dyDescent="0.3">
      <c r="A72" s="90" t="s">
        <v>9004</v>
      </c>
      <c r="B72" s="90" t="s">
        <v>8941</v>
      </c>
      <c r="C72" s="90" t="s">
        <v>9005</v>
      </c>
      <c r="D72" s="90" t="s">
        <v>13</v>
      </c>
      <c r="E72" s="90" t="s">
        <v>36</v>
      </c>
      <c r="F72" s="90" t="s">
        <v>9006</v>
      </c>
      <c r="G72" s="90" t="s">
        <v>9007</v>
      </c>
      <c r="H72" s="90" t="s">
        <v>9008</v>
      </c>
      <c r="I72" s="90" t="s">
        <v>9009</v>
      </c>
      <c r="J72" s="90" t="s">
        <v>1852</v>
      </c>
      <c r="K72" s="153"/>
    </row>
    <row r="73" spans="1:11" x14ac:dyDescent="0.3">
      <c r="A73" s="90" t="s">
        <v>9010</v>
      </c>
      <c r="B73" s="90" t="s">
        <v>8941</v>
      </c>
      <c r="C73" s="90" t="s">
        <v>9011</v>
      </c>
      <c r="D73" s="90" t="s">
        <v>13</v>
      </c>
      <c r="E73" s="90" t="s">
        <v>40</v>
      </c>
      <c r="F73" s="90" t="s">
        <v>9012</v>
      </c>
      <c r="G73" s="90" t="s">
        <v>9013</v>
      </c>
      <c r="H73" s="90" t="s">
        <v>9014</v>
      </c>
      <c r="I73" s="90" t="s">
        <v>9015</v>
      </c>
      <c r="J73" s="90" t="s">
        <v>1852</v>
      </c>
      <c r="K73" s="153"/>
    </row>
    <row r="74" spans="1:11" x14ac:dyDescent="0.3">
      <c r="A74" s="90" t="s">
        <v>9016</v>
      </c>
      <c r="B74" s="90" t="s">
        <v>8941</v>
      </c>
      <c r="C74" s="90" t="s">
        <v>9017</v>
      </c>
      <c r="D74" s="90" t="s">
        <v>13</v>
      </c>
      <c r="E74" s="90" t="s">
        <v>40</v>
      </c>
      <c r="F74" s="90" t="s">
        <v>9018</v>
      </c>
      <c r="G74" s="90" t="s">
        <v>9013</v>
      </c>
      <c r="H74" s="90" t="s">
        <v>9019</v>
      </c>
      <c r="I74" s="90" t="s">
        <v>14</v>
      </c>
      <c r="J74" s="90" t="s">
        <v>1852</v>
      </c>
      <c r="K74" s="153"/>
    </row>
    <row r="75" spans="1:11" x14ac:dyDescent="0.3">
      <c r="A75" s="90" t="s">
        <v>9020</v>
      </c>
      <c r="B75" s="90" t="s">
        <v>8941</v>
      </c>
      <c r="C75" s="90" t="s">
        <v>9021</v>
      </c>
      <c r="D75" s="90" t="s">
        <v>13</v>
      </c>
      <c r="E75" s="90" t="s">
        <v>40</v>
      </c>
      <c r="F75" s="90" t="s">
        <v>9022</v>
      </c>
      <c r="G75" s="90" t="s">
        <v>9023</v>
      </c>
      <c r="H75" s="90" t="s">
        <v>9024</v>
      </c>
      <c r="I75" s="90" t="s">
        <v>14</v>
      </c>
      <c r="J75" s="90" t="s">
        <v>1868</v>
      </c>
      <c r="K75" s="153"/>
    </row>
    <row r="76" spans="1:11" x14ac:dyDescent="0.3">
      <c r="A76" s="91" t="s">
        <v>9025</v>
      </c>
      <c r="B76" s="91" t="s">
        <v>9026</v>
      </c>
      <c r="C76" s="91" t="s">
        <v>9027</v>
      </c>
      <c r="D76" s="91" t="s">
        <v>13</v>
      </c>
      <c r="E76" s="91" t="s">
        <v>14</v>
      </c>
      <c r="F76" s="91" t="s">
        <v>9028</v>
      </c>
      <c r="G76" s="91" t="s">
        <v>9029</v>
      </c>
      <c r="H76" s="91" t="s">
        <v>9030</v>
      </c>
      <c r="I76" s="91" t="s">
        <v>8800</v>
      </c>
      <c r="J76" s="91" t="s">
        <v>1852</v>
      </c>
      <c r="K76" s="155"/>
    </row>
    <row r="77" spans="1:11" x14ac:dyDescent="0.3">
      <c r="A77" s="91" t="s">
        <v>9031</v>
      </c>
      <c r="B77" s="91" t="s">
        <v>9026</v>
      </c>
      <c r="C77" s="91" t="s">
        <v>9032</v>
      </c>
      <c r="D77" s="91" t="s">
        <v>13</v>
      </c>
      <c r="E77" s="91" t="s">
        <v>7846</v>
      </c>
      <c r="F77" s="91" t="s">
        <v>9033</v>
      </c>
      <c r="G77" s="91" t="s">
        <v>9029</v>
      </c>
      <c r="H77" s="91" t="s">
        <v>9030</v>
      </c>
      <c r="I77" s="91" t="s">
        <v>8805</v>
      </c>
      <c r="J77" s="91" t="s">
        <v>1852</v>
      </c>
      <c r="K77" s="153"/>
    </row>
    <row r="78" spans="1:11" x14ac:dyDescent="0.3">
      <c r="A78" s="91" t="s">
        <v>9034</v>
      </c>
      <c r="B78" s="91" t="s">
        <v>9026</v>
      </c>
      <c r="C78" s="91" t="s">
        <v>9035</v>
      </c>
      <c r="D78" s="91" t="s">
        <v>13</v>
      </c>
      <c r="E78" s="91" t="s">
        <v>14</v>
      </c>
      <c r="F78" s="91" t="s">
        <v>2880</v>
      </c>
      <c r="G78" s="91" t="s">
        <v>9036</v>
      </c>
      <c r="H78" s="91" t="s">
        <v>9037</v>
      </c>
      <c r="I78" s="91" t="s">
        <v>9038</v>
      </c>
      <c r="J78" s="91" t="s">
        <v>1852</v>
      </c>
      <c r="K78" s="153"/>
    </row>
    <row r="79" spans="1:11" x14ac:dyDescent="0.3">
      <c r="A79" s="91" t="s">
        <v>9039</v>
      </c>
      <c r="B79" s="91" t="s">
        <v>9026</v>
      </c>
      <c r="C79" s="91" t="s">
        <v>9040</v>
      </c>
      <c r="D79" s="91" t="s">
        <v>13</v>
      </c>
      <c r="E79" s="91" t="s">
        <v>7846</v>
      </c>
      <c r="F79" s="91" t="s">
        <v>8813</v>
      </c>
      <c r="G79" s="91" t="s">
        <v>9041</v>
      </c>
      <c r="H79" s="91" t="s">
        <v>9042</v>
      </c>
      <c r="I79" s="91" t="s">
        <v>14</v>
      </c>
      <c r="J79" s="91" t="s">
        <v>1868</v>
      </c>
      <c r="K79" s="153"/>
    </row>
    <row r="80" spans="1:11" x14ac:dyDescent="0.3">
      <c r="A80" s="91" t="s">
        <v>9043</v>
      </c>
      <c r="B80" s="91" t="s">
        <v>9026</v>
      </c>
      <c r="C80" s="91" t="s">
        <v>9044</v>
      </c>
      <c r="D80" s="91" t="s">
        <v>13</v>
      </c>
      <c r="E80" s="91" t="s">
        <v>7846</v>
      </c>
      <c r="F80" s="91" t="s">
        <v>8808</v>
      </c>
      <c r="G80" s="91" t="s">
        <v>9045</v>
      </c>
      <c r="H80" s="91" t="s">
        <v>9042</v>
      </c>
      <c r="I80" s="91" t="s">
        <v>14</v>
      </c>
      <c r="J80" s="91" t="s">
        <v>1868</v>
      </c>
      <c r="K80" s="153"/>
    </row>
    <row r="81" spans="1:11" x14ac:dyDescent="0.3">
      <c r="A81" s="91" t="s">
        <v>9046</v>
      </c>
      <c r="B81" s="91" t="s">
        <v>9026</v>
      </c>
      <c r="C81" s="91" t="s">
        <v>9047</v>
      </c>
      <c r="D81" s="91" t="s">
        <v>10</v>
      </c>
      <c r="E81" s="91" t="s">
        <v>1577</v>
      </c>
      <c r="F81" s="91" t="s">
        <v>8931</v>
      </c>
      <c r="G81" s="91" t="s">
        <v>8841</v>
      </c>
      <c r="H81" s="91" t="s">
        <v>9048</v>
      </c>
      <c r="I81" s="91" t="s">
        <v>9049</v>
      </c>
      <c r="J81" s="91" t="s">
        <v>1852</v>
      </c>
      <c r="K81" s="153"/>
    </row>
    <row r="82" spans="1:11" x14ac:dyDescent="0.3">
      <c r="A82" s="91" t="s">
        <v>9050</v>
      </c>
      <c r="B82" s="91" t="s">
        <v>9026</v>
      </c>
      <c r="C82" s="91" t="s">
        <v>9051</v>
      </c>
      <c r="D82" s="91" t="s">
        <v>10</v>
      </c>
      <c r="E82" s="91" t="s">
        <v>1577</v>
      </c>
      <c r="F82" s="91" t="s">
        <v>8688</v>
      </c>
      <c r="G82" s="91" t="s">
        <v>9052</v>
      </c>
      <c r="H82" s="91" t="s">
        <v>9053</v>
      </c>
      <c r="I82" s="91" t="s">
        <v>9054</v>
      </c>
      <c r="J82" s="91" t="s">
        <v>1852</v>
      </c>
      <c r="K82" s="153"/>
    </row>
    <row r="83" spans="1:11" x14ac:dyDescent="0.3">
      <c r="A83" s="91" t="s">
        <v>9055</v>
      </c>
      <c r="B83" s="91" t="s">
        <v>9026</v>
      </c>
      <c r="C83" s="91" t="s">
        <v>9056</v>
      </c>
      <c r="D83" s="91" t="s">
        <v>13</v>
      </c>
      <c r="E83" s="91" t="s">
        <v>1577</v>
      </c>
      <c r="F83" s="91" t="s">
        <v>9057</v>
      </c>
      <c r="G83" s="91" t="s">
        <v>8650</v>
      </c>
      <c r="H83" s="91" t="s">
        <v>9058</v>
      </c>
      <c r="I83" s="91" t="s">
        <v>14</v>
      </c>
      <c r="J83" s="91" t="s">
        <v>1868</v>
      </c>
      <c r="K83" s="153"/>
    </row>
    <row r="84" spans="1:11" x14ac:dyDescent="0.3">
      <c r="A84" s="91" t="s">
        <v>9059</v>
      </c>
      <c r="B84" s="91" t="s">
        <v>9026</v>
      </c>
      <c r="C84" s="91" t="s">
        <v>9060</v>
      </c>
      <c r="D84" s="91" t="s">
        <v>13</v>
      </c>
      <c r="E84" s="91" t="s">
        <v>7846</v>
      </c>
      <c r="F84" s="91" t="s">
        <v>53</v>
      </c>
      <c r="G84" s="91" t="s">
        <v>8650</v>
      </c>
      <c r="H84" s="91" t="s">
        <v>9061</v>
      </c>
      <c r="I84" s="91" t="s">
        <v>14</v>
      </c>
      <c r="J84" s="91" t="s">
        <v>1868</v>
      </c>
      <c r="K84" s="153"/>
    </row>
    <row r="85" spans="1:11" x14ac:dyDescent="0.3">
      <c r="A85" s="91" t="s">
        <v>9062</v>
      </c>
      <c r="B85" s="91" t="s">
        <v>9026</v>
      </c>
      <c r="C85" s="91" t="s">
        <v>9063</v>
      </c>
      <c r="D85" s="91" t="s">
        <v>13</v>
      </c>
      <c r="E85" s="91" t="s">
        <v>4088</v>
      </c>
      <c r="F85" s="91" t="s">
        <v>9064</v>
      </c>
      <c r="G85" s="91" t="s">
        <v>9065</v>
      </c>
      <c r="H85" s="91" t="s">
        <v>9066</v>
      </c>
      <c r="I85" s="91" t="s">
        <v>14</v>
      </c>
      <c r="J85" s="91" t="s">
        <v>1868</v>
      </c>
      <c r="K85" s="153"/>
    </row>
    <row r="86" spans="1:11" x14ac:dyDescent="0.3">
      <c r="A86" s="91" t="s">
        <v>9067</v>
      </c>
      <c r="B86" s="91" t="s">
        <v>9026</v>
      </c>
      <c r="C86" s="91" t="s">
        <v>9068</v>
      </c>
      <c r="D86" s="91" t="s">
        <v>10</v>
      </c>
      <c r="E86" s="91" t="s">
        <v>7846</v>
      </c>
      <c r="F86" s="91" t="s">
        <v>9069</v>
      </c>
      <c r="G86" s="91" t="s">
        <v>9070</v>
      </c>
      <c r="H86" s="91" t="s">
        <v>9071</v>
      </c>
      <c r="I86" s="91" t="s">
        <v>9072</v>
      </c>
      <c r="J86" s="91" t="s">
        <v>1852</v>
      </c>
      <c r="K86" s="153"/>
    </row>
    <row r="87" spans="1:11" x14ac:dyDescent="0.3">
      <c r="A87" s="91" t="s">
        <v>9073</v>
      </c>
      <c r="B87" s="91" t="s">
        <v>9026</v>
      </c>
      <c r="C87" s="91" t="s">
        <v>9074</v>
      </c>
      <c r="D87" s="91" t="s">
        <v>21</v>
      </c>
      <c r="E87" s="91" t="s">
        <v>736</v>
      </c>
      <c r="F87" s="91" t="s">
        <v>9075</v>
      </c>
      <c r="G87" s="91" t="s">
        <v>9076</v>
      </c>
      <c r="H87" s="91" t="s">
        <v>9077</v>
      </c>
      <c r="I87" s="91" t="s">
        <v>9078</v>
      </c>
      <c r="J87" s="91" t="s">
        <v>1868</v>
      </c>
      <c r="K87" s="153"/>
    </row>
    <row r="88" spans="1:11" x14ac:dyDescent="0.3">
      <c r="A88" s="92" t="s">
        <v>9079</v>
      </c>
      <c r="B88" s="92" t="s">
        <v>8193</v>
      </c>
      <c r="C88" s="92" t="s">
        <v>9080</v>
      </c>
      <c r="D88" s="92" t="s">
        <v>13</v>
      </c>
      <c r="E88" s="92" t="s">
        <v>51</v>
      </c>
      <c r="F88" s="92" t="s">
        <v>9081</v>
      </c>
      <c r="G88" s="92" t="s">
        <v>8937</v>
      </c>
      <c r="H88" s="92" t="s">
        <v>9082</v>
      </c>
      <c r="I88" s="92" t="s">
        <v>9083</v>
      </c>
      <c r="J88" s="92" t="s">
        <v>1852</v>
      </c>
      <c r="K88" s="153"/>
    </row>
    <row r="89" spans="1:11" x14ac:dyDescent="0.3">
      <c r="A89" s="92" t="s">
        <v>9084</v>
      </c>
      <c r="B89" s="92" t="s">
        <v>8193</v>
      </c>
      <c r="C89" s="92" t="s">
        <v>9085</v>
      </c>
      <c r="D89" s="92" t="s">
        <v>13</v>
      </c>
      <c r="E89" s="92" t="s">
        <v>736</v>
      </c>
      <c r="F89" s="92" t="s">
        <v>9086</v>
      </c>
      <c r="G89" s="92" t="s">
        <v>9087</v>
      </c>
      <c r="H89" s="92" t="s">
        <v>8990</v>
      </c>
      <c r="I89" s="92" t="s">
        <v>8766</v>
      </c>
      <c r="J89" s="92" t="s">
        <v>1852</v>
      </c>
      <c r="K89" s="153"/>
    </row>
    <row r="90" spans="1:11" x14ac:dyDescent="0.3">
      <c r="A90" s="92" t="s">
        <v>9088</v>
      </c>
      <c r="B90" s="92" t="s">
        <v>8193</v>
      </c>
      <c r="C90" s="92" t="s">
        <v>9089</v>
      </c>
      <c r="D90" s="92" t="s">
        <v>13</v>
      </c>
      <c r="E90" s="92" t="s">
        <v>731</v>
      </c>
      <c r="F90" s="92" t="s">
        <v>9090</v>
      </c>
      <c r="G90" s="92" t="s">
        <v>9091</v>
      </c>
      <c r="H90" s="92" t="s">
        <v>9092</v>
      </c>
      <c r="I90" s="92" t="s">
        <v>14</v>
      </c>
      <c r="J90" s="92" t="s">
        <v>1852</v>
      </c>
      <c r="K90" s="153"/>
    </row>
    <row r="91" spans="1:11" x14ac:dyDescent="0.3">
      <c r="A91" s="92" t="s">
        <v>9093</v>
      </c>
      <c r="B91" s="92" t="s">
        <v>8193</v>
      </c>
      <c r="C91" s="92" t="s">
        <v>9094</v>
      </c>
      <c r="D91" s="92" t="s">
        <v>13</v>
      </c>
      <c r="E91" s="92" t="s">
        <v>736</v>
      </c>
      <c r="F91" s="92" t="s">
        <v>9095</v>
      </c>
      <c r="G91" s="92" t="s">
        <v>9096</v>
      </c>
      <c r="H91" s="92" t="s">
        <v>8990</v>
      </c>
      <c r="I91" s="92" t="s">
        <v>8991</v>
      </c>
      <c r="J91" s="92" t="s">
        <v>1852</v>
      </c>
      <c r="K91" s="153"/>
    </row>
    <row r="92" spans="1:11" x14ac:dyDescent="0.3">
      <c r="A92" s="92" t="s">
        <v>9097</v>
      </c>
      <c r="B92" s="92" t="s">
        <v>8193</v>
      </c>
      <c r="C92" s="92" t="s">
        <v>9098</v>
      </c>
      <c r="D92" s="92" t="s">
        <v>13</v>
      </c>
      <c r="E92" s="92" t="s">
        <v>9099</v>
      </c>
      <c r="F92" s="92" t="s">
        <v>9100</v>
      </c>
      <c r="G92" s="92" t="s">
        <v>8451</v>
      </c>
      <c r="H92" s="92" t="s">
        <v>8990</v>
      </c>
      <c r="I92" s="92" t="s">
        <v>9101</v>
      </c>
      <c r="J92" s="92" t="s">
        <v>1852</v>
      </c>
      <c r="K92" s="153"/>
    </row>
    <row r="93" spans="1:11" x14ac:dyDescent="0.3">
      <c r="A93" s="92" t="s">
        <v>9102</v>
      </c>
      <c r="B93" s="92" t="s">
        <v>8193</v>
      </c>
      <c r="C93" s="92" t="s">
        <v>9103</v>
      </c>
      <c r="D93" s="92" t="s">
        <v>13</v>
      </c>
      <c r="E93" s="92" t="s">
        <v>721</v>
      </c>
      <c r="F93" s="92" t="s">
        <v>9104</v>
      </c>
      <c r="G93" s="92" t="s">
        <v>9105</v>
      </c>
      <c r="H93" s="92" t="s">
        <v>9106</v>
      </c>
      <c r="I93" s="92" t="s">
        <v>9107</v>
      </c>
      <c r="J93" s="92" t="s">
        <v>1852</v>
      </c>
      <c r="K93" s="153"/>
    </row>
    <row r="94" spans="1:11" x14ac:dyDescent="0.3">
      <c r="A94" s="92" t="s">
        <v>9108</v>
      </c>
      <c r="B94" s="92" t="s">
        <v>8193</v>
      </c>
      <c r="C94" s="92" t="s">
        <v>9109</v>
      </c>
      <c r="D94" s="92" t="s">
        <v>13</v>
      </c>
      <c r="E94" s="92" t="s">
        <v>1577</v>
      </c>
      <c r="F94" s="92" t="s">
        <v>8931</v>
      </c>
      <c r="G94" s="92" t="s">
        <v>9110</v>
      </c>
      <c r="H94" s="92" t="s">
        <v>9111</v>
      </c>
      <c r="I94" s="92" t="s">
        <v>14</v>
      </c>
      <c r="J94" s="92" t="s">
        <v>1852</v>
      </c>
      <c r="K94" s="153"/>
    </row>
    <row r="95" spans="1:11" x14ac:dyDescent="0.3">
      <c r="A95" s="92" t="s">
        <v>9112</v>
      </c>
      <c r="B95" s="92" t="s">
        <v>8193</v>
      </c>
      <c r="C95" s="92" t="s">
        <v>9113</v>
      </c>
      <c r="D95" s="92" t="s">
        <v>13</v>
      </c>
      <c r="E95" s="92" t="s">
        <v>9114</v>
      </c>
      <c r="F95" s="92" t="s">
        <v>9115</v>
      </c>
      <c r="G95" s="92" t="s">
        <v>9116</v>
      </c>
      <c r="H95" s="92" t="s">
        <v>9117</v>
      </c>
      <c r="I95" s="92" t="s">
        <v>9118</v>
      </c>
      <c r="J95" s="92" t="s">
        <v>1852</v>
      </c>
      <c r="K95" s="153"/>
    </row>
    <row r="96" spans="1:11" x14ac:dyDescent="0.3">
      <c r="A96" s="92" t="s">
        <v>9119</v>
      </c>
      <c r="B96" s="92" t="s">
        <v>8193</v>
      </c>
      <c r="C96" s="92" t="s">
        <v>9120</v>
      </c>
      <c r="D96" s="92" t="s">
        <v>13</v>
      </c>
      <c r="E96" s="92" t="s">
        <v>8269</v>
      </c>
      <c r="F96" s="92" t="s">
        <v>8687</v>
      </c>
      <c r="G96" s="92" t="s">
        <v>9121</v>
      </c>
      <c r="H96" s="92" t="s">
        <v>9122</v>
      </c>
      <c r="I96" s="92" t="s">
        <v>14</v>
      </c>
      <c r="J96" s="92" t="s">
        <v>1868</v>
      </c>
      <c r="K96" s="153"/>
    </row>
    <row r="97" spans="1:11" x14ac:dyDescent="0.3">
      <c r="A97" s="92" t="s">
        <v>9123</v>
      </c>
      <c r="B97" s="92" t="s">
        <v>8193</v>
      </c>
      <c r="C97" s="92" t="s">
        <v>9124</v>
      </c>
      <c r="D97" s="92" t="s">
        <v>21</v>
      </c>
      <c r="E97" s="92" t="s">
        <v>736</v>
      </c>
      <c r="F97" s="92" t="s">
        <v>9125</v>
      </c>
      <c r="G97" s="92" t="s">
        <v>9126</v>
      </c>
      <c r="H97" s="92" t="s">
        <v>9127</v>
      </c>
      <c r="I97" s="92" t="s">
        <v>9128</v>
      </c>
      <c r="J97" s="92" t="s">
        <v>1868</v>
      </c>
      <c r="K97" s="153"/>
    </row>
    <row r="98" spans="1:11" x14ac:dyDescent="0.3">
      <c r="A98" s="92" t="s">
        <v>9129</v>
      </c>
      <c r="B98" s="92" t="s">
        <v>8193</v>
      </c>
      <c r="C98" s="92" t="s">
        <v>9130</v>
      </c>
      <c r="D98" s="92" t="s">
        <v>13</v>
      </c>
      <c r="E98" s="92" t="s">
        <v>51</v>
      </c>
      <c r="F98" s="92" t="s">
        <v>9131</v>
      </c>
      <c r="G98" s="92" t="s">
        <v>9132</v>
      </c>
      <c r="H98" s="92" t="s">
        <v>9133</v>
      </c>
      <c r="I98" s="92" t="s">
        <v>14</v>
      </c>
      <c r="J98" s="92" t="s">
        <v>1852</v>
      </c>
      <c r="K98" s="153"/>
    </row>
    <row r="99" spans="1:11" x14ac:dyDescent="0.3">
      <c r="A99" s="92" t="s">
        <v>9134</v>
      </c>
      <c r="B99" s="92" t="s">
        <v>8193</v>
      </c>
      <c r="C99" s="92" t="s">
        <v>9135</v>
      </c>
      <c r="D99" s="92" t="s">
        <v>21</v>
      </c>
      <c r="E99" s="92" t="s">
        <v>736</v>
      </c>
      <c r="F99" s="92" t="s">
        <v>9136</v>
      </c>
      <c r="G99" s="92" t="s">
        <v>9137</v>
      </c>
      <c r="H99" s="92" t="s">
        <v>9138</v>
      </c>
      <c r="I99" s="92" t="s">
        <v>14</v>
      </c>
      <c r="J99" s="92" t="s">
        <v>1868</v>
      </c>
      <c r="K99" s="153"/>
    </row>
    <row r="100" spans="1:11" x14ac:dyDescent="0.3">
      <c r="A100" s="92" t="s">
        <v>9139</v>
      </c>
      <c r="B100" s="92" t="s">
        <v>8193</v>
      </c>
      <c r="C100" s="92" t="s">
        <v>9140</v>
      </c>
      <c r="D100" s="92" t="s">
        <v>13</v>
      </c>
      <c r="E100" s="92" t="s">
        <v>51</v>
      </c>
      <c r="F100" s="92" t="s">
        <v>9141</v>
      </c>
      <c r="G100" s="92" t="s">
        <v>9142</v>
      </c>
      <c r="H100" s="92" t="s">
        <v>9143</v>
      </c>
      <c r="I100" s="92" t="s">
        <v>8939</v>
      </c>
      <c r="J100" s="92" t="s">
        <v>1868</v>
      </c>
      <c r="K100" s="153"/>
    </row>
    <row r="101" spans="1:11" x14ac:dyDescent="0.3">
      <c r="A101" s="92" t="s">
        <v>9144</v>
      </c>
      <c r="B101" s="92" t="s">
        <v>8193</v>
      </c>
      <c r="C101" s="92" t="s">
        <v>9145</v>
      </c>
      <c r="D101" s="92" t="s">
        <v>13</v>
      </c>
      <c r="E101" s="92" t="s">
        <v>9146</v>
      </c>
      <c r="F101" s="92" t="s">
        <v>9147</v>
      </c>
      <c r="G101" s="92" t="s">
        <v>9142</v>
      </c>
      <c r="H101" s="92" t="s">
        <v>9148</v>
      </c>
      <c r="I101" s="92" t="s">
        <v>8939</v>
      </c>
      <c r="J101" s="92" t="s">
        <v>1868</v>
      </c>
      <c r="K101" s="153"/>
    </row>
    <row r="102" spans="1:11" x14ac:dyDescent="0.3">
      <c r="A102" s="93" t="s">
        <v>9149</v>
      </c>
      <c r="B102" s="93" t="s">
        <v>8275</v>
      </c>
      <c r="C102" s="93" t="s">
        <v>9150</v>
      </c>
      <c r="D102" s="93" t="s">
        <v>13</v>
      </c>
      <c r="E102" s="93" t="s">
        <v>1420</v>
      </c>
      <c r="F102" s="93" t="s">
        <v>9151</v>
      </c>
      <c r="G102" s="93" t="s">
        <v>9152</v>
      </c>
      <c r="H102" s="93" t="s">
        <v>9153</v>
      </c>
      <c r="I102" s="93" t="s">
        <v>14</v>
      </c>
      <c r="J102" s="93" t="s">
        <v>1852</v>
      </c>
      <c r="K102" s="153"/>
    </row>
    <row r="103" spans="1:11" x14ac:dyDescent="0.3">
      <c r="A103" s="93" t="s">
        <v>9154</v>
      </c>
      <c r="B103" s="93" t="s">
        <v>8275</v>
      </c>
      <c r="C103" s="93" t="s">
        <v>9155</v>
      </c>
      <c r="D103" s="93" t="s">
        <v>13</v>
      </c>
      <c r="E103" s="93" t="s">
        <v>1420</v>
      </c>
      <c r="F103" s="93" t="s">
        <v>8286</v>
      </c>
      <c r="G103" s="93" t="s">
        <v>9156</v>
      </c>
      <c r="H103" s="93" t="s">
        <v>9153</v>
      </c>
      <c r="I103" s="93" t="s">
        <v>14</v>
      </c>
      <c r="J103" s="93" t="s">
        <v>1852</v>
      </c>
      <c r="K103" s="153"/>
    </row>
    <row r="104" spans="1:11" x14ac:dyDescent="0.3">
      <c r="A104" s="93" t="s">
        <v>9157</v>
      </c>
      <c r="B104" s="93" t="s">
        <v>8275</v>
      </c>
      <c r="C104" s="93" t="s">
        <v>9158</v>
      </c>
      <c r="D104" s="93" t="s">
        <v>10</v>
      </c>
      <c r="E104" s="93" t="s">
        <v>1420</v>
      </c>
      <c r="F104" s="93" t="s">
        <v>9159</v>
      </c>
      <c r="G104" s="93" t="s">
        <v>9160</v>
      </c>
      <c r="H104" s="93" t="s">
        <v>8292</v>
      </c>
      <c r="I104" s="93" t="s">
        <v>9161</v>
      </c>
      <c r="J104" s="93" t="s">
        <v>1852</v>
      </c>
      <c r="K104" s="153"/>
    </row>
    <row r="105" spans="1:11" x14ac:dyDescent="0.3">
      <c r="A105" s="93" t="s">
        <v>9162</v>
      </c>
      <c r="B105" s="93" t="s">
        <v>8275</v>
      </c>
      <c r="C105" s="93" t="s">
        <v>9163</v>
      </c>
      <c r="D105" s="93" t="s">
        <v>13</v>
      </c>
      <c r="E105" s="93" t="s">
        <v>1420</v>
      </c>
      <c r="F105" s="93" t="s">
        <v>8300</v>
      </c>
      <c r="G105" s="93" t="s">
        <v>8650</v>
      </c>
      <c r="H105" s="93" t="s">
        <v>9164</v>
      </c>
      <c r="I105" s="93" t="s">
        <v>14</v>
      </c>
      <c r="J105" s="93" t="s">
        <v>1868</v>
      </c>
      <c r="K105" s="153"/>
    </row>
    <row r="106" spans="1:11" x14ac:dyDescent="0.3">
      <c r="A106" s="93" t="s">
        <v>9165</v>
      </c>
      <c r="B106" s="93" t="s">
        <v>8275</v>
      </c>
      <c r="C106" s="93" t="s">
        <v>9166</v>
      </c>
      <c r="D106" s="93" t="s">
        <v>10</v>
      </c>
      <c r="E106" s="93" t="s">
        <v>1420</v>
      </c>
      <c r="F106" s="93" t="s">
        <v>8300</v>
      </c>
      <c r="G106" s="93" t="s">
        <v>9160</v>
      </c>
      <c r="H106" s="93" t="s">
        <v>8302</v>
      </c>
      <c r="I106" s="93" t="s">
        <v>9167</v>
      </c>
      <c r="J106" s="93" t="s">
        <v>1852</v>
      </c>
      <c r="K106" s="153"/>
    </row>
    <row r="107" spans="1:11" x14ac:dyDescent="0.3">
      <c r="A107" s="93" t="s">
        <v>9168</v>
      </c>
      <c r="B107" s="93" t="s">
        <v>8275</v>
      </c>
      <c r="C107" s="93" t="s">
        <v>9169</v>
      </c>
      <c r="D107" s="93" t="s">
        <v>13</v>
      </c>
      <c r="E107" s="93" t="s">
        <v>1420</v>
      </c>
      <c r="F107" s="93" t="s">
        <v>9170</v>
      </c>
      <c r="G107" s="93" t="s">
        <v>9171</v>
      </c>
      <c r="H107" s="93" t="s">
        <v>9153</v>
      </c>
      <c r="I107" s="93" t="s">
        <v>14</v>
      </c>
      <c r="J107" s="93" t="s">
        <v>1852</v>
      </c>
      <c r="K107" s="153"/>
    </row>
    <row r="108" spans="1:11" x14ac:dyDescent="0.3">
      <c r="A108" s="93" t="s">
        <v>9172</v>
      </c>
      <c r="B108" s="93" t="s">
        <v>8275</v>
      </c>
      <c r="C108" s="93" t="s">
        <v>9173</v>
      </c>
      <c r="D108" s="93" t="s">
        <v>10</v>
      </c>
      <c r="E108" s="93" t="s">
        <v>1420</v>
      </c>
      <c r="F108" s="93" t="s">
        <v>9174</v>
      </c>
      <c r="G108" s="93" t="s">
        <v>9175</v>
      </c>
      <c r="H108" s="93" t="s">
        <v>9176</v>
      </c>
      <c r="I108" s="93" t="s">
        <v>9177</v>
      </c>
      <c r="J108" s="93" t="s">
        <v>1852</v>
      </c>
      <c r="K108" s="153"/>
    </row>
    <row r="109" spans="1:11" x14ac:dyDescent="0.3">
      <c r="A109" s="93" t="s">
        <v>9178</v>
      </c>
      <c r="B109" s="93" t="s">
        <v>8275</v>
      </c>
      <c r="C109" s="93" t="s">
        <v>9179</v>
      </c>
      <c r="D109" s="93" t="s">
        <v>13</v>
      </c>
      <c r="E109" s="93" t="s">
        <v>694</v>
      </c>
      <c r="F109" s="93" t="s">
        <v>9180</v>
      </c>
      <c r="G109" s="93" t="s">
        <v>9181</v>
      </c>
      <c r="H109" s="93" t="s">
        <v>9182</v>
      </c>
      <c r="I109" s="93" t="s">
        <v>14</v>
      </c>
      <c r="J109" s="93" t="s">
        <v>1868</v>
      </c>
      <c r="K109" s="153"/>
    </row>
    <row r="110" spans="1:11" x14ac:dyDescent="0.3">
      <c r="A110" s="93" t="s">
        <v>9183</v>
      </c>
      <c r="B110" s="93" t="s">
        <v>8275</v>
      </c>
      <c r="C110" s="93" t="s">
        <v>9184</v>
      </c>
      <c r="D110" s="93" t="s">
        <v>21</v>
      </c>
      <c r="E110" s="93" t="s">
        <v>1420</v>
      </c>
      <c r="F110" s="93" t="s">
        <v>9185</v>
      </c>
      <c r="G110" s="93" t="s">
        <v>9186</v>
      </c>
      <c r="H110" s="93" t="s">
        <v>9187</v>
      </c>
      <c r="I110" s="93" t="s">
        <v>14</v>
      </c>
      <c r="J110" s="93" t="s">
        <v>1868</v>
      </c>
      <c r="K110" s="153"/>
    </row>
    <row r="111" spans="1:11" x14ac:dyDescent="0.3">
      <c r="A111" s="93" t="s">
        <v>9188</v>
      </c>
      <c r="B111" s="93" t="s">
        <v>8275</v>
      </c>
      <c r="C111" s="93" t="s">
        <v>9189</v>
      </c>
      <c r="D111" s="93" t="s">
        <v>10</v>
      </c>
      <c r="E111" s="93" t="s">
        <v>7356</v>
      </c>
      <c r="F111" s="93" t="s">
        <v>8318</v>
      </c>
      <c r="G111" s="93" t="s">
        <v>9190</v>
      </c>
      <c r="H111" s="93" t="s">
        <v>8320</v>
      </c>
      <c r="I111" s="93" t="s">
        <v>9191</v>
      </c>
      <c r="J111" s="93" t="s">
        <v>1852</v>
      </c>
      <c r="K111" s="153"/>
    </row>
    <row r="112" spans="1:11" x14ac:dyDescent="0.3">
      <c r="A112" s="93" t="s">
        <v>9192</v>
      </c>
      <c r="B112" s="93" t="s">
        <v>8275</v>
      </c>
      <c r="C112" s="93" t="s">
        <v>9193</v>
      </c>
      <c r="D112" s="93" t="s">
        <v>13</v>
      </c>
      <c r="E112" s="93" t="s">
        <v>1420</v>
      </c>
      <c r="F112" s="93" t="s">
        <v>9194</v>
      </c>
      <c r="G112" s="93" t="s">
        <v>9195</v>
      </c>
      <c r="H112" s="93" t="s">
        <v>9196</v>
      </c>
      <c r="I112" s="93" t="s">
        <v>14</v>
      </c>
      <c r="J112" s="93" t="s">
        <v>1868</v>
      </c>
      <c r="K112" s="153"/>
    </row>
    <row r="113" spans="1:11" x14ac:dyDescent="0.3">
      <c r="A113" s="93" t="s">
        <v>9197</v>
      </c>
      <c r="B113" s="93" t="s">
        <v>8275</v>
      </c>
      <c r="C113" s="93" t="s">
        <v>9198</v>
      </c>
      <c r="D113" s="93" t="s">
        <v>13</v>
      </c>
      <c r="E113" s="93" t="s">
        <v>1420</v>
      </c>
      <c r="F113" s="93" t="s">
        <v>9199</v>
      </c>
      <c r="G113" s="93" t="s">
        <v>9200</v>
      </c>
      <c r="H113" s="93" t="s">
        <v>9201</v>
      </c>
      <c r="I113" s="93" t="s">
        <v>14</v>
      </c>
      <c r="J113" s="93" t="s">
        <v>1868</v>
      </c>
      <c r="K113" s="153"/>
    </row>
    <row r="114" spans="1:11" x14ac:dyDescent="0.3">
      <c r="A114" s="87" t="s">
        <v>9202</v>
      </c>
      <c r="B114" s="87" t="s">
        <v>7475</v>
      </c>
      <c r="C114" s="87" t="s">
        <v>9203</v>
      </c>
      <c r="D114" s="87" t="s">
        <v>13</v>
      </c>
      <c r="E114" s="87" t="s">
        <v>4088</v>
      </c>
      <c r="F114" s="87" t="s">
        <v>9204</v>
      </c>
      <c r="G114" s="87" t="s">
        <v>8370</v>
      </c>
      <c r="H114" s="87" t="s">
        <v>9205</v>
      </c>
      <c r="I114" s="87" t="s">
        <v>14</v>
      </c>
      <c r="J114" s="87" t="s">
        <v>1852</v>
      </c>
      <c r="K114" s="153"/>
    </row>
    <row r="115" spans="1:11" x14ac:dyDescent="0.3">
      <c r="A115" s="87" t="s">
        <v>9206</v>
      </c>
      <c r="B115" s="87" t="s">
        <v>7475</v>
      </c>
      <c r="C115" s="87" t="s">
        <v>9207</v>
      </c>
      <c r="D115" s="87" t="s">
        <v>13</v>
      </c>
      <c r="E115" s="87" t="s">
        <v>4088</v>
      </c>
      <c r="F115" s="87" t="s">
        <v>9208</v>
      </c>
      <c r="G115" s="87" t="s">
        <v>8370</v>
      </c>
      <c r="H115" s="87" t="s">
        <v>9209</v>
      </c>
      <c r="I115" s="87" t="s">
        <v>14</v>
      </c>
      <c r="J115" s="87" t="s">
        <v>1852</v>
      </c>
      <c r="K115" s="153"/>
    </row>
    <row r="116" spans="1:11" x14ac:dyDescent="0.3">
      <c r="A116" s="87" t="s">
        <v>9210</v>
      </c>
      <c r="B116" s="87" t="s">
        <v>7475</v>
      </c>
      <c r="C116" s="87" t="s">
        <v>9211</v>
      </c>
      <c r="D116" s="87" t="s">
        <v>13</v>
      </c>
      <c r="E116" s="87" t="s">
        <v>4088</v>
      </c>
      <c r="F116" s="87" t="s">
        <v>9212</v>
      </c>
      <c r="G116" s="87" t="s">
        <v>8370</v>
      </c>
      <c r="H116" s="87" t="s">
        <v>9213</v>
      </c>
      <c r="I116" s="87" t="s">
        <v>14</v>
      </c>
      <c r="J116" s="87" t="s">
        <v>1852</v>
      </c>
      <c r="K116" s="153"/>
    </row>
    <row r="117" spans="1:11" x14ac:dyDescent="0.3">
      <c r="A117" s="87" t="s">
        <v>9214</v>
      </c>
      <c r="B117" s="87" t="s">
        <v>7475</v>
      </c>
      <c r="C117" s="87" t="s">
        <v>9215</v>
      </c>
      <c r="D117" s="87" t="s">
        <v>13</v>
      </c>
      <c r="E117" s="87" t="s">
        <v>4088</v>
      </c>
      <c r="F117" s="87" t="s">
        <v>9216</v>
      </c>
      <c r="G117" s="87" t="s">
        <v>8370</v>
      </c>
      <c r="H117" s="87" t="s">
        <v>9217</v>
      </c>
      <c r="I117" s="87" t="s">
        <v>14</v>
      </c>
      <c r="J117" s="87" t="s">
        <v>1852</v>
      </c>
      <c r="K117" s="153"/>
    </row>
    <row r="118" spans="1:11" x14ac:dyDescent="0.3">
      <c r="A118" s="87" t="s">
        <v>9218</v>
      </c>
      <c r="B118" s="87" t="s">
        <v>7475</v>
      </c>
      <c r="C118" s="87" t="s">
        <v>9219</v>
      </c>
      <c r="D118" s="87" t="s">
        <v>13</v>
      </c>
      <c r="E118" s="87" t="s">
        <v>9220</v>
      </c>
      <c r="F118" s="87" t="s">
        <v>8765</v>
      </c>
      <c r="G118" s="87" t="s">
        <v>8370</v>
      </c>
      <c r="H118" s="87" t="s">
        <v>9221</v>
      </c>
      <c r="I118" s="87" t="s">
        <v>9222</v>
      </c>
      <c r="J118" s="87" t="s">
        <v>1852</v>
      </c>
      <c r="K118" s="153"/>
    </row>
    <row r="119" spans="1:11" x14ac:dyDescent="0.3">
      <c r="A119" s="87" t="s">
        <v>9223</v>
      </c>
      <c r="B119" s="87" t="s">
        <v>7475</v>
      </c>
      <c r="C119" s="87" t="s">
        <v>9224</v>
      </c>
      <c r="D119" s="87" t="s">
        <v>13</v>
      </c>
      <c r="E119" s="87" t="s">
        <v>4088</v>
      </c>
      <c r="F119" s="87" t="s">
        <v>8931</v>
      </c>
      <c r="G119" s="87" t="s">
        <v>9121</v>
      </c>
      <c r="H119" s="87" t="s">
        <v>9225</v>
      </c>
      <c r="I119" s="87" t="s">
        <v>14</v>
      </c>
      <c r="J119" s="87" t="s">
        <v>1868</v>
      </c>
      <c r="K119" s="153"/>
    </row>
    <row r="120" spans="1:11" x14ac:dyDescent="0.3">
      <c r="A120" s="87" t="s">
        <v>9226</v>
      </c>
      <c r="B120" s="87" t="s">
        <v>7475</v>
      </c>
      <c r="C120" s="87" t="s">
        <v>9227</v>
      </c>
      <c r="D120" s="87" t="s">
        <v>10</v>
      </c>
      <c r="E120" s="87" t="s">
        <v>4088</v>
      </c>
      <c r="F120" s="87" t="s">
        <v>9228</v>
      </c>
      <c r="G120" s="87" t="s">
        <v>9229</v>
      </c>
      <c r="H120" s="87" t="s">
        <v>9230</v>
      </c>
      <c r="I120" s="87" t="s">
        <v>9231</v>
      </c>
      <c r="J120" s="87" t="s">
        <v>1852</v>
      </c>
      <c r="K120" s="153"/>
    </row>
    <row r="121" spans="1:11" x14ac:dyDescent="0.3">
      <c r="A121" s="87" t="s">
        <v>9232</v>
      </c>
      <c r="B121" s="87" t="s">
        <v>7475</v>
      </c>
      <c r="C121" s="87" t="s">
        <v>9233</v>
      </c>
      <c r="D121" s="87" t="s">
        <v>13</v>
      </c>
      <c r="E121" s="87" t="s">
        <v>4088</v>
      </c>
      <c r="F121" s="87" t="s">
        <v>9234</v>
      </c>
      <c r="G121" s="87" t="s">
        <v>9065</v>
      </c>
      <c r="H121" s="87" t="s">
        <v>9235</v>
      </c>
      <c r="I121" s="87" t="s">
        <v>14</v>
      </c>
      <c r="J121" s="87" t="s">
        <v>1868</v>
      </c>
      <c r="K121" s="153"/>
    </row>
    <row r="122" spans="1:11" x14ac:dyDescent="0.3">
      <c r="A122" s="87" t="s">
        <v>9236</v>
      </c>
      <c r="B122" s="87" t="s">
        <v>7475</v>
      </c>
      <c r="C122" s="87" t="s">
        <v>9237</v>
      </c>
      <c r="D122" s="87" t="s">
        <v>13</v>
      </c>
      <c r="E122" s="87" t="s">
        <v>4088</v>
      </c>
      <c r="F122" s="87" t="s">
        <v>9238</v>
      </c>
      <c r="G122" s="87" t="s">
        <v>8370</v>
      </c>
      <c r="H122" s="87" t="s">
        <v>9239</v>
      </c>
      <c r="I122" s="87" t="s">
        <v>14</v>
      </c>
      <c r="J122" s="87" t="s">
        <v>1868</v>
      </c>
      <c r="K122" s="153"/>
    </row>
    <row r="123" spans="1:11" x14ac:dyDescent="0.3">
      <c r="A123" s="87" t="s">
        <v>9240</v>
      </c>
      <c r="B123" s="87" t="s">
        <v>7475</v>
      </c>
      <c r="C123" s="87" t="s">
        <v>9241</v>
      </c>
      <c r="D123" s="87" t="s">
        <v>13</v>
      </c>
      <c r="E123" s="87" t="s">
        <v>4088</v>
      </c>
      <c r="F123" s="87" t="s">
        <v>9242</v>
      </c>
      <c r="G123" s="87" t="s">
        <v>8370</v>
      </c>
      <c r="H123" s="87" t="s">
        <v>9243</v>
      </c>
      <c r="I123" s="87" t="s">
        <v>14</v>
      </c>
      <c r="J123" s="87" t="s">
        <v>1873</v>
      </c>
      <c r="K123" s="153"/>
    </row>
    <row r="124" spans="1:11" x14ac:dyDescent="0.3">
      <c r="A124" s="87" t="s">
        <v>9244</v>
      </c>
      <c r="B124" s="87" t="s">
        <v>7475</v>
      </c>
      <c r="C124" s="87" t="s">
        <v>9245</v>
      </c>
      <c r="D124" s="87" t="s">
        <v>13</v>
      </c>
      <c r="E124" s="87" t="s">
        <v>4088</v>
      </c>
      <c r="F124" s="87" t="s">
        <v>9246</v>
      </c>
      <c r="G124" s="87" t="s">
        <v>9247</v>
      </c>
      <c r="H124" s="87" t="s">
        <v>9248</v>
      </c>
      <c r="I124" s="87" t="s">
        <v>14</v>
      </c>
      <c r="J124" s="87" t="s">
        <v>1873</v>
      </c>
      <c r="K124" s="153"/>
    </row>
    <row r="125" spans="1:11" x14ac:dyDescent="0.3">
      <c r="A125" s="87" t="s">
        <v>9249</v>
      </c>
      <c r="B125" s="87" t="s">
        <v>7475</v>
      </c>
      <c r="C125" s="87" t="s">
        <v>9250</v>
      </c>
      <c r="D125" s="87" t="s">
        <v>13</v>
      </c>
      <c r="E125" s="87" t="s">
        <v>4088</v>
      </c>
      <c r="F125" s="87" t="s">
        <v>9251</v>
      </c>
      <c r="G125" s="87" t="s">
        <v>9252</v>
      </c>
      <c r="H125" s="87" t="s">
        <v>9253</v>
      </c>
      <c r="I125" s="87" t="s">
        <v>14</v>
      </c>
      <c r="J125" s="87" t="s">
        <v>1873</v>
      </c>
      <c r="K125" s="153"/>
    </row>
    <row r="126" spans="1:11" x14ac:dyDescent="0.3">
      <c r="A126" s="149" t="s">
        <v>9254</v>
      </c>
      <c r="B126" s="149" t="s">
        <v>8392</v>
      </c>
      <c r="C126" s="149" t="s">
        <v>9255</v>
      </c>
      <c r="D126" s="149" t="s">
        <v>13</v>
      </c>
      <c r="E126" s="149" t="s">
        <v>9256</v>
      </c>
      <c r="F126" s="149" t="s">
        <v>9204</v>
      </c>
      <c r="G126" s="149" t="s">
        <v>9116</v>
      </c>
      <c r="H126" s="149" t="s">
        <v>9257</v>
      </c>
      <c r="I126" s="149" t="s">
        <v>9258</v>
      </c>
      <c r="J126" s="149" t="s">
        <v>1852</v>
      </c>
      <c r="K126" s="153"/>
    </row>
    <row r="127" spans="1:11" x14ac:dyDescent="0.3">
      <c r="A127" s="149" t="s">
        <v>9259</v>
      </c>
      <c r="B127" s="149" t="s">
        <v>8392</v>
      </c>
      <c r="C127" s="149" t="s">
        <v>9260</v>
      </c>
      <c r="D127" s="149" t="s">
        <v>13</v>
      </c>
      <c r="E127" s="149" t="s">
        <v>9261</v>
      </c>
      <c r="F127" s="149" t="s">
        <v>9262</v>
      </c>
      <c r="G127" s="149" t="s">
        <v>9263</v>
      </c>
      <c r="H127" s="149" t="s">
        <v>9264</v>
      </c>
      <c r="I127" s="149" t="s">
        <v>97</v>
      </c>
      <c r="J127" s="149" t="s">
        <v>1852</v>
      </c>
      <c r="K127" s="153"/>
    </row>
    <row r="128" spans="1:11" x14ac:dyDescent="0.3">
      <c r="A128" s="149" t="s">
        <v>9265</v>
      </c>
      <c r="B128" s="149" t="s">
        <v>8392</v>
      </c>
      <c r="C128" s="149" t="s">
        <v>9266</v>
      </c>
      <c r="D128" s="149" t="s">
        <v>13</v>
      </c>
      <c r="E128" s="149" t="s">
        <v>4204</v>
      </c>
      <c r="F128" s="149" t="s">
        <v>9267</v>
      </c>
      <c r="G128" s="149" t="s">
        <v>9268</v>
      </c>
      <c r="H128" s="149" t="s">
        <v>9269</v>
      </c>
      <c r="I128" s="149" t="s">
        <v>9270</v>
      </c>
      <c r="J128" s="149" t="s">
        <v>1852</v>
      </c>
      <c r="K128" s="153"/>
    </row>
    <row r="129" spans="1:11" x14ac:dyDescent="0.3">
      <c r="A129" s="149" t="s">
        <v>9271</v>
      </c>
      <c r="B129" s="149" t="s">
        <v>8392</v>
      </c>
      <c r="C129" s="149" t="s">
        <v>9272</v>
      </c>
      <c r="D129" s="149" t="s">
        <v>13</v>
      </c>
      <c r="E129" s="149" t="s">
        <v>4204</v>
      </c>
      <c r="F129" s="149" t="s">
        <v>9273</v>
      </c>
      <c r="G129" s="149" t="s">
        <v>9274</v>
      </c>
      <c r="H129" s="149" t="s">
        <v>9275</v>
      </c>
      <c r="I129" s="149" t="s">
        <v>9276</v>
      </c>
      <c r="J129" s="149" t="s">
        <v>1852</v>
      </c>
      <c r="K129" s="153"/>
    </row>
    <row r="130" spans="1:11" x14ac:dyDescent="0.3">
      <c r="A130" s="149" t="s">
        <v>9277</v>
      </c>
      <c r="B130" s="149" t="s">
        <v>8392</v>
      </c>
      <c r="C130" s="149" t="s">
        <v>9278</v>
      </c>
      <c r="D130" s="149" t="s">
        <v>13</v>
      </c>
      <c r="E130" s="149" t="s">
        <v>9279</v>
      </c>
      <c r="F130" s="149" t="s">
        <v>8765</v>
      </c>
      <c r="G130" s="149" t="s">
        <v>9280</v>
      </c>
      <c r="H130" s="149" t="s">
        <v>9281</v>
      </c>
      <c r="I130" s="149" t="s">
        <v>9282</v>
      </c>
      <c r="J130" s="149" t="s">
        <v>1868</v>
      </c>
      <c r="K130" s="153"/>
    </row>
    <row r="131" spans="1:11" x14ac:dyDescent="0.3">
      <c r="A131" s="149" t="s">
        <v>9283</v>
      </c>
      <c r="B131" s="149" t="s">
        <v>8392</v>
      </c>
      <c r="C131" s="149" t="s">
        <v>9284</v>
      </c>
      <c r="D131" s="149" t="s">
        <v>13</v>
      </c>
      <c r="E131" s="149" t="s">
        <v>4204</v>
      </c>
      <c r="F131" s="149" t="s">
        <v>9285</v>
      </c>
      <c r="G131" s="149" t="s">
        <v>9286</v>
      </c>
      <c r="H131" s="149" t="s">
        <v>9287</v>
      </c>
      <c r="I131" s="149" t="s">
        <v>9288</v>
      </c>
      <c r="J131" s="149" t="s">
        <v>1852</v>
      </c>
      <c r="K131" s="153"/>
    </row>
    <row r="132" spans="1:11" x14ac:dyDescent="0.3">
      <c r="A132" s="149" t="s">
        <v>9289</v>
      </c>
      <c r="B132" s="149" t="s">
        <v>8392</v>
      </c>
      <c r="C132" s="149" t="s">
        <v>9290</v>
      </c>
      <c r="D132" s="149" t="s">
        <v>13</v>
      </c>
      <c r="E132" s="149" t="s">
        <v>9291</v>
      </c>
      <c r="F132" s="149" t="s">
        <v>9292</v>
      </c>
      <c r="G132" s="149" t="s">
        <v>9293</v>
      </c>
      <c r="H132" s="149" t="s">
        <v>9294</v>
      </c>
      <c r="I132" s="149" t="s">
        <v>9295</v>
      </c>
      <c r="J132" s="149" t="s">
        <v>1852</v>
      </c>
      <c r="K132" s="153"/>
    </row>
    <row r="133" spans="1:11" x14ac:dyDescent="0.3">
      <c r="A133" s="149" t="s">
        <v>9296</v>
      </c>
      <c r="B133" s="149" t="s">
        <v>8392</v>
      </c>
      <c r="C133" s="149" t="s">
        <v>9297</v>
      </c>
      <c r="D133" s="149" t="s">
        <v>13</v>
      </c>
      <c r="E133" s="149" t="s">
        <v>4204</v>
      </c>
      <c r="F133" s="149" t="s">
        <v>9298</v>
      </c>
      <c r="G133" s="149" t="s">
        <v>9299</v>
      </c>
      <c r="H133" s="149" t="s">
        <v>9300</v>
      </c>
      <c r="I133" s="149" t="s">
        <v>14</v>
      </c>
      <c r="J133" s="149" t="s">
        <v>1868</v>
      </c>
      <c r="K133" s="153"/>
    </row>
    <row r="134" spans="1:11" x14ac:dyDescent="0.3">
      <c r="A134" s="149" t="s">
        <v>9301</v>
      </c>
      <c r="B134" s="149" t="s">
        <v>8392</v>
      </c>
      <c r="C134" s="149" t="s">
        <v>9302</v>
      </c>
      <c r="D134" s="149" t="s">
        <v>13</v>
      </c>
      <c r="E134" s="149" t="s">
        <v>4204</v>
      </c>
      <c r="F134" s="149" t="s">
        <v>9303</v>
      </c>
      <c r="G134" s="149" t="s">
        <v>9304</v>
      </c>
      <c r="H134" s="149" t="s">
        <v>9305</v>
      </c>
      <c r="I134" s="149" t="s">
        <v>14</v>
      </c>
      <c r="J134" s="149" t="s">
        <v>1868</v>
      </c>
      <c r="K134" s="153"/>
    </row>
    <row r="135" spans="1:11" x14ac:dyDescent="0.3">
      <c r="A135" s="149" t="s">
        <v>9306</v>
      </c>
      <c r="B135" s="149" t="s">
        <v>8392</v>
      </c>
      <c r="C135" s="149" t="s">
        <v>9307</v>
      </c>
      <c r="D135" s="149" t="s">
        <v>21</v>
      </c>
      <c r="E135" s="149" t="s">
        <v>4204</v>
      </c>
      <c r="F135" s="149" t="s">
        <v>9308</v>
      </c>
      <c r="G135" s="149" t="s">
        <v>9309</v>
      </c>
      <c r="H135" s="149" t="s">
        <v>9310</v>
      </c>
      <c r="I135" s="149" t="s">
        <v>9311</v>
      </c>
      <c r="J135" s="149" t="s">
        <v>1868</v>
      </c>
      <c r="K135" s="153"/>
    </row>
    <row r="136" spans="1:11" x14ac:dyDescent="0.3">
      <c r="A136" s="149" t="s">
        <v>9312</v>
      </c>
      <c r="B136" s="149" t="s">
        <v>8392</v>
      </c>
      <c r="C136" s="149" t="s">
        <v>9313</v>
      </c>
      <c r="D136" s="149" t="s">
        <v>21</v>
      </c>
      <c r="E136" s="149" t="s">
        <v>4204</v>
      </c>
      <c r="F136" s="149" t="s">
        <v>9314</v>
      </c>
      <c r="G136" s="149" t="s">
        <v>9315</v>
      </c>
      <c r="H136" s="149" t="s">
        <v>9316</v>
      </c>
      <c r="I136" s="149" t="s">
        <v>14</v>
      </c>
      <c r="J136" s="149" t="s">
        <v>1873</v>
      </c>
      <c r="K136" s="153"/>
    </row>
    <row r="137" spans="1:11" x14ac:dyDescent="0.3">
      <c r="A137" s="149" t="s">
        <v>9317</v>
      </c>
      <c r="B137" s="149" t="s">
        <v>8392</v>
      </c>
      <c r="C137" s="149" t="s">
        <v>9318</v>
      </c>
      <c r="D137" s="149" t="s">
        <v>13</v>
      </c>
      <c r="E137" s="149" t="s">
        <v>4204</v>
      </c>
      <c r="F137" s="149" t="s">
        <v>9319</v>
      </c>
      <c r="G137" s="149" t="s">
        <v>9315</v>
      </c>
      <c r="H137" s="149" t="s">
        <v>9320</v>
      </c>
      <c r="I137" s="149" t="s">
        <v>14</v>
      </c>
      <c r="J137" s="149" t="s">
        <v>1873</v>
      </c>
      <c r="K137" s="153"/>
    </row>
    <row r="138" spans="1:11" x14ac:dyDescent="0.3">
      <c r="A138" s="95" t="s">
        <v>9321</v>
      </c>
      <c r="B138" s="95" t="s">
        <v>9322</v>
      </c>
      <c r="C138" s="95" t="s">
        <v>9323</v>
      </c>
      <c r="D138" s="95" t="s">
        <v>21</v>
      </c>
      <c r="E138" s="95" t="s">
        <v>86</v>
      </c>
      <c r="F138" s="95" t="s">
        <v>9324</v>
      </c>
      <c r="G138" s="95" t="s">
        <v>9325</v>
      </c>
      <c r="H138" s="95" t="s">
        <v>9326</v>
      </c>
      <c r="I138" s="95" t="s">
        <v>90</v>
      </c>
      <c r="J138" s="95" t="s">
        <v>1852</v>
      </c>
      <c r="K138" s="153"/>
    </row>
    <row r="139" spans="1:11" x14ac:dyDescent="0.3">
      <c r="A139" s="95" t="s">
        <v>9327</v>
      </c>
      <c r="B139" s="95" t="s">
        <v>9322</v>
      </c>
      <c r="C139" s="95" t="s">
        <v>9328</v>
      </c>
      <c r="D139" s="95" t="s">
        <v>21</v>
      </c>
      <c r="E139" s="95" t="s">
        <v>86</v>
      </c>
      <c r="F139" s="95" t="s">
        <v>9329</v>
      </c>
      <c r="G139" s="95" t="s">
        <v>9330</v>
      </c>
      <c r="H139" s="95" t="s">
        <v>9331</v>
      </c>
      <c r="I139" s="95" t="s">
        <v>14</v>
      </c>
      <c r="J139" s="95" t="s">
        <v>1852</v>
      </c>
      <c r="K139" s="153"/>
    </row>
    <row r="140" spans="1:11" x14ac:dyDescent="0.3">
      <c r="A140" s="95" t="s">
        <v>9332</v>
      </c>
      <c r="B140" s="95" t="s">
        <v>9322</v>
      </c>
      <c r="C140" s="95" t="s">
        <v>9333</v>
      </c>
      <c r="D140" s="95" t="s">
        <v>21</v>
      </c>
      <c r="E140" s="95" t="s">
        <v>106</v>
      </c>
      <c r="F140" s="95" t="s">
        <v>9334</v>
      </c>
      <c r="G140" s="95" t="s">
        <v>48</v>
      </c>
      <c r="H140" s="95" t="s">
        <v>9335</v>
      </c>
      <c r="I140" s="95" t="s">
        <v>14</v>
      </c>
      <c r="J140" s="95" t="s">
        <v>1868</v>
      </c>
      <c r="K140" s="153"/>
    </row>
    <row r="141" spans="1:11" x14ac:dyDescent="0.3">
      <c r="A141" s="95" t="s">
        <v>9336</v>
      </c>
      <c r="B141" s="95" t="s">
        <v>9322</v>
      </c>
      <c r="C141" s="95" t="s">
        <v>9337</v>
      </c>
      <c r="D141" s="95" t="s">
        <v>21</v>
      </c>
      <c r="E141" s="95" t="s">
        <v>122</v>
      </c>
      <c r="F141" s="95" t="s">
        <v>9338</v>
      </c>
      <c r="G141" s="95" t="s">
        <v>48</v>
      </c>
      <c r="H141" s="95" t="s">
        <v>9339</v>
      </c>
      <c r="I141" s="95" t="s">
        <v>14</v>
      </c>
      <c r="J141" s="95" t="s">
        <v>1868</v>
      </c>
      <c r="K141" s="153"/>
    </row>
    <row r="142" spans="1:11" x14ac:dyDescent="0.3">
      <c r="A142" s="95" t="s">
        <v>9340</v>
      </c>
      <c r="B142" s="95" t="s">
        <v>9322</v>
      </c>
      <c r="C142" s="95" t="s">
        <v>9341</v>
      </c>
      <c r="D142" s="95" t="s">
        <v>21</v>
      </c>
      <c r="E142" s="95" t="s">
        <v>122</v>
      </c>
      <c r="F142" s="95" t="s">
        <v>9342</v>
      </c>
      <c r="G142" s="95" t="s">
        <v>9343</v>
      </c>
      <c r="H142" s="95" t="s">
        <v>9344</v>
      </c>
      <c r="I142" s="95" t="s">
        <v>14</v>
      </c>
      <c r="J142" s="95" t="s">
        <v>1868</v>
      </c>
      <c r="K142" s="153"/>
    </row>
    <row r="143" spans="1:11" x14ac:dyDescent="0.3">
      <c r="A143" s="95" t="s">
        <v>9345</v>
      </c>
      <c r="B143" s="95" t="s">
        <v>9322</v>
      </c>
      <c r="C143" s="95" t="s">
        <v>9346</v>
      </c>
      <c r="D143" s="95" t="s">
        <v>21</v>
      </c>
      <c r="E143" s="95" t="s">
        <v>1577</v>
      </c>
      <c r="F143" s="95" t="s">
        <v>9347</v>
      </c>
      <c r="G143" s="95" t="s">
        <v>9348</v>
      </c>
      <c r="H143" s="95" t="s">
        <v>9349</v>
      </c>
      <c r="I143" s="95" t="s">
        <v>14</v>
      </c>
      <c r="J143" s="95" t="s">
        <v>1868</v>
      </c>
      <c r="K143" s="153"/>
    </row>
    <row r="144" spans="1:11" x14ac:dyDescent="0.3">
      <c r="A144" s="95" t="s">
        <v>9350</v>
      </c>
      <c r="B144" s="95" t="s">
        <v>9322</v>
      </c>
      <c r="C144" s="95" t="s">
        <v>9351</v>
      </c>
      <c r="D144" s="95" t="s">
        <v>21</v>
      </c>
      <c r="E144" s="95" t="s">
        <v>195</v>
      </c>
      <c r="F144" s="95" t="s">
        <v>9352</v>
      </c>
      <c r="G144" s="95" t="s">
        <v>9353</v>
      </c>
      <c r="H144" s="95" t="s">
        <v>9354</v>
      </c>
      <c r="I144" s="95" t="s">
        <v>14</v>
      </c>
      <c r="J144" s="95" t="s">
        <v>1868</v>
      </c>
      <c r="K144" s="153"/>
    </row>
    <row r="145" spans="1:11" x14ac:dyDescent="0.3">
      <c r="A145" s="95" t="s">
        <v>9355</v>
      </c>
      <c r="B145" s="95" t="s">
        <v>9322</v>
      </c>
      <c r="C145" s="95" t="s">
        <v>9356</v>
      </c>
      <c r="D145" s="95" t="s">
        <v>13</v>
      </c>
      <c r="E145" s="95" t="s">
        <v>597</v>
      </c>
      <c r="F145" s="95" t="s">
        <v>9357</v>
      </c>
      <c r="G145" s="95" t="s">
        <v>9358</v>
      </c>
      <c r="H145" s="95" t="s">
        <v>9359</v>
      </c>
      <c r="I145" s="95" t="s">
        <v>14</v>
      </c>
      <c r="J145" s="95" t="s">
        <v>1852</v>
      </c>
      <c r="K145" s="153"/>
    </row>
    <row r="146" spans="1:11" x14ac:dyDescent="0.3">
      <c r="A146" s="95" t="s">
        <v>9360</v>
      </c>
      <c r="B146" s="95" t="s">
        <v>9322</v>
      </c>
      <c r="C146" s="95" t="s">
        <v>9361</v>
      </c>
      <c r="D146" s="95" t="s">
        <v>13</v>
      </c>
      <c r="E146" s="95" t="s">
        <v>597</v>
      </c>
      <c r="F146" s="95" t="s">
        <v>9362</v>
      </c>
      <c r="G146" s="95" t="s">
        <v>9358</v>
      </c>
      <c r="H146" s="95" t="s">
        <v>9363</v>
      </c>
      <c r="I146" s="95" t="s">
        <v>14</v>
      </c>
      <c r="J146" s="95" t="s">
        <v>1852</v>
      </c>
      <c r="K146" s="153"/>
    </row>
    <row r="147" spans="1:11" x14ac:dyDescent="0.3">
      <c r="A147" s="95" t="s">
        <v>9364</v>
      </c>
      <c r="B147" s="95" t="s">
        <v>9322</v>
      </c>
      <c r="C147" s="95" t="s">
        <v>9365</v>
      </c>
      <c r="D147" s="95" t="s">
        <v>13</v>
      </c>
      <c r="E147" s="95" t="s">
        <v>597</v>
      </c>
      <c r="F147" s="95" t="s">
        <v>9366</v>
      </c>
      <c r="G147" s="95" t="s">
        <v>9358</v>
      </c>
      <c r="H147" s="95" t="s">
        <v>9367</v>
      </c>
      <c r="I147" s="95" t="s">
        <v>14</v>
      </c>
      <c r="J147" s="95" t="s">
        <v>1852</v>
      </c>
      <c r="K147" s="153"/>
    </row>
    <row r="148" spans="1:11" x14ac:dyDescent="0.3">
      <c r="A148" s="95" t="s">
        <v>9368</v>
      </c>
      <c r="B148" s="95" t="s">
        <v>9322</v>
      </c>
      <c r="C148" s="95" t="s">
        <v>9369</v>
      </c>
      <c r="D148" s="95" t="s">
        <v>21</v>
      </c>
      <c r="E148" s="95" t="s">
        <v>106</v>
      </c>
      <c r="F148" s="95" t="s">
        <v>9370</v>
      </c>
      <c r="G148" s="95" t="s">
        <v>9371</v>
      </c>
      <c r="H148" s="95" t="s">
        <v>9372</v>
      </c>
      <c r="I148" s="95" t="s">
        <v>14</v>
      </c>
      <c r="J148" s="95" t="s">
        <v>1868</v>
      </c>
      <c r="K148" s="153"/>
    </row>
    <row r="149" spans="1:11" x14ac:dyDescent="0.3">
      <c r="A149" s="95" t="s">
        <v>9373</v>
      </c>
      <c r="B149" s="95" t="s">
        <v>9322</v>
      </c>
      <c r="C149" s="95" t="s">
        <v>9374</v>
      </c>
      <c r="D149" s="95" t="s">
        <v>21</v>
      </c>
      <c r="E149" s="95" t="s">
        <v>106</v>
      </c>
      <c r="F149" s="95" t="s">
        <v>9375</v>
      </c>
      <c r="G149" s="95" t="s">
        <v>9371</v>
      </c>
      <c r="H149" s="95" t="s">
        <v>9376</v>
      </c>
      <c r="I149" s="95" t="s">
        <v>9377</v>
      </c>
      <c r="J149" s="95" t="s">
        <v>1868</v>
      </c>
      <c r="K149" s="153"/>
    </row>
    <row r="150" spans="1:11" x14ac:dyDescent="0.3">
      <c r="A150" s="95" t="s">
        <v>9378</v>
      </c>
      <c r="B150" s="95" t="s">
        <v>9322</v>
      </c>
      <c r="C150" s="95" t="s">
        <v>9379</v>
      </c>
      <c r="D150" s="95" t="s">
        <v>21</v>
      </c>
      <c r="E150" s="95" t="s">
        <v>152</v>
      </c>
      <c r="F150" s="95" t="s">
        <v>9380</v>
      </c>
      <c r="G150" s="95" t="s">
        <v>9381</v>
      </c>
      <c r="H150" s="95" t="s">
        <v>9382</v>
      </c>
      <c r="I150" s="95" t="s">
        <v>9383</v>
      </c>
      <c r="J150" s="95" t="s">
        <v>1852</v>
      </c>
      <c r="K150" s="153"/>
    </row>
    <row r="151" spans="1:11" x14ac:dyDescent="0.3">
      <c r="A151" s="95" t="s">
        <v>9384</v>
      </c>
      <c r="B151" s="95" t="s">
        <v>9322</v>
      </c>
      <c r="C151" s="95" t="s">
        <v>9385</v>
      </c>
      <c r="D151" s="95" t="s">
        <v>21</v>
      </c>
      <c r="E151" s="95" t="s">
        <v>152</v>
      </c>
      <c r="F151" s="95" t="s">
        <v>9386</v>
      </c>
      <c r="G151" s="95" t="s">
        <v>9387</v>
      </c>
      <c r="H151" s="95" t="s">
        <v>9388</v>
      </c>
      <c r="I151" s="95" t="s">
        <v>163</v>
      </c>
      <c r="J151" s="95" t="s">
        <v>1852</v>
      </c>
      <c r="K151" s="153"/>
    </row>
    <row r="152" spans="1:11" x14ac:dyDescent="0.3">
      <c r="A152" s="95" t="s">
        <v>9389</v>
      </c>
      <c r="B152" s="95" t="s">
        <v>9322</v>
      </c>
      <c r="C152" s="95" t="s">
        <v>9390</v>
      </c>
      <c r="D152" s="95" t="s">
        <v>21</v>
      </c>
      <c r="E152" s="95" t="s">
        <v>176</v>
      </c>
      <c r="F152" s="95" t="s">
        <v>9391</v>
      </c>
      <c r="G152" s="95" t="s">
        <v>9392</v>
      </c>
      <c r="H152" s="95" t="s">
        <v>9393</v>
      </c>
      <c r="I152" s="95" t="s">
        <v>14</v>
      </c>
      <c r="J152" s="95" t="s">
        <v>1868</v>
      </c>
      <c r="K152" s="153"/>
    </row>
    <row r="153" spans="1:11" x14ac:dyDescent="0.3">
      <c r="A153" s="95" t="s">
        <v>9394</v>
      </c>
      <c r="B153" s="95" t="s">
        <v>9322</v>
      </c>
      <c r="C153" s="95" t="s">
        <v>9395</v>
      </c>
      <c r="D153" s="95" t="s">
        <v>21</v>
      </c>
      <c r="E153" s="95" t="s">
        <v>134</v>
      </c>
      <c r="F153" s="95" t="s">
        <v>9396</v>
      </c>
      <c r="G153" s="95" t="s">
        <v>9397</v>
      </c>
      <c r="H153" s="95" t="s">
        <v>9398</v>
      </c>
      <c r="I153" s="95" t="s">
        <v>9399</v>
      </c>
      <c r="J153" s="95" t="s">
        <v>1852</v>
      </c>
      <c r="K153" s="153"/>
    </row>
    <row r="154" spans="1:11" x14ac:dyDescent="0.3">
      <c r="A154" s="95" t="s">
        <v>9400</v>
      </c>
      <c r="B154" s="95" t="s">
        <v>9322</v>
      </c>
      <c r="C154" s="95" t="s">
        <v>9401</v>
      </c>
      <c r="D154" s="95" t="s">
        <v>21</v>
      </c>
      <c r="E154" s="95" t="s">
        <v>134</v>
      </c>
      <c r="F154" s="95" t="s">
        <v>9402</v>
      </c>
      <c r="G154" s="95" t="s">
        <v>9403</v>
      </c>
      <c r="H154" s="95" t="s">
        <v>9404</v>
      </c>
      <c r="I154" s="95" t="s">
        <v>14</v>
      </c>
      <c r="J154" s="95" t="s">
        <v>1868</v>
      </c>
      <c r="K154" s="153"/>
    </row>
    <row r="155" spans="1:11" x14ac:dyDescent="0.3">
      <c r="A155" s="95" t="s">
        <v>9405</v>
      </c>
      <c r="B155" s="95" t="s">
        <v>9322</v>
      </c>
      <c r="C155" s="95" t="s">
        <v>9406</v>
      </c>
      <c r="D155" s="95" t="s">
        <v>21</v>
      </c>
      <c r="E155" s="95" t="s">
        <v>195</v>
      </c>
      <c r="F155" s="95" t="s">
        <v>9407</v>
      </c>
      <c r="G155" s="95" t="s">
        <v>9408</v>
      </c>
      <c r="H155" s="95" t="s">
        <v>9409</v>
      </c>
      <c r="I155" s="95" t="s">
        <v>9410</v>
      </c>
      <c r="J155" s="95" t="s">
        <v>1868</v>
      </c>
      <c r="K155" s="153"/>
    </row>
    <row r="156" spans="1:11" x14ac:dyDescent="0.3">
      <c r="A156" s="95" t="s">
        <v>9411</v>
      </c>
      <c r="B156" s="95" t="s">
        <v>9322</v>
      </c>
      <c r="C156" s="95" t="s">
        <v>9412</v>
      </c>
      <c r="D156" s="95" t="s">
        <v>10</v>
      </c>
      <c r="E156" s="95" t="s">
        <v>152</v>
      </c>
      <c r="F156" s="95" t="s">
        <v>9413</v>
      </c>
      <c r="G156" s="95" t="s">
        <v>9414</v>
      </c>
      <c r="H156" s="95" t="s">
        <v>9415</v>
      </c>
      <c r="I156" s="95" t="s">
        <v>14</v>
      </c>
      <c r="J156" s="95" t="s">
        <v>1852</v>
      </c>
      <c r="K156" s="153"/>
    </row>
    <row r="157" spans="1:11" x14ac:dyDescent="0.3">
      <c r="A157" s="95" t="s">
        <v>9416</v>
      </c>
      <c r="B157" s="95" t="s">
        <v>9322</v>
      </c>
      <c r="C157" s="95" t="s">
        <v>9417</v>
      </c>
      <c r="D157" s="95" t="s">
        <v>10</v>
      </c>
      <c r="E157" s="95" t="s">
        <v>152</v>
      </c>
      <c r="F157" s="95" t="s">
        <v>9418</v>
      </c>
      <c r="G157" s="95" t="s">
        <v>9419</v>
      </c>
      <c r="H157" s="95" t="s">
        <v>168</v>
      </c>
      <c r="I157" s="95" t="s">
        <v>14</v>
      </c>
      <c r="J157" s="95" t="s">
        <v>1852</v>
      </c>
      <c r="K157" s="153"/>
    </row>
    <row r="158" spans="1:11" x14ac:dyDescent="0.3">
      <c r="K158" s="153"/>
    </row>
    <row r="159" spans="1:11" x14ac:dyDescent="0.3">
      <c r="K159" s="153"/>
    </row>
    <row r="160" spans="1:11" x14ac:dyDescent="0.3">
      <c r="K160" s="153"/>
    </row>
    <row r="161" spans="1:11" ht="18" x14ac:dyDescent="0.35">
      <c r="A161" s="151" t="s">
        <v>9420</v>
      </c>
      <c r="B161" s="151"/>
      <c r="K161" s="153"/>
    </row>
    <row r="162" spans="1:11" x14ac:dyDescent="0.3">
      <c r="A162" s="16" t="s">
        <v>5883</v>
      </c>
      <c r="B162">
        <f>COUNTA(A2:A157)</f>
        <v>156</v>
      </c>
      <c r="K162" s="153"/>
    </row>
    <row r="163" spans="1:11" x14ac:dyDescent="0.3">
      <c r="A163" s="16" t="s">
        <v>9421</v>
      </c>
      <c r="B163">
        <f>COUNTIF(D2:D157,"P")</f>
        <v>100</v>
      </c>
      <c r="K163" s="153"/>
    </row>
    <row r="164" spans="1:11" x14ac:dyDescent="0.3">
      <c r="A164" s="16" t="s">
        <v>9422</v>
      </c>
      <c r="B164">
        <f>COUNTIF(D2:D157,"N")</f>
        <v>33</v>
      </c>
      <c r="K164" s="153"/>
    </row>
    <row r="165" spans="1:11" x14ac:dyDescent="0.3">
      <c r="A165" s="16" t="s">
        <v>9423</v>
      </c>
      <c r="B165">
        <f>COUNTIF(D2:D157,"E")</f>
        <v>23</v>
      </c>
      <c r="K165" s="153"/>
    </row>
    <row r="166" spans="1:11" x14ac:dyDescent="0.3">
      <c r="K166" s="153"/>
    </row>
    <row r="167" spans="1:11" x14ac:dyDescent="0.3">
      <c r="A167" s="16" t="s">
        <v>9424</v>
      </c>
      <c r="B167">
        <f>COUNTIF(J2:J157,"P1")</f>
        <v>108</v>
      </c>
      <c r="K167" s="153"/>
    </row>
    <row r="168" spans="1:11" x14ac:dyDescent="0.3">
      <c r="A168" s="16" t="s">
        <v>9425</v>
      </c>
      <c r="B168">
        <f>COUNTIF(J2:J157,"P2")</f>
        <v>43</v>
      </c>
      <c r="K168" s="153"/>
    </row>
    <row r="169" spans="1:11" x14ac:dyDescent="0.3">
      <c r="A169" s="16" t="s">
        <v>9426</v>
      </c>
      <c r="B169">
        <f>COUNTIF(J2:J157,"P3")</f>
        <v>5</v>
      </c>
      <c r="K169" s="153"/>
    </row>
    <row r="170" spans="1:11" x14ac:dyDescent="0.3">
      <c r="K170" s="153"/>
    </row>
    <row r="171" spans="1:11" x14ac:dyDescent="0.3">
      <c r="A171" s="16" t="s">
        <v>9427</v>
      </c>
      <c r="K171" s="153"/>
    </row>
    <row r="172" spans="1:11" x14ac:dyDescent="0.3">
      <c r="A172" t="s">
        <v>8641</v>
      </c>
      <c r="B172">
        <f>COUNTIF(B2:B157,"1.*")</f>
        <v>18</v>
      </c>
      <c r="K172" s="153"/>
    </row>
    <row r="173" spans="1:11" x14ac:dyDescent="0.3">
      <c r="A173" t="s">
        <v>9428</v>
      </c>
      <c r="B173">
        <f>COUNTIF(B2:B157,"2.*")</f>
        <v>12</v>
      </c>
      <c r="K173" s="153"/>
    </row>
    <row r="174" spans="1:11" x14ac:dyDescent="0.3">
      <c r="A174" t="s">
        <v>9429</v>
      </c>
      <c r="B174">
        <f>COUNTIF(B2:B157,"3.*")</f>
        <v>12</v>
      </c>
      <c r="K174" s="153"/>
    </row>
    <row r="175" spans="1:11" x14ac:dyDescent="0.3">
      <c r="A175" t="s">
        <v>9430</v>
      </c>
      <c r="B175">
        <f>COUNTIF(B2:B157,"4.*")</f>
        <v>16</v>
      </c>
      <c r="K175" s="153"/>
    </row>
    <row r="176" spans="1:11" x14ac:dyDescent="0.3">
      <c r="A176" t="s">
        <v>8941</v>
      </c>
      <c r="B176">
        <f>COUNTIF(B2:B157,"5.*")</f>
        <v>16</v>
      </c>
      <c r="K176" s="153"/>
    </row>
    <row r="177" spans="1:11" x14ac:dyDescent="0.3">
      <c r="A177" t="s">
        <v>9026</v>
      </c>
      <c r="B177">
        <f>COUNTIF(B2:B157,"6.*")</f>
        <v>12</v>
      </c>
      <c r="K177" s="153"/>
    </row>
    <row r="178" spans="1:11" x14ac:dyDescent="0.3">
      <c r="A178" t="s">
        <v>8193</v>
      </c>
      <c r="B178">
        <f>COUNTIF(B2:B157,"7.*")</f>
        <v>14</v>
      </c>
      <c r="K178" s="153"/>
    </row>
    <row r="179" spans="1:11" x14ac:dyDescent="0.3">
      <c r="A179" t="s">
        <v>8275</v>
      </c>
      <c r="B179">
        <f>COUNTIF(B2:B157,"8.*")</f>
        <v>12</v>
      </c>
      <c r="K179" s="153"/>
    </row>
    <row r="180" spans="1:11" x14ac:dyDescent="0.3">
      <c r="A180" t="s">
        <v>7475</v>
      </c>
      <c r="B180">
        <f>COUNTIF(B2:B157,"9.*")</f>
        <v>12</v>
      </c>
      <c r="K180" s="153"/>
    </row>
    <row r="181" spans="1:11" x14ac:dyDescent="0.3">
      <c r="A181" t="s">
        <v>8392</v>
      </c>
      <c r="B181">
        <f>COUNTIF(B2:B157,"10.*")</f>
        <v>12</v>
      </c>
      <c r="K181" s="153"/>
    </row>
    <row r="182" spans="1:11" x14ac:dyDescent="0.3">
      <c r="A182" t="s">
        <v>9322</v>
      </c>
      <c r="B182">
        <f>COUNTIF(B2:B157,"11.*")</f>
        <v>20</v>
      </c>
      <c r="K182" s="153"/>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352D-BB54-4DE9-A20A-56B5B47D983D}">
  <dimension ref="A1:K187"/>
  <sheetViews>
    <sheetView workbookViewId="0">
      <pane ySplit="1" topLeftCell="A2" activePane="bottomLeft" state="frozen"/>
      <selection pane="bottomLeft"/>
    </sheetView>
  </sheetViews>
  <sheetFormatPr defaultRowHeight="14.4" x14ac:dyDescent="0.3"/>
  <cols>
    <col min="1" max="1" width="15.77734375" customWidth="1"/>
    <col min="2" max="2" width="37" customWidth="1"/>
    <col min="3" max="3" width="51.88671875" customWidth="1"/>
    <col min="4" max="4" width="9.21875" customWidth="1"/>
    <col min="5" max="5" width="22.21875" customWidth="1"/>
    <col min="6" max="9" width="51.88671875" customWidth="1"/>
    <col min="10" max="10" width="11.109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9431</v>
      </c>
      <c r="B2" s="46" t="s">
        <v>9432</v>
      </c>
      <c r="C2" s="46" t="s">
        <v>9433</v>
      </c>
      <c r="D2" s="46" t="s">
        <v>13</v>
      </c>
      <c r="E2" s="46" t="s">
        <v>43</v>
      </c>
      <c r="F2" s="46" t="s">
        <v>9434</v>
      </c>
      <c r="G2" s="46" t="s">
        <v>9435</v>
      </c>
      <c r="H2" s="46" t="s">
        <v>9436</v>
      </c>
      <c r="I2" s="46" t="s">
        <v>9437</v>
      </c>
      <c r="J2" s="46" t="s">
        <v>1852</v>
      </c>
      <c r="K2" s="153"/>
    </row>
    <row r="3" spans="1:11" x14ac:dyDescent="0.3">
      <c r="A3" s="46" t="s">
        <v>9438</v>
      </c>
      <c r="B3" s="46" t="s">
        <v>9432</v>
      </c>
      <c r="C3" s="46" t="s">
        <v>9439</v>
      </c>
      <c r="D3" s="46" t="s">
        <v>13</v>
      </c>
      <c r="E3" s="46" t="s">
        <v>43</v>
      </c>
      <c r="F3" s="46" t="s">
        <v>9440</v>
      </c>
      <c r="G3" s="46" t="s">
        <v>9435</v>
      </c>
      <c r="H3" s="46" t="s">
        <v>9441</v>
      </c>
      <c r="I3" s="46" t="s">
        <v>14</v>
      </c>
      <c r="J3" s="46" t="s">
        <v>1852</v>
      </c>
      <c r="K3" s="153"/>
    </row>
    <row r="4" spans="1:11" x14ac:dyDescent="0.3">
      <c r="A4" s="46" t="s">
        <v>9442</v>
      </c>
      <c r="B4" s="46" t="s">
        <v>9432</v>
      </c>
      <c r="C4" s="46" t="s">
        <v>9443</v>
      </c>
      <c r="D4" s="46" t="s">
        <v>13</v>
      </c>
      <c r="E4" s="46" t="s">
        <v>9444</v>
      </c>
      <c r="F4" s="46" t="s">
        <v>9445</v>
      </c>
      <c r="G4" s="46" t="s">
        <v>9446</v>
      </c>
      <c r="H4" s="46" t="s">
        <v>9447</v>
      </c>
      <c r="I4" s="46" t="s">
        <v>14</v>
      </c>
      <c r="J4" s="46" t="s">
        <v>1852</v>
      </c>
      <c r="K4" s="153"/>
    </row>
    <row r="5" spans="1:11" x14ac:dyDescent="0.3">
      <c r="A5" s="46" t="s">
        <v>9448</v>
      </c>
      <c r="B5" s="46" t="s">
        <v>9432</v>
      </c>
      <c r="C5" s="46" t="s">
        <v>9449</v>
      </c>
      <c r="D5" s="46" t="s">
        <v>13</v>
      </c>
      <c r="E5" s="46" t="s">
        <v>9444</v>
      </c>
      <c r="F5" s="46" t="s">
        <v>9445</v>
      </c>
      <c r="G5" s="46" t="s">
        <v>9446</v>
      </c>
      <c r="H5" s="46" t="s">
        <v>9450</v>
      </c>
      <c r="I5" s="46" t="s">
        <v>14</v>
      </c>
      <c r="J5" s="46" t="s">
        <v>1852</v>
      </c>
      <c r="K5" s="153"/>
    </row>
    <row r="6" spans="1:11" x14ac:dyDescent="0.3">
      <c r="A6" s="46" t="s">
        <v>9451</v>
      </c>
      <c r="B6" s="46" t="s">
        <v>9432</v>
      </c>
      <c r="C6" s="46" t="s">
        <v>9452</v>
      </c>
      <c r="D6" s="46" t="s">
        <v>13</v>
      </c>
      <c r="E6" s="46" t="s">
        <v>9444</v>
      </c>
      <c r="F6" s="46" t="s">
        <v>9445</v>
      </c>
      <c r="G6" s="46" t="s">
        <v>9446</v>
      </c>
      <c r="H6" s="46" t="s">
        <v>9453</v>
      </c>
      <c r="I6" s="46" t="s">
        <v>14</v>
      </c>
      <c r="J6" s="46" t="s">
        <v>1852</v>
      </c>
      <c r="K6" s="153"/>
    </row>
    <row r="7" spans="1:11" x14ac:dyDescent="0.3">
      <c r="A7" s="46" t="s">
        <v>9454</v>
      </c>
      <c r="B7" s="46" t="s">
        <v>9432</v>
      </c>
      <c r="C7" s="46" t="s">
        <v>9455</v>
      </c>
      <c r="D7" s="46" t="s">
        <v>13</v>
      </c>
      <c r="E7" s="46" t="s">
        <v>1577</v>
      </c>
      <c r="F7" s="46" t="s">
        <v>9456</v>
      </c>
      <c r="G7" s="46" t="s">
        <v>9457</v>
      </c>
      <c r="H7" s="46" t="s">
        <v>9458</v>
      </c>
      <c r="I7" s="46" t="s">
        <v>14</v>
      </c>
      <c r="J7" s="46" t="s">
        <v>1852</v>
      </c>
      <c r="K7" s="153"/>
    </row>
    <row r="8" spans="1:11" x14ac:dyDescent="0.3">
      <c r="A8" s="46" t="s">
        <v>9459</v>
      </c>
      <c r="B8" s="46" t="s">
        <v>9432</v>
      </c>
      <c r="C8" s="46" t="s">
        <v>9460</v>
      </c>
      <c r="D8" s="46" t="s">
        <v>13</v>
      </c>
      <c r="E8" s="46" t="s">
        <v>9461</v>
      </c>
      <c r="F8" s="46" t="s">
        <v>9445</v>
      </c>
      <c r="G8" s="46" t="s">
        <v>9457</v>
      </c>
      <c r="H8" s="46" t="s">
        <v>9462</v>
      </c>
      <c r="I8" s="46" t="s">
        <v>9463</v>
      </c>
      <c r="J8" s="46" t="s">
        <v>1852</v>
      </c>
      <c r="K8" s="153"/>
    </row>
    <row r="9" spans="1:11" x14ac:dyDescent="0.3">
      <c r="A9" s="46" t="s">
        <v>9464</v>
      </c>
      <c r="B9" s="46" t="s">
        <v>9432</v>
      </c>
      <c r="C9" s="46" t="s">
        <v>9465</v>
      </c>
      <c r="D9" s="46" t="s">
        <v>13</v>
      </c>
      <c r="E9" s="46" t="s">
        <v>9444</v>
      </c>
      <c r="F9" s="46" t="s">
        <v>9445</v>
      </c>
      <c r="G9" s="46" t="s">
        <v>9446</v>
      </c>
      <c r="H9" s="46" t="s">
        <v>9466</v>
      </c>
      <c r="I9" s="46" t="s">
        <v>14</v>
      </c>
      <c r="J9" s="46" t="s">
        <v>1868</v>
      </c>
      <c r="K9" s="153"/>
    </row>
    <row r="10" spans="1:11" x14ac:dyDescent="0.3">
      <c r="A10" s="46" t="s">
        <v>9467</v>
      </c>
      <c r="B10" s="46" t="s">
        <v>9432</v>
      </c>
      <c r="C10" s="46" t="s">
        <v>9468</v>
      </c>
      <c r="D10" s="46" t="s">
        <v>13</v>
      </c>
      <c r="E10" s="46" t="s">
        <v>43</v>
      </c>
      <c r="F10" s="46" t="s">
        <v>9469</v>
      </c>
      <c r="G10" s="46" t="s">
        <v>9435</v>
      </c>
      <c r="H10" s="46" t="s">
        <v>9470</v>
      </c>
      <c r="I10" s="46" t="s">
        <v>14</v>
      </c>
      <c r="J10" s="46" t="s">
        <v>1852</v>
      </c>
      <c r="K10" s="153"/>
    </row>
    <row r="11" spans="1:11" x14ac:dyDescent="0.3">
      <c r="A11" s="46" t="s">
        <v>9471</v>
      </c>
      <c r="B11" s="46" t="s">
        <v>9432</v>
      </c>
      <c r="C11" s="46" t="s">
        <v>9472</v>
      </c>
      <c r="D11" s="46" t="s">
        <v>13</v>
      </c>
      <c r="E11" s="46" t="s">
        <v>43</v>
      </c>
      <c r="F11" s="46" t="s">
        <v>9473</v>
      </c>
      <c r="G11" s="46" t="s">
        <v>9474</v>
      </c>
      <c r="H11" s="46" t="s">
        <v>9475</v>
      </c>
      <c r="I11" s="46" t="s">
        <v>14</v>
      </c>
      <c r="J11" s="46" t="s">
        <v>1868</v>
      </c>
      <c r="K11" s="153"/>
    </row>
    <row r="12" spans="1:11" x14ac:dyDescent="0.3">
      <c r="A12" s="46" t="s">
        <v>9476</v>
      </c>
      <c r="B12" s="46" t="s">
        <v>9432</v>
      </c>
      <c r="C12" s="46" t="s">
        <v>9477</v>
      </c>
      <c r="D12" s="46" t="s">
        <v>13</v>
      </c>
      <c r="E12" s="46" t="s">
        <v>42</v>
      </c>
      <c r="F12" s="46" t="s">
        <v>9478</v>
      </c>
      <c r="G12" s="46" t="s">
        <v>9479</v>
      </c>
      <c r="H12" s="46" t="s">
        <v>9480</v>
      </c>
      <c r="I12" s="46" t="s">
        <v>9481</v>
      </c>
      <c r="J12" s="46" t="s">
        <v>1852</v>
      </c>
      <c r="K12" s="153"/>
    </row>
    <row r="13" spans="1:11" x14ac:dyDescent="0.3">
      <c r="A13" s="46" t="s">
        <v>9482</v>
      </c>
      <c r="B13" s="46" t="s">
        <v>9432</v>
      </c>
      <c r="C13" s="46" t="s">
        <v>9483</v>
      </c>
      <c r="D13" s="46" t="s">
        <v>13</v>
      </c>
      <c r="E13" s="46" t="s">
        <v>42</v>
      </c>
      <c r="F13" s="46" t="s">
        <v>9484</v>
      </c>
      <c r="G13" s="46" t="s">
        <v>9479</v>
      </c>
      <c r="H13" s="46" t="s">
        <v>9485</v>
      </c>
      <c r="I13" s="46" t="s">
        <v>14</v>
      </c>
      <c r="J13" s="46" t="s">
        <v>1852</v>
      </c>
      <c r="K13" s="153"/>
    </row>
    <row r="14" spans="1:11" x14ac:dyDescent="0.3">
      <c r="A14" s="46" t="s">
        <v>9486</v>
      </c>
      <c r="B14" s="46" t="s">
        <v>9432</v>
      </c>
      <c r="C14" s="46" t="s">
        <v>9487</v>
      </c>
      <c r="D14" s="46" t="s">
        <v>21</v>
      </c>
      <c r="E14" s="46" t="s">
        <v>9488</v>
      </c>
      <c r="F14" s="46" t="s">
        <v>9489</v>
      </c>
      <c r="G14" s="46" t="s">
        <v>9435</v>
      </c>
      <c r="H14" s="46" t="s">
        <v>9490</v>
      </c>
      <c r="I14" s="46" t="s">
        <v>9491</v>
      </c>
      <c r="J14" s="46" t="s">
        <v>1852</v>
      </c>
      <c r="K14" s="153"/>
    </row>
    <row r="15" spans="1:11" x14ac:dyDescent="0.3">
      <c r="A15" s="46" t="s">
        <v>9492</v>
      </c>
      <c r="B15" s="46" t="s">
        <v>9432</v>
      </c>
      <c r="C15" s="46" t="s">
        <v>9493</v>
      </c>
      <c r="D15" s="46" t="s">
        <v>21</v>
      </c>
      <c r="E15" s="46" t="s">
        <v>43</v>
      </c>
      <c r="F15" s="46" t="s">
        <v>9494</v>
      </c>
      <c r="G15" s="46" t="s">
        <v>9435</v>
      </c>
      <c r="H15" s="46" t="s">
        <v>9495</v>
      </c>
      <c r="I15" s="46" t="s">
        <v>9496</v>
      </c>
      <c r="J15" s="46" t="s">
        <v>1868</v>
      </c>
      <c r="K15" s="153"/>
    </row>
    <row r="16" spans="1:11" x14ac:dyDescent="0.3">
      <c r="A16" s="46" t="s">
        <v>9497</v>
      </c>
      <c r="B16" s="46" t="s">
        <v>9432</v>
      </c>
      <c r="C16" s="46" t="s">
        <v>9498</v>
      </c>
      <c r="D16" s="46" t="s">
        <v>13</v>
      </c>
      <c r="E16" s="46" t="s">
        <v>43</v>
      </c>
      <c r="F16" s="46" t="s">
        <v>9499</v>
      </c>
      <c r="G16" s="46" t="s">
        <v>9500</v>
      </c>
      <c r="H16" s="46" t="s">
        <v>9501</v>
      </c>
      <c r="I16" s="46" t="s">
        <v>14</v>
      </c>
      <c r="J16" s="46" t="s">
        <v>1868</v>
      </c>
      <c r="K16" s="153"/>
    </row>
    <row r="17" spans="1:11" x14ac:dyDescent="0.3">
      <c r="A17" s="46" t="s">
        <v>9502</v>
      </c>
      <c r="B17" s="46" t="s">
        <v>9432</v>
      </c>
      <c r="C17" s="46" t="s">
        <v>9503</v>
      </c>
      <c r="D17" s="46" t="s">
        <v>13</v>
      </c>
      <c r="E17" s="46" t="s">
        <v>43</v>
      </c>
      <c r="F17" s="46" t="s">
        <v>9504</v>
      </c>
      <c r="G17" s="46" t="s">
        <v>9446</v>
      </c>
      <c r="H17" s="46" t="s">
        <v>9505</v>
      </c>
      <c r="I17" s="46" t="s">
        <v>14</v>
      </c>
      <c r="J17" s="46" t="s">
        <v>1852</v>
      </c>
      <c r="K17" s="153"/>
    </row>
    <row r="18" spans="1:11" x14ac:dyDescent="0.3">
      <c r="A18" s="46" t="s">
        <v>9506</v>
      </c>
      <c r="B18" s="46" t="s">
        <v>9432</v>
      </c>
      <c r="C18" s="46" t="s">
        <v>9507</v>
      </c>
      <c r="D18" s="46" t="s">
        <v>13</v>
      </c>
      <c r="E18" s="46" t="s">
        <v>9444</v>
      </c>
      <c r="F18" s="46" t="s">
        <v>9508</v>
      </c>
      <c r="G18" s="46" t="s">
        <v>9446</v>
      </c>
      <c r="H18" s="46" t="s">
        <v>9509</v>
      </c>
      <c r="I18" s="46" t="s">
        <v>14</v>
      </c>
      <c r="J18" s="46" t="s">
        <v>1852</v>
      </c>
      <c r="K18" s="153"/>
    </row>
    <row r="19" spans="1:11" x14ac:dyDescent="0.3">
      <c r="A19" s="46" t="s">
        <v>9510</v>
      </c>
      <c r="B19" s="46" t="s">
        <v>9432</v>
      </c>
      <c r="C19" s="46" t="s">
        <v>9511</v>
      </c>
      <c r="D19" s="46" t="s">
        <v>13</v>
      </c>
      <c r="E19" s="46" t="s">
        <v>58</v>
      </c>
      <c r="F19" s="46" t="s">
        <v>9512</v>
      </c>
      <c r="G19" s="46" t="s">
        <v>9513</v>
      </c>
      <c r="H19" s="46" t="s">
        <v>9514</v>
      </c>
      <c r="I19" s="46" t="s">
        <v>14</v>
      </c>
      <c r="J19" s="46" t="s">
        <v>1868</v>
      </c>
      <c r="K19" s="153"/>
    </row>
    <row r="20" spans="1:11" x14ac:dyDescent="0.3">
      <c r="A20" s="89" t="s">
        <v>9515</v>
      </c>
      <c r="B20" s="89" t="s">
        <v>9516</v>
      </c>
      <c r="C20" s="89" t="s">
        <v>9517</v>
      </c>
      <c r="D20" s="89" t="s">
        <v>13</v>
      </c>
      <c r="E20" s="89" t="s">
        <v>7846</v>
      </c>
      <c r="F20" s="89" t="s">
        <v>9518</v>
      </c>
      <c r="G20" s="89" t="s">
        <v>9519</v>
      </c>
      <c r="H20" s="89" t="s">
        <v>9520</v>
      </c>
      <c r="I20" s="89" t="s">
        <v>14</v>
      </c>
      <c r="J20" s="89" t="s">
        <v>1852</v>
      </c>
      <c r="K20" s="153"/>
    </row>
    <row r="21" spans="1:11" x14ac:dyDescent="0.3">
      <c r="A21" s="89" t="s">
        <v>9521</v>
      </c>
      <c r="B21" s="89" t="s">
        <v>9516</v>
      </c>
      <c r="C21" s="89" t="s">
        <v>9522</v>
      </c>
      <c r="D21" s="89" t="s">
        <v>13</v>
      </c>
      <c r="E21" s="89" t="s">
        <v>7846</v>
      </c>
      <c r="F21" s="89" t="s">
        <v>9523</v>
      </c>
      <c r="G21" s="89" t="s">
        <v>9524</v>
      </c>
      <c r="H21" s="89" t="s">
        <v>9525</v>
      </c>
      <c r="I21" s="89" t="s">
        <v>9526</v>
      </c>
      <c r="J21" s="89" t="s">
        <v>1852</v>
      </c>
      <c r="K21" s="153"/>
    </row>
    <row r="22" spans="1:11" x14ac:dyDescent="0.3">
      <c r="A22" s="89" t="s">
        <v>9527</v>
      </c>
      <c r="B22" s="89" t="s">
        <v>9516</v>
      </c>
      <c r="C22" s="89" t="s">
        <v>9528</v>
      </c>
      <c r="D22" s="89" t="s">
        <v>13</v>
      </c>
      <c r="E22" s="89" t="s">
        <v>7846</v>
      </c>
      <c r="F22" s="89" t="s">
        <v>9529</v>
      </c>
      <c r="G22" s="89" t="s">
        <v>9530</v>
      </c>
      <c r="H22" s="89" t="s">
        <v>9531</v>
      </c>
      <c r="I22" s="89" t="s">
        <v>9532</v>
      </c>
      <c r="J22" s="89" t="s">
        <v>1852</v>
      </c>
      <c r="K22" s="153"/>
    </row>
    <row r="23" spans="1:11" x14ac:dyDescent="0.3">
      <c r="A23" s="89" t="s">
        <v>9533</v>
      </c>
      <c r="B23" s="89" t="s">
        <v>9516</v>
      </c>
      <c r="C23" s="89" t="s">
        <v>9534</v>
      </c>
      <c r="D23" s="89" t="s">
        <v>13</v>
      </c>
      <c r="E23" s="89" t="s">
        <v>7846</v>
      </c>
      <c r="F23" s="89" t="s">
        <v>9535</v>
      </c>
      <c r="G23" s="89" t="s">
        <v>9536</v>
      </c>
      <c r="H23" s="89" t="s">
        <v>9525</v>
      </c>
      <c r="I23" s="89" t="s">
        <v>9537</v>
      </c>
      <c r="J23" s="89" t="s">
        <v>1852</v>
      </c>
      <c r="K23" s="153"/>
    </row>
    <row r="24" spans="1:11" x14ac:dyDescent="0.3">
      <c r="A24" s="89" t="s">
        <v>9538</v>
      </c>
      <c r="B24" s="89" t="s">
        <v>9516</v>
      </c>
      <c r="C24" s="89" t="s">
        <v>9539</v>
      </c>
      <c r="D24" s="89" t="s">
        <v>13</v>
      </c>
      <c r="E24" s="89" t="s">
        <v>7846</v>
      </c>
      <c r="F24" s="89" t="s">
        <v>9540</v>
      </c>
      <c r="G24" s="89" t="s">
        <v>9530</v>
      </c>
      <c r="H24" s="89" t="s">
        <v>9531</v>
      </c>
      <c r="I24" s="89" t="s">
        <v>9532</v>
      </c>
      <c r="J24" s="89" t="s">
        <v>1852</v>
      </c>
      <c r="K24" s="153"/>
    </row>
    <row r="25" spans="1:11" x14ac:dyDescent="0.3">
      <c r="A25" s="89" t="s">
        <v>9541</v>
      </c>
      <c r="B25" s="89" t="s">
        <v>9516</v>
      </c>
      <c r="C25" s="89" t="s">
        <v>9542</v>
      </c>
      <c r="D25" s="89" t="s">
        <v>13</v>
      </c>
      <c r="E25" s="89" t="s">
        <v>7846</v>
      </c>
      <c r="F25" s="89" t="s">
        <v>9543</v>
      </c>
      <c r="G25" s="89" t="s">
        <v>9544</v>
      </c>
      <c r="H25" s="89" t="s">
        <v>9545</v>
      </c>
      <c r="I25" s="89" t="s">
        <v>9546</v>
      </c>
      <c r="J25" s="89" t="s">
        <v>1852</v>
      </c>
      <c r="K25" s="153"/>
    </row>
    <row r="26" spans="1:11" x14ac:dyDescent="0.3">
      <c r="A26" s="89" t="s">
        <v>9547</v>
      </c>
      <c r="B26" s="89" t="s">
        <v>9516</v>
      </c>
      <c r="C26" s="89" t="s">
        <v>9548</v>
      </c>
      <c r="D26" s="89" t="s">
        <v>13</v>
      </c>
      <c r="E26" s="89" t="s">
        <v>7846</v>
      </c>
      <c r="F26" s="89" t="s">
        <v>9549</v>
      </c>
      <c r="G26" s="89" t="s">
        <v>9550</v>
      </c>
      <c r="H26" s="89" t="s">
        <v>9520</v>
      </c>
      <c r="I26" s="89" t="s">
        <v>9551</v>
      </c>
      <c r="J26" s="89" t="s">
        <v>1852</v>
      </c>
      <c r="K26" s="153"/>
    </row>
    <row r="27" spans="1:11" x14ac:dyDescent="0.3">
      <c r="A27" s="89" t="s">
        <v>9552</v>
      </c>
      <c r="B27" s="89" t="s">
        <v>9516</v>
      </c>
      <c r="C27" s="89" t="s">
        <v>9553</v>
      </c>
      <c r="D27" s="89" t="s">
        <v>13</v>
      </c>
      <c r="E27" s="89" t="s">
        <v>7846</v>
      </c>
      <c r="F27" s="89" t="s">
        <v>9554</v>
      </c>
      <c r="G27" s="89" t="s">
        <v>9555</v>
      </c>
      <c r="H27" s="89" t="s">
        <v>9525</v>
      </c>
      <c r="I27" s="89" t="s">
        <v>9556</v>
      </c>
      <c r="J27" s="89" t="s">
        <v>1852</v>
      </c>
      <c r="K27" s="153"/>
    </row>
    <row r="28" spans="1:11" x14ac:dyDescent="0.3">
      <c r="A28" s="89" t="s">
        <v>9557</v>
      </c>
      <c r="B28" s="89" t="s">
        <v>9516</v>
      </c>
      <c r="C28" s="89" t="s">
        <v>9558</v>
      </c>
      <c r="D28" s="89" t="s">
        <v>13</v>
      </c>
      <c r="E28" s="89" t="s">
        <v>7846</v>
      </c>
      <c r="F28" s="89" t="s">
        <v>9559</v>
      </c>
      <c r="G28" s="89" t="s">
        <v>9560</v>
      </c>
      <c r="H28" s="89" t="s">
        <v>9531</v>
      </c>
      <c r="I28" s="89" t="s">
        <v>9561</v>
      </c>
      <c r="J28" s="89" t="s">
        <v>1852</v>
      </c>
      <c r="K28" s="153"/>
    </row>
    <row r="29" spans="1:11" x14ac:dyDescent="0.3">
      <c r="A29" s="89" t="s">
        <v>9562</v>
      </c>
      <c r="B29" s="89" t="s">
        <v>9516</v>
      </c>
      <c r="C29" s="89" t="s">
        <v>9563</v>
      </c>
      <c r="D29" s="89" t="s">
        <v>13</v>
      </c>
      <c r="E29" s="89" t="s">
        <v>7846</v>
      </c>
      <c r="F29" s="89" t="s">
        <v>9564</v>
      </c>
      <c r="G29" s="89" t="s">
        <v>9565</v>
      </c>
      <c r="H29" s="89" t="s">
        <v>9566</v>
      </c>
      <c r="I29" s="89" t="s">
        <v>14</v>
      </c>
      <c r="J29" s="89" t="s">
        <v>1852</v>
      </c>
      <c r="K29" s="153"/>
    </row>
    <row r="30" spans="1:11" x14ac:dyDescent="0.3">
      <c r="A30" s="89" t="s">
        <v>9567</v>
      </c>
      <c r="B30" s="89" t="s">
        <v>9516</v>
      </c>
      <c r="C30" s="89" t="s">
        <v>9568</v>
      </c>
      <c r="D30" s="89" t="s">
        <v>13</v>
      </c>
      <c r="E30" s="89" t="s">
        <v>7846</v>
      </c>
      <c r="F30" s="89" t="s">
        <v>9569</v>
      </c>
      <c r="G30" s="89" t="s">
        <v>9570</v>
      </c>
      <c r="H30" s="89" t="s">
        <v>9571</v>
      </c>
      <c r="I30" s="89" t="s">
        <v>14</v>
      </c>
      <c r="J30" s="89" t="s">
        <v>1852</v>
      </c>
      <c r="K30" s="153"/>
    </row>
    <row r="31" spans="1:11" x14ac:dyDescent="0.3">
      <c r="A31" s="89" t="s">
        <v>9572</v>
      </c>
      <c r="B31" s="89" t="s">
        <v>9516</v>
      </c>
      <c r="C31" s="89" t="s">
        <v>9573</v>
      </c>
      <c r="D31" s="89" t="s">
        <v>13</v>
      </c>
      <c r="E31" s="89" t="s">
        <v>7846</v>
      </c>
      <c r="F31" s="89" t="s">
        <v>9574</v>
      </c>
      <c r="G31" s="89" t="s">
        <v>9575</v>
      </c>
      <c r="H31" s="89" t="s">
        <v>9576</v>
      </c>
      <c r="I31" s="89" t="s">
        <v>14</v>
      </c>
      <c r="J31" s="89" t="s">
        <v>1852</v>
      </c>
      <c r="K31" s="153"/>
    </row>
    <row r="32" spans="1:11" x14ac:dyDescent="0.3">
      <c r="A32" s="89" t="s">
        <v>9577</v>
      </c>
      <c r="B32" s="89" t="s">
        <v>9516</v>
      </c>
      <c r="C32" s="89" t="s">
        <v>9578</v>
      </c>
      <c r="D32" s="89" t="s">
        <v>13</v>
      </c>
      <c r="E32" s="89" t="s">
        <v>4088</v>
      </c>
      <c r="F32" s="89" t="s">
        <v>9579</v>
      </c>
      <c r="G32" s="89" t="s">
        <v>9580</v>
      </c>
      <c r="H32" s="89" t="s">
        <v>9581</v>
      </c>
      <c r="I32" s="89" t="s">
        <v>14</v>
      </c>
      <c r="J32" s="89" t="s">
        <v>1868</v>
      </c>
      <c r="K32" s="153"/>
    </row>
    <row r="33" spans="1:11" x14ac:dyDescent="0.3">
      <c r="A33" s="89" t="s">
        <v>9582</v>
      </c>
      <c r="B33" s="89" t="s">
        <v>9516</v>
      </c>
      <c r="C33" s="89" t="s">
        <v>9583</v>
      </c>
      <c r="D33" s="89" t="s">
        <v>13</v>
      </c>
      <c r="E33" s="89" t="s">
        <v>7846</v>
      </c>
      <c r="F33" s="89" t="s">
        <v>9584</v>
      </c>
      <c r="G33" s="89" t="s">
        <v>9585</v>
      </c>
      <c r="H33" s="89" t="s">
        <v>9586</v>
      </c>
      <c r="I33" s="89" t="s">
        <v>14</v>
      </c>
      <c r="J33" s="89" t="s">
        <v>1852</v>
      </c>
      <c r="K33" s="153"/>
    </row>
    <row r="34" spans="1:11" x14ac:dyDescent="0.3">
      <c r="A34" s="47" t="s">
        <v>9587</v>
      </c>
      <c r="B34" s="47" t="s">
        <v>9588</v>
      </c>
      <c r="C34" s="47" t="s">
        <v>9589</v>
      </c>
      <c r="D34" s="47" t="s">
        <v>10</v>
      </c>
      <c r="E34" s="47" t="s">
        <v>7846</v>
      </c>
      <c r="F34" s="47" t="s">
        <v>9590</v>
      </c>
      <c r="G34" s="47" t="s">
        <v>8798</v>
      </c>
      <c r="H34" s="47" t="s">
        <v>9591</v>
      </c>
      <c r="I34" s="47" t="s">
        <v>9592</v>
      </c>
      <c r="J34" s="47" t="s">
        <v>1852</v>
      </c>
      <c r="K34" s="153"/>
    </row>
    <row r="35" spans="1:11" x14ac:dyDescent="0.3">
      <c r="A35" s="47" t="s">
        <v>9593</v>
      </c>
      <c r="B35" s="47" t="s">
        <v>9588</v>
      </c>
      <c r="C35" s="47" t="s">
        <v>9594</v>
      </c>
      <c r="D35" s="47" t="s">
        <v>10</v>
      </c>
      <c r="E35" s="47" t="s">
        <v>7846</v>
      </c>
      <c r="F35" s="47" t="s">
        <v>9595</v>
      </c>
      <c r="G35" s="47" t="s">
        <v>8798</v>
      </c>
      <c r="H35" s="47" t="s">
        <v>9596</v>
      </c>
      <c r="I35" s="47" t="s">
        <v>9597</v>
      </c>
      <c r="J35" s="47" t="s">
        <v>1852</v>
      </c>
      <c r="K35" s="153"/>
    </row>
    <row r="36" spans="1:11" x14ac:dyDescent="0.3">
      <c r="A36" s="47" t="s">
        <v>9598</v>
      </c>
      <c r="B36" s="47" t="s">
        <v>9588</v>
      </c>
      <c r="C36" s="47" t="s">
        <v>9599</v>
      </c>
      <c r="D36" s="47" t="s">
        <v>10</v>
      </c>
      <c r="E36" s="47" t="s">
        <v>7846</v>
      </c>
      <c r="F36" s="47" t="s">
        <v>9518</v>
      </c>
      <c r="G36" s="47" t="s">
        <v>9600</v>
      </c>
      <c r="H36" s="47" t="s">
        <v>9601</v>
      </c>
      <c r="I36" s="47" t="s">
        <v>9602</v>
      </c>
      <c r="J36" s="47" t="s">
        <v>1852</v>
      </c>
      <c r="K36" s="153"/>
    </row>
    <row r="37" spans="1:11" x14ac:dyDescent="0.3">
      <c r="A37" s="47" t="s">
        <v>9603</v>
      </c>
      <c r="B37" s="47" t="s">
        <v>9588</v>
      </c>
      <c r="C37" s="47" t="s">
        <v>9604</v>
      </c>
      <c r="D37" s="47" t="s">
        <v>10</v>
      </c>
      <c r="E37" s="47" t="s">
        <v>7846</v>
      </c>
      <c r="F37" s="47" t="s">
        <v>9605</v>
      </c>
      <c r="G37" s="47" t="s">
        <v>9606</v>
      </c>
      <c r="H37" s="47" t="s">
        <v>7912</v>
      </c>
      <c r="I37" s="47" t="s">
        <v>9607</v>
      </c>
      <c r="J37" s="47" t="s">
        <v>1852</v>
      </c>
      <c r="K37" s="153"/>
    </row>
    <row r="38" spans="1:11" x14ac:dyDescent="0.3">
      <c r="A38" s="47" t="s">
        <v>9608</v>
      </c>
      <c r="B38" s="47" t="s">
        <v>9588</v>
      </c>
      <c r="C38" s="47" t="s">
        <v>9609</v>
      </c>
      <c r="D38" s="47" t="s">
        <v>10</v>
      </c>
      <c r="E38" s="47" t="s">
        <v>7846</v>
      </c>
      <c r="F38" s="47" t="s">
        <v>9610</v>
      </c>
      <c r="G38" s="47" t="s">
        <v>9606</v>
      </c>
      <c r="H38" s="47" t="s">
        <v>7912</v>
      </c>
      <c r="I38" s="47" t="s">
        <v>9607</v>
      </c>
      <c r="J38" s="47" t="s">
        <v>1852</v>
      </c>
      <c r="K38" s="153"/>
    </row>
    <row r="39" spans="1:11" x14ac:dyDescent="0.3">
      <c r="A39" s="47" t="s">
        <v>9611</v>
      </c>
      <c r="B39" s="47" t="s">
        <v>9588</v>
      </c>
      <c r="C39" s="47" t="s">
        <v>9612</v>
      </c>
      <c r="D39" s="47" t="s">
        <v>10</v>
      </c>
      <c r="E39" s="47" t="s">
        <v>7846</v>
      </c>
      <c r="F39" s="47" t="s">
        <v>9564</v>
      </c>
      <c r="G39" s="47" t="s">
        <v>9613</v>
      </c>
      <c r="H39" s="47" t="s">
        <v>9614</v>
      </c>
      <c r="I39" s="47" t="s">
        <v>9615</v>
      </c>
      <c r="J39" s="47" t="s">
        <v>1852</v>
      </c>
      <c r="K39" s="153"/>
    </row>
    <row r="40" spans="1:11" x14ac:dyDescent="0.3">
      <c r="A40" s="47" t="s">
        <v>9616</v>
      </c>
      <c r="B40" s="47" t="s">
        <v>9588</v>
      </c>
      <c r="C40" s="47" t="s">
        <v>9617</v>
      </c>
      <c r="D40" s="47" t="s">
        <v>10</v>
      </c>
      <c r="E40" s="47" t="s">
        <v>7846</v>
      </c>
      <c r="F40" s="47" t="s">
        <v>9574</v>
      </c>
      <c r="G40" s="47" t="s">
        <v>9618</v>
      </c>
      <c r="H40" s="47" t="s">
        <v>9619</v>
      </c>
      <c r="I40" s="47" t="s">
        <v>9620</v>
      </c>
      <c r="J40" s="47" t="s">
        <v>1852</v>
      </c>
      <c r="K40" s="153"/>
    </row>
    <row r="41" spans="1:11" x14ac:dyDescent="0.3">
      <c r="A41" s="47" t="s">
        <v>9621</v>
      </c>
      <c r="B41" s="47" t="s">
        <v>9588</v>
      </c>
      <c r="C41" s="47" t="s">
        <v>9622</v>
      </c>
      <c r="D41" s="47" t="s">
        <v>10</v>
      </c>
      <c r="E41" s="47" t="s">
        <v>7846</v>
      </c>
      <c r="F41" s="47" t="s">
        <v>9623</v>
      </c>
      <c r="G41" s="47" t="s">
        <v>9624</v>
      </c>
      <c r="H41" s="47" t="s">
        <v>9625</v>
      </c>
      <c r="I41" s="47" t="s">
        <v>14</v>
      </c>
      <c r="J41" s="47" t="s">
        <v>1868</v>
      </c>
      <c r="K41" s="153"/>
    </row>
    <row r="42" spans="1:11" x14ac:dyDescent="0.3">
      <c r="A42" s="47" t="s">
        <v>9626</v>
      </c>
      <c r="B42" s="47" t="s">
        <v>9588</v>
      </c>
      <c r="C42" s="47" t="s">
        <v>9627</v>
      </c>
      <c r="D42" s="47" t="s">
        <v>13</v>
      </c>
      <c r="E42" s="47" t="s">
        <v>7445</v>
      </c>
      <c r="F42" s="47" t="s">
        <v>9518</v>
      </c>
      <c r="G42" s="47" t="s">
        <v>9628</v>
      </c>
      <c r="H42" s="47" t="s">
        <v>9629</v>
      </c>
      <c r="I42" s="47" t="s">
        <v>14</v>
      </c>
      <c r="J42" s="47" t="s">
        <v>1868</v>
      </c>
      <c r="K42" s="153"/>
    </row>
    <row r="43" spans="1:11" x14ac:dyDescent="0.3">
      <c r="A43" s="47" t="s">
        <v>9630</v>
      </c>
      <c r="B43" s="47" t="s">
        <v>9588</v>
      </c>
      <c r="C43" s="47" t="s">
        <v>9631</v>
      </c>
      <c r="D43" s="47" t="s">
        <v>13</v>
      </c>
      <c r="E43" s="47" t="s">
        <v>7445</v>
      </c>
      <c r="F43" s="47" t="s">
        <v>9632</v>
      </c>
      <c r="G43" s="47" t="s">
        <v>9628</v>
      </c>
      <c r="H43" s="47" t="s">
        <v>9633</v>
      </c>
      <c r="I43" s="47" t="s">
        <v>14</v>
      </c>
      <c r="J43" s="47" t="s">
        <v>1868</v>
      </c>
      <c r="K43" s="153"/>
    </row>
    <row r="44" spans="1:11" x14ac:dyDescent="0.3">
      <c r="A44" s="47" t="s">
        <v>9634</v>
      </c>
      <c r="B44" s="47" t="s">
        <v>9588</v>
      </c>
      <c r="C44" s="47" t="s">
        <v>9635</v>
      </c>
      <c r="D44" s="47" t="s">
        <v>10</v>
      </c>
      <c r="E44" s="47" t="s">
        <v>7846</v>
      </c>
      <c r="F44" s="47" t="s">
        <v>9636</v>
      </c>
      <c r="G44" s="47" t="s">
        <v>9637</v>
      </c>
      <c r="H44" s="47" t="s">
        <v>9638</v>
      </c>
      <c r="I44" s="47" t="s">
        <v>9639</v>
      </c>
      <c r="J44" s="47" t="s">
        <v>1868</v>
      </c>
      <c r="K44" s="153"/>
    </row>
    <row r="45" spans="1:11" x14ac:dyDescent="0.3">
      <c r="A45" s="47" t="s">
        <v>9640</v>
      </c>
      <c r="B45" s="47" t="s">
        <v>9588</v>
      </c>
      <c r="C45" s="47" t="s">
        <v>9641</v>
      </c>
      <c r="D45" s="47" t="s">
        <v>10</v>
      </c>
      <c r="E45" s="47" t="s">
        <v>1625</v>
      </c>
      <c r="F45" s="47" t="s">
        <v>9642</v>
      </c>
      <c r="G45" s="47" t="s">
        <v>9643</v>
      </c>
      <c r="H45" s="47" t="s">
        <v>12897</v>
      </c>
      <c r="I45" s="47" t="s">
        <v>9645</v>
      </c>
      <c r="J45" s="47" t="s">
        <v>1873</v>
      </c>
      <c r="K45" s="156"/>
    </row>
    <row r="46" spans="1:11" x14ac:dyDescent="0.3">
      <c r="A46" s="47" t="s">
        <v>9646</v>
      </c>
      <c r="B46" s="47" t="s">
        <v>9588</v>
      </c>
      <c r="C46" s="47" t="s">
        <v>9647</v>
      </c>
      <c r="D46" s="47" t="s">
        <v>10</v>
      </c>
      <c r="E46" s="47" t="s">
        <v>86</v>
      </c>
      <c r="F46" s="47" t="s">
        <v>9648</v>
      </c>
      <c r="G46" s="47" t="s">
        <v>9649</v>
      </c>
      <c r="H46" s="47" t="s">
        <v>9650</v>
      </c>
      <c r="I46" s="47" t="s">
        <v>90</v>
      </c>
      <c r="J46" s="47" t="s">
        <v>1852</v>
      </c>
      <c r="K46" s="153"/>
    </row>
    <row r="47" spans="1:11" x14ac:dyDescent="0.3">
      <c r="A47" s="47" t="s">
        <v>9651</v>
      </c>
      <c r="B47" s="47" t="s">
        <v>9588</v>
      </c>
      <c r="C47" s="47" t="s">
        <v>9652</v>
      </c>
      <c r="D47" s="47" t="s">
        <v>10</v>
      </c>
      <c r="E47" s="47" t="s">
        <v>9653</v>
      </c>
      <c r="F47" s="47" t="s">
        <v>9654</v>
      </c>
      <c r="G47" s="47" t="s">
        <v>9655</v>
      </c>
      <c r="H47" s="47" t="s">
        <v>9656</v>
      </c>
      <c r="I47" s="47" t="s">
        <v>9657</v>
      </c>
      <c r="J47" s="47" t="s">
        <v>1852</v>
      </c>
      <c r="K47" s="153"/>
    </row>
    <row r="48" spans="1:11" x14ac:dyDescent="0.3">
      <c r="A48" s="47" t="s">
        <v>9658</v>
      </c>
      <c r="B48" s="47" t="s">
        <v>9588</v>
      </c>
      <c r="C48" s="47" t="s">
        <v>9659</v>
      </c>
      <c r="D48" s="47" t="s">
        <v>10</v>
      </c>
      <c r="E48" s="47" t="s">
        <v>7445</v>
      </c>
      <c r="F48" s="47" t="s">
        <v>9660</v>
      </c>
      <c r="G48" s="47" t="s">
        <v>9661</v>
      </c>
      <c r="H48" s="47" t="s">
        <v>9662</v>
      </c>
      <c r="I48" s="47" t="s">
        <v>14</v>
      </c>
      <c r="J48" s="47" t="s">
        <v>1868</v>
      </c>
      <c r="K48" s="153"/>
    </row>
    <row r="49" spans="1:11" x14ac:dyDescent="0.3">
      <c r="A49" s="47" t="s">
        <v>9663</v>
      </c>
      <c r="B49" s="47" t="s">
        <v>9588</v>
      </c>
      <c r="C49" s="47" t="s">
        <v>9664</v>
      </c>
      <c r="D49" s="47" t="s">
        <v>10</v>
      </c>
      <c r="E49" s="47" t="s">
        <v>1577</v>
      </c>
      <c r="F49" s="47" t="s">
        <v>9665</v>
      </c>
      <c r="G49" s="47" t="s">
        <v>9666</v>
      </c>
      <c r="H49" s="47" t="s">
        <v>9667</v>
      </c>
      <c r="I49" s="47" t="s">
        <v>14</v>
      </c>
      <c r="J49" s="47" t="s">
        <v>1852</v>
      </c>
      <c r="K49" s="153"/>
    </row>
    <row r="50" spans="1:11" x14ac:dyDescent="0.3">
      <c r="A50" s="40" t="s">
        <v>9668</v>
      </c>
      <c r="B50" s="40" t="s">
        <v>9669</v>
      </c>
      <c r="C50" s="40" t="s">
        <v>9670</v>
      </c>
      <c r="D50" s="40" t="s">
        <v>13</v>
      </c>
      <c r="E50" s="40" t="s">
        <v>42</v>
      </c>
      <c r="F50" s="40" t="s">
        <v>9671</v>
      </c>
      <c r="G50" s="40" t="s">
        <v>9479</v>
      </c>
      <c r="H50" s="40" t="s">
        <v>9672</v>
      </c>
      <c r="I50" s="40" t="s">
        <v>9481</v>
      </c>
      <c r="J50" s="40" t="s">
        <v>1852</v>
      </c>
      <c r="K50" s="153"/>
    </row>
    <row r="51" spans="1:11" x14ac:dyDescent="0.3">
      <c r="A51" s="40" t="s">
        <v>9673</v>
      </c>
      <c r="B51" s="40" t="s">
        <v>9669</v>
      </c>
      <c r="C51" s="40" t="s">
        <v>9674</v>
      </c>
      <c r="D51" s="40" t="s">
        <v>13</v>
      </c>
      <c r="E51" s="40" t="s">
        <v>9675</v>
      </c>
      <c r="F51" s="40" t="s">
        <v>9676</v>
      </c>
      <c r="G51" s="40" t="s">
        <v>9677</v>
      </c>
      <c r="H51" s="40" t="s">
        <v>9678</v>
      </c>
      <c r="I51" s="40" t="s">
        <v>14</v>
      </c>
      <c r="J51" s="40" t="s">
        <v>1852</v>
      </c>
      <c r="K51" s="153"/>
    </row>
    <row r="52" spans="1:11" x14ac:dyDescent="0.3">
      <c r="A52" s="40" t="s">
        <v>9679</v>
      </c>
      <c r="B52" s="40" t="s">
        <v>9669</v>
      </c>
      <c r="C52" s="40" t="s">
        <v>9680</v>
      </c>
      <c r="D52" s="40" t="s">
        <v>13</v>
      </c>
      <c r="E52" s="40" t="s">
        <v>42</v>
      </c>
      <c r="F52" s="40" t="s">
        <v>9676</v>
      </c>
      <c r="G52" s="40" t="s">
        <v>12898</v>
      </c>
      <c r="H52" s="40" t="s">
        <v>12899</v>
      </c>
      <c r="I52" s="40" t="s">
        <v>14</v>
      </c>
      <c r="J52" s="40" t="s">
        <v>1852</v>
      </c>
      <c r="K52" s="155"/>
    </row>
    <row r="53" spans="1:11" x14ac:dyDescent="0.3">
      <c r="A53" s="40" t="s">
        <v>9681</v>
      </c>
      <c r="B53" s="40" t="s">
        <v>9669</v>
      </c>
      <c r="C53" s="40" t="s">
        <v>9682</v>
      </c>
      <c r="D53" s="40" t="s">
        <v>13</v>
      </c>
      <c r="E53" s="40" t="s">
        <v>9683</v>
      </c>
      <c r="F53" s="40" t="s">
        <v>9605</v>
      </c>
      <c r="G53" s="40" t="s">
        <v>9684</v>
      </c>
      <c r="H53" s="40" t="s">
        <v>9685</v>
      </c>
      <c r="I53" s="40" t="s">
        <v>14</v>
      </c>
      <c r="J53" s="40" t="s">
        <v>1852</v>
      </c>
      <c r="K53" s="153"/>
    </row>
    <row r="54" spans="1:11" x14ac:dyDescent="0.3">
      <c r="A54" s="40" t="s">
        <v>9686</v>
      </c>
      <c r="B54" s="40" t="s">
        <v>9669</v>
      </c>
      <c r="C54" s="40" t="s">
        <v>9687</v>
      </c>
      <c r="D54" s="40" t="s">
        <v>10</v>
      </c>
      <c r="E54" s="40" t="s">
        <v>9683</v>
      </c>
      <c r="F54" s="40" t="s">
        <v>9605</v>
      </c>
      <c r="G54" s="40" t="s">
        <v>9688</v>
      </c>
      <c r="H54" s="40" t="s">
        <v>9689</v>
      </c>
      <c r="I54" s="40" t="s">
        <v>9690</v>
      </c>
      <c r="J54" s="40" t="s">
        <v>1852</v>
      </c>
      <c r="K54" s="153"/>
    </row>
    <row r="55" spans="1:11" x14ac:dyDescent="0.3">
      <c r="A55" s="40" t="s">
        <v>9691</v>
      </c>
      <c r="B55" s="40" t="s">
        <v>9669</v>
      </c>
      <c r="C55" s="40" t="s">
        <v>9692</v>
      </c>
      <c r="D55" s="40" t="s">
        <v>13</v>
      </c>
      <c r="E55" s="40" t="s">
        <v>9693</v>
      </c>
      <c r="F55" s="40" t="s">
        <v>9694</v>
      </c>
      <c r="G55" s="40" t="s">
        <v>9695</v>
      </c>
      <c r="H55" s="40" t="s">
        <v>9696</v>
      </c>
      <c r="I55" s="40" t="s">
        <v>14</v>
      </c>
      <c r="J55" s="40" t="s">
        <v>1852</v>
      </c>
      <c r="K55" s="153"/>
    </row>
    <row r="56" spans="1:11" x14ac:dyDescent="0.3">
      <c r="A56" s="40" t="s">
        <v>9697</v>
      </c>
      <c r="B56" s="40" t="s">
        <v>9669</v>
      </c>
      <c r="C56" s="40" t="s">
        <v>9698</v>
      </c>
      <c r="D56" s="40" t="s">
        <v>13</v>
      </c>
      <c r="E56" s="40" t="s">
        <v>42</v>
      </c>
      <c r="F56" s="40" t="s">
        <v>9699</v>
      </c>
      <c r="G56" s="40" t="s">
        <v>9700</v>
      </c>
      <c r="H56" s="40" t="s">
        <v>9701</v>
      </c>
      <c r="I56" s="40" t="s">
        <v>14</v>
      </c>
      <c r="J56" s="40" t="s">
        <v>1852</v>
      </c>
      <c r="K56" s="153"/>
    </row>
    <row r="57" spans="1:11" x14ac:dyDescent="0.3">
      <c r="A57" s="40" t="s">
        <v>9702</v>
      </c>
      <c r="B57" s="40" t="s">
        <v>9669</v>
      </c>
      <c r="C57" s="40" t="s">
        <v>9703</v>
      </c>
      <c r="D57" s="40" t="s">
        <v>13</v>
      </c>
      <c r="E57" s="40" t="s">
        <v>42</v>
      </c>
      <c r="F57" s="40" t="s">
        <v>9704</v>
      </c>
      <c r="G57" s="40" t="s">
        <v>9705</v>
      </c>
      <c r="H57" s="40" t="s">
        <v>9706</v>
      </c>
      <c r="I57" s="40" t="s">
        <v>9707</v>
      </c>
      <c r="J57" s="40" t="s">
        <v>1852</v>
      </c>
      <c r="K57" s="153"/>
    </row>
    <row r="58" spans="1:11" x14ac:dyDescent="0.3">
      <c r="A58" s="40" t="s">
        <v>9708</v>
      </c>
      <c r="B58" s="40" t="s">
        <v>9669</v>
      </c>
      <c r="C58" s="40" t="s">
        <v>9709</v>
      </c>
      <c r="D58" s="40" t="s">
        <v>13</v>
      </c>
      <c r="E58" s="40" t="s">
        <v>42</v>
      </c>
      <c r="F58" s="40" t="s">
        <v>9710</v>
      </c>
      <c r="G58" s="40" t="s">
        <v>9705</v>
      </c>
      <c r="H58" s="40" t="s">
        <v>9711</v>
      </c>
      <c r="I58" s="40" t="s">
        <v>9712</v>
      </c>
      <c r="J58" s="40" t="s">
        <v>1852</v>
      </c>
      <c r="K58" s="153"/>
    </row>
    <row r="59" spans="1:11" x14ac:dyDescent="0.3">
      <c r="A59" s="40" t="s">
        <v>9713</v>
      </c>
      <c r="B59" s="40" t="s">
        <v>9669</v>
      </c>
      <c r="C59" s="40" t="s">
        <v>9714</v>
      </c>
      <c r="D59" s="40" t="s">
        <v>21</v>
      </c>
      <c r="E59" s="40" t="s">
        <v>42</v>
      </c>
      <c r="F59" s="40" t="s">
        <v>9715</v>
      </c>
      <c r="G59" s="40" t="s">
        <v>9716</v>
      </c>
      <c r="H59" s="40" t="s">
        <v>9717</v>
      </c>
      <c r="I59" s="40" t="s">
        <v>9718</v>
      </c>
      <c r="J59" s="40" t="s">
        <v>1852</v>
      </c>
      <c r="K59" s="153"/>
    </row>
    <row r="60" spans="1:11" x14ac:dyDescent="0.3">
      <c r="A60" s="40" t="s">
        <v>9719</v>
      </c>
      <c r="B60" s="40" t="s">
        <v>9669</v>
      </c>
      <c r="C60" s="40" t="s">
        <v>9720</v>
      </c>
      <c r="D60" s="40" t="s">
        <v>13</v>
      </c>
      <c r="E60" s="40" t="s">
        <v>9693</v>
      </c>
      <c r="F60" s="40" t="s">
        <v>9721</v>
      </c>
      <c r="G60" s="40" t="s">
        <v>9722</v>
      </c>
      <c r="H60" s="40" t="s">
        <v>9723</v>
      </c>
      <c r="I60" s="40" t="s">
        <v>14</v>
      </c>
      <c r="J60" s="40" t="s">
        <v>1868</v>
      </c>
      <c r="K60" s="153"/>
    </row>
    <row r="61" spans="1:11" x14ac:dyDescent="0.3">
      <c r="A61" s="40" t="s">
        <v>9724</v>
      </c>
      <c r="B61" s="40" t="s">
        <v>9669</v>
      </c>
      <c r="C61" s="40" t="s">
        <v>9725</v>
      </c>
      <c r="D61" s="40" t="s">
        <v>13</v>
      </c>
      <c r="E61" s="40" t="s">
        <v>42</v>
      </c>
      <c r="F61" s="40" t="s">
        <v>9726</v>
      </c>
      <c r="G61" s="40" t="s">
        <v>9727</v>
      </c>
      <c r="H61" s="40" t="s">
        <v>9728</v>
      </c>
      <c r="I61" s="40" t="s">
        <v>14</v>
      </c>
      <c r="J61" s="40" t="s">
        <v>1852</v>
      </c>
      <c r="K61" s="153"/>
    </row>
    <row r="62" spans="1:11" x14ac:dyDescent="0.3">
      <c r="A62" s="40" t="s">
        <v>9729</v>
      </c>
      <c r="B62" s="40" t="s">
        <v>9669</v>
      </c>
      <c r="C62" s="40" t="s">
        <v>9730</v>
      </c>
      <c r="D62" s="40" t="s">
        <v>13</v>
      </c>
      <c r="E62" s="40" t="s">
        <v>9731</v>
      </c>
      <c r="F62" s="40" t="s">
        <v>9732</v>
      </c>
      <c r="G62" s="40" t="s">
        <v>9733</v>
      </c>
      <c r="H62" s="40" t="s">
        <v>9734</v>
      </c>
      <c r="I62" s="40" t="s">
        <v>14</v>
      </c>
      <c r="J62" s="40" t="s">
        <v>1852</v>
      </c>
      <c r="K62" s="153"/>
    </row>
    <row r="63" spans="1:11" x14ac:dyDescent="0.3">
      <c r="A63" s="40" t="s">
        <v>9735</v>
      </c>
      <c r="B63" s="40" t="s">
        <v>9669</v>
      </c>
      <c r="C63" s="40" t="s">
        <v>9736</v>
      </c>
      <c r="D63" s="40" t="s">
        <v>13</v>
      </c>
      <c r="E63" s="40" t="s">
        <v>9737</v>
      </c>
      <c r="F63" s="40" t="s">
        <v>9512</v>
      </c>
      <c r="G63" s="40" t="s">
        <v>9738</v>
      </c>
      <c r="H63" s="40" t="s">
        <v>9739</v>
      </c>
      <c r="I63" s="40" t="s">
        <v>14</v>
      </c>
      <c r="J63" s="40" t="s">
        <v>1868</v>
      </c>
      <c r="K63" s="153"/>
    </row>
    <row r="64" spans="1:11" x14ac:dyDescent="0.3">
      <c r="A64" s="40" t="s">
        <v>9740</v>
      </c>
      <c r="B64" s="40" t="s">
        <v>9669</v>
      </c>
      <c r="C64" s="40" t="s">
        <v>9741</v>
      </c>
      <c r="D64" s="40" t="s">
        <v>13</v>
      </c>
      <c r="E64" s="40" t="s">
        <v>42</v>
      </c>
      <c r="F64" s="40" t="s">
        <v>9742</v>
      </c>
      <c r="G64" s="40" t="s">
        <v>9743</v>
      </c>
      <c r="H64" s="40" t="s">
        <v>9744</v>
      </c>
      <c r="I64" s="40" t="s">
        <v>14</v>
      </c>
      <c r="J64" s="40" t="s">
        <v>1852</v>
      </c>
      <c r="K64" s="153"/>
    </row>
    <row r="65" spans="1:11" x14ac:dyDescent="0.3">
      <c r="A65" s="40" t="s">
        <v>9745</v>
      </c>
      <c r="B65" s="40" t="s">
        <v>9669</v>
      </c>
      <c r="C65" s="40" t="s">
        <v>9746</v>
      </c>
      <c r="D65" s="40" t="s">
        <v>13</v>
      </c>
      <c r="E65" s="40" t="s">
        <v>9747</v>
      </c>
      <c r="F65" s="40" t="s">
        <v>9748</v>
      </c>
      <c r="G65" s="40" t="s">
        <v>9749</v>
      </c>
      <c r="H65" s="40" t="s">
        <v>9750</v>
      </c>
      <c r="I65" s="40" t="s">
        <v>14</v>
      </c>
      <c r="J65" s="40" t="s">
        <v>1868</v>
      </c>
      <c r="K65" s="153"/>
    </row>
    <row r="66" spans="1:11" ht="72" x14ac:dyDescent="0.3">
      <c r="A66" s="90" t="s">
        <v>9751</v>
      </c>
      <c r="B66" s="90" t="s">
        <v>9752</v>
      </c>
      <c r="C66" s="90" t="s">
        <v>9753</v>
      </c>
      <c r="D66" s="90" t="s">
        <v>13</v>
      </c>
      <c r="E66" s="90" t="s">
        <v>9754</v>
      </c>
      <c r="F66" s="90" t="s">
        <v>9755</v>
      </c>
      <c r="G66" s="90" t="s">
        <v>9756</v>
      </c>
      <c r="H66" s="90" t="s">
        <v>9757</v>
      </c>
      <c r="I66" s="90" t="s">
        <v>14</v>
      </c>
      <c r="J66" s="90" t="s">
        <v>1852</v>
      </c>
      <c r="K66" s="154" t="s">
        <v>12845</v>
      </c>
    </row>
    <row r="67" spans="1:11" x14ac:dyDescent="0.3">
      <c r="A67" s="90" t="s">
        <v>9758</v>
      </c>
      <c r="B67" s="90" t="s">
        <v>9752</v>
      </c>
      <c r="C67" s="90" t="s">
        <v>9759</v>
      </c>
      <c r="D67" s="90" t="s">
        <v>13</v>
      </c>
      <c r="E67" s="90" t="s">
        <v>9760</v>
      </c>
      <c r="F67" s="90" t="s">
        <v>9761</v>
      </c>
      <c r="G67" s="90" t="s">
        <v>9762</v>
      </c>
      <c r="H67" s="90" t="s">
        <v>9763</v>
      </c>
      <c r="I67" s="90" t="s">
        <v>14</v>
      </c>
      <c r="J67" s="90" t="s">
        <v>1852</v>
      </c>
      <c r="K67" s="153"/>
    </row>
    <row r="68" spans="1:11" x14ac:dyDescent="0.3">
      <c r="A68" s="90" t="s">
        <v>9764</v>
      </c>
      <c r="B68" s="90" t="s">
        <v>9752</v>
      </c>
      <c r="C68" s="90" t="s">
        <v>9765</v>
      </c>
      <c r="D68" s="90" t="s">
        <v>13</v>
      </c>
      <c r="E68" s="90" t="s">
        <v>9760</v>
      </c>
      <c r="F68" s="90" t="s">
        <v>9766</v>
      </c>
      <c r="G68" s="90" t="s">
        <v>9767</v>
      </c>
      <c r="H68" s="90" t="s">
        <v>9768</v>
      </c>
      <c r="I68" s="90" t="s">
        <v>14</v>
      </c>
      <c r="J68" s="90" t="s">
        <v>1852</v>
      </c>
      <c r="K68" s="153"/>
    </row>
    <row r="69" spans="1:11" x14ac:dyDescent="0.3">
      <c r="A69" s="90" t="s">
        <v>9769</v>
      </c>
      <c r="B69" s="90" t="s">
        <v>9752</v>
      </c>
      <c r="C69" s="90" t="s">
        <v>9770</v>
      </c>
      <c r="D69" s="90" t="s">
        <v>13</v>
      </c>
      <c r="E69" s="90" t="s">
        <v>9771</v>
      </c>
      <c r="F69" s="90" t="s">
        <v>9772</v>
      </c>
      <c r="G69" s="90" t="s">
        <v>9773</v>
      </c>
      <c r="H69" s="90" t="s">
        <v>9774</v>
      </c>
      <c r="I69" s="90" t="s">
        <v>14</v>
      </c>
      <c r="J69" s="90" t="s">
        <v>1868</v>
      </c>
      <c r="K69" s="153"/>
    </row>
    <row r="70" spans="1:11" x14ac:dyDescent="0.3">
      <c r="A70" s="90" t="s">
        <v>9775</v>
      </c>
      <c r="B70" s="90" t="s">
        <v>9752</v>
      </c>
      <c r="C70" s="90" t="s">
        <v>9776</v>
      </c>
      <c r="D70" s="90" t="s">
        <v>13</v>
      </c>
      <c r="E70" s="90" t="s">
        <v>9754</v>
      </c>
      <c r="F70" s="90" t="s">
        <v>9777</v>
      </c>
      <c r="G70" s="90" t="s">
        <v>9778</v>
      </c>
      <c r="H70" s="90" t="s">
        <v>9779</v>
      </c>
      <c r="I70" s="90" t="s">
        <v>14</v>
      </c>
      <c r="J70" s="90" t="s">
        <v>1852</v>
      </c>
      <c r="K70" s="153"/>
    </row>
    <row r="71" spans="1:11" x14ac:dyDescent="0.3">
      <c r="A71" s="90" t="s">
        <v>9780</v>
      </c>
      <c r="B71" s="90" t="s">
        <v>9752</v>
      </c>
      <c r="C71" s="90" t="s">
        <v>9781</v>
      </c>
      <c r="D71" s="90" t="s">
        <v>13</v>
      </c>
      <c r="E71" s="90" t="s">
        <v>9782</v>
      </c>
      <c r="F71" s="90" t="s">
        <v>9783</v>
      </c>
      <c r="G71" s="90" t="s">
        <v>9778</v>
      </c>
      <c r="H71" s="90" t="s">
        <v>9784</v>
      </c>
      <c r="I71" s="90" t="s">
        <v>14</v>
      </c>
      <c r="J71" s="90" t="s">
        <v>1852</v>
      </c>
      <c r="K71" s="153"/>
    </row>
    <row r="72" spans="1:11" x14ac:dyDescent="0.3">
      <c r="A72" s="90" t="s">
        <v>9785</v>
      </c>
      <c r="B72" s="90" t="s">
        <v>9752</v>
      </c>
      <c r="C72" s="90" t="s">
        <v>9786</v>
      </c>
      <c r="D72" s="90" t="s">
        <v>13</v>
      </c>
      <c r="E72" s="90" t="s">
        <v>9754</v>
      </c>
      <c r="F72" s="90" t="s">
        <v>9787</v>
      </c>
      <c r="G72" s="90" t="s">
        <v>9788</v>
      </c>
      <c r="H72" s="90" t="s">
        <v>9789</v>
      </c>
      <c r="I72" s="90" t="s">
        <v>14</v>
      </c>
      <c r="J72" s="90" t="s">
        <v>1868</v>
      </c>
      <c r="K72" s="153"/>
    </row>
    <row r="73" spans="1:11" x14ac:dyDescent="0.3">
      <c r="A73" s="90" t="s">
        <v>9790</v>
      </c>
      <c r="B73" s="90" t="s">
        <v>9752</v>
      </c>
      <c r="C73" s="90" t="s">
        <v>9791</v>
      </c>
      <c r="D73" s="90" t="s">
        <v>13</v>
      </c>
      <c r="E73" s="90" t="s">
        <v>9754</v>
      </c>
      <c r="F73" s="90" t="s">
        <v>9792</v>
      </c>
      <c r="G73" s="90" t="s">
        <v>9793</v>
      </c>
      <c r="H73" s="90" t="s">
        <v>9794</v>
      </c>
      <c r="I73" s="90" t="s">
        <v>14</v>
      </c>
      <c r="J73" s="90" t="s">
        <v>1852</v>
      </c>
      <c r="K73" s="153"/>
    </row>
    <row r="74" spans="1:11" x14ac:dyDescent="0.3">
      <c r="A74" s="90" t="s">
        <v>9795</v>
      </c>
      <c r="B74" s="90" t="s">
        <v>9752</v>
      </c>
      <c r="C74" s="90" t="s">
        <v>9796</v>
      </c>
      <c r="D74" s="90" t="s">
        <v>13</v>
      </c>
      <c r="E74" s="90" t="s">
        <v>9797</v>
      </c>
      <c r="F74" s="90" t="s">
        <v>9798</v>
      </c>
      <c r="G74" s="90" t="s">
        <v>9799</v>
      </c>
      <c r="H74" s="90" t="s">
        <v>9800</v>
      </c>
      <c r="I74" s="90" t="s">
        <v>14</v>
      </c>
      <c r="J74" s="90" t="s">
        <v>1868</v>
      </c>
      <c r="K74" s="153"/>
    </row>
    <row r="75" spans="1:11" x14ac:dyDescent="0.3">
      <c r="A75" s="90" t="s">
        <v>9801</v>
      </c>
      <c r="B75" s="90" t="s">
        <v>9752</v>
      </c>
      <c r="C75" s="90" t="s">
        <v>9802</v>
      </c>
      <c r="D75" s="90" t="s">
        <v>13</v>
      </c>
      <c r="E75" s="90" t="s">
        <v>9803</v>
      </c>
      <c r="F75" s="90" t="s">
        <v>9804</v>
      </c>
      <c r="G75" s="90" t="s">
        <v>9805</v>
      </c>
      <c r="H75" s="90" t="s">
        <v>9806</v>
      </c>
      <c r="I75" s="90" t="s">
        <v>14</v>
      </c>
      <c r="J75" s="90" t="s">
        <v>1868</v>
      </c>
      <c r="K75" s="153"/>
    </row>
    <row r="76" spans="1:11" x14ac:dyDescent="0.3">
      <c r="A76" s="90" t="s">
        <v>9807</v>
      </c>
      <c r="B76" s="90" t="s">
        <v>9752</v>
      </c>
      <c r="C76" s="90" t="s">
        <v>9808</v>
      </c>
      <c r="D76" s="90" t="s">
        <v>10</v>
      </c>
      <c r="E76" s="90" t="s">
        <v>9803</v>
      </c>
      <c r="F76" s="90" t="s">
        <v>9809</v>
      </c>
      <c r="G76" s="90" t="s">
        <v>9810</v>
      </c>
      <c r="H76" s="90" t="s">
        <v>9811</v>
      </c>
      <c r="I76" s="90" t="s">
        <v>9812</v>
      </c>
      <c r="J76" s="90" t="s">
        <v>1852</v>
      </c>
      <c r="K76" s="153"/>
    </row>
    <row r="77" spans="1:11" x14ac:dyDescent="0.3">
      <c r="A77" s="90" t="s">
        <v>9813</v>
      </c>
      <c r="B77" s="90" t="s">
        <v>9752</v>
      </c>
      <c r="C77" s="90" t="s">
        <v>9814</v>
      </c>
      <c r="D77" s="90" t="s">
        <v>13</v>
      </c>
      <c r="E77" s="90" t="s">
        <v>9754</v>
      </c>
      <c r="F77" s="90" t="s">
        <v>9815</v>
      </c>
      <c r="G77" s="90" t="s">
        <v>9816</v>
      </c>
      <c r="H77" s="90" t="s">
        <v>9817</v>
      </c>
      <c r="I77" s="90" t="s">
        <v>9818</v>
      </c>
      <c r="J77" s="90" t="s">
        <v>1852</v>
      </c>
      <c r="K77" s="153"/>
    </row>
    <row r="78" spans="1:11" x14ac:dyDescent="0.3">
      <c r="A78" s="90" t="s">
        <v>9819</v>
      </c>
      <c r="B78" s="90" t="s">
        <v>9752</v>
      </c>
      <c r="C78" s="90" t="s">
        <v>9820</v>
      </c>
      <c r="D78" s="90" t="s">
        <v>13</v>
      </c>
      <c r="E78" s="90" t="s">
        <v>9754</v>
      </c>
      <c r="F78" s="90" t="s">
        <v>9821</v>
      </c>
      <c r="G78" s="90" t="s">
        <v>9822</v>
      </c>
      <c r="H78" s="90" t="s">
        <v>9823</v>
      </c>
      <c r="I78" s="90" t="s">
        <v>14</v>
      </c>
      <c r="J78" s="90" t="s">
        <v>1868</v>
      </c>
      <c r="K78" s="153"/>
    </row>
    <row r="79" spans="1:11" x14ac:dyDescent="0.3">
      <c r="A79" s="90" t="s">
        <v>9824</v>
      </c>
      <c r="B79" s="90" t="s">
        <v>9752</v>
      </c>
      <c r="C79" s="90" t="s">
        <v>9825</v>
      </c>
      <c r="D79" s="90" t="s">
        <v>13</v>
      </c>
      <c r="E79" s="90" t="s">
        <v>9754</v>
      </c>
      <c r="F79" s="90" t="s">
        <v>9826</v>
      </c>
      <c r="G79" s="90" t="s">
        <v>9827</v>
      </c>
      <c r="H79" s="90" t="s">
        <v>9828</v>
      </c>
      <c r="I79" s="90" t="s">
        <v>14</v>
      </c>
      <c r="J79" s="90" t="s">
        <v>1868</v>
      </c>
      <c r="K79" s="153"/>
    </row>
    <row r="80" spans="1:11" x14ac:dyDescent="0.3">
      <c r="A80" s="90" t="s">
        <v>9829</v>
      </c>
      <c r="B80" s="90" t="s">
        <v>9752</v>
      </c>
      <c r="C80" s="90" t="s">
        <v>9830</v>
      </c>
      <c r="D80" s="90" t="s">
        <v>21</v>
      </c>
      <c r="E80" s="90" t="s">
        <v>9831</v>
      </c>
      <c r="F80" s="90" t="s">
        <v>9832</v>
      </c>
      <c r="G80" s="90" t="s">
        <v>9833</v>
      </c>
      <c r="H80" s="90" t="s">
        <v>9834</v>
      </c>
      <c r="I80" s="90" t="s">
        <v>9835</v>
      </c>
      <c r="J80" s="90" t="s">
        <v>1852</v>
      </c>
      <c r="K80" s="153"/>
    </row>
    <row r="81" spans="1:11" x14ac:dyDescent="0.3">
      <c r="A81" s="90" t="s">
        <v>9836</v>
      </c>
      <c r="B81" s="90" t="s">
        <v>9752</v>
      </c>
      <c r="C81" s="90" t="s">
        <v>9837</v>
      </c>
      <c r="D81" s="90" t="s">
        <v>13</v>
      </c>
      <c r="E81" s="90" t="s">
        <v>9754</v>
      </c>
      <c r="F81" s="90" t="s">
        <v>9838</v>
      </c>
      <c r="G81" s="90" t="s">
        <v>9839</v>
      </c>
      <c r="H81" s="90" t="s">
        <v>9840</v>
      </c>
      <c r="I81" s="90" t="s">
        <v>14</v>
      </c>
      <c r="J81" s="90" t="s">
        <v>1868</v>
      </c>
      <c r="K81" s="153"/>
    </row>
    <row r="82" spans="1:11" x14ac:dyDescent="0.3">
      <c r="A82" s="91" t="s">
        <v>9841</v>
      </c>
      <c r="B82" s="91" t="s">
        <v>9842</v>
      </c>
      <c r="C82" s="91" t="s">
        <v>9843</v>
      </c>
      <c r="D82" s="91" t="s">
        <v>13</v>
      </c>
      <c r="E82" s="91" t="s">
        <v>7846</v>
      </c>
      <c r="F82" s="91" t="s">
        <v>9844</v>
      </c>
      <c r="G82" s="91" t="s">
        <v>9029</v>
      </c>
      <c r="H82" s="91" t="s">
        <v>9030</v>
      </c>
      <c r="I82" s="91" t="s">
        <v>9845</v>
      </c>
      <c r="J82" s="91" t="s">
        <v>1852</v>
      </c>
      <c r="K82" s="153"/>
    </row>
    <row r="83" spans="1:11" x14ac:dyDescent="0.3">
      <c r="A83" s="91" t="s">
        <v>9846</v>
      </c>
      <c r="B83" s="91" t="s">
        <v>9842</v>
      </c>
      <c r="C83" s="91" t="s">
        <v>9847</v>
      </c>
      <c r="D83" s="91" t="s">
        <v>13</v>
      </c>
      <c r="E83" s="91" t="s">
        <v>7846</v>
      </c>
      <c r="F83" s="91" t="s">
        <v>9848</v>
      </c>
      <c r="G83" s="91" t="s">
        <v>9029</v>
      </c>
      <c r="H83" s="91" t="s">
        <v>9030</v>
      </c>
      <c r="I83" s="91" t="s">
        <v>9849</v>
      </c>
      <c r="J83" s="91" t="s">
        <v>1852</v>
      </c>
      <c r="K83" s="153"/>
    </row>
    <row r="84" spans="1:11" x14ac:dyDescent="0.3">
      <c r="A84" s="91" t="s">
        <v>9850</v>
      </c>
      <c r="B84" s="91" t="s">
        <v>9842</v>
      </c>
      <c r="C84" s="91" t="s">
        <v>9851</v>
      </c>
      <c r="D84" s="91" t="s">
        <v>10</v>
      </c>
      <c r="E84" s="91" t="s">
        <v>1577</v>
      </c>
      <c r="F84" s="91" t="s">
        <v>9852</v>
      </c>
      <c r="G84" s="91" t="s">
        <v>9853</v>
      </c>
      <c r="H84" s="91" t="s">
        <v>9854</v>
      </c>
      <c r="I84" s="91" t="s">
        <v>9855</v>
      </c>
      <c r="J84" s="91" t="s">
        <v>1852</v>
      </c>
      <c r="K84" s="153"/>
    </row>
    <row r="85" spans="1:11" x14ac:dyDescent="0.3">
      <c r="A85" s="91" t="s">
        <v>9856</v>
      </c>
      <c r="B85" s="91" t="s">
        <v>9842</v>
      </c>
      <c r="C85" s="91" t="s">
        <v>9056</v>
      </c>
      <c r="D85" s="91" t="s">
        <v>13</v>
      </c>
      <c r="E85" s="91" t="s">
        <v>1577</v>
      </c>
      <c r="F85" s="91" t="s">
        <v>9857</v>
      </c>
      <c r="G85" s="91" t="s">
        <v>9858</v>
      </c>
      <c r="H85" s="91" t="s">
        <v>9859</v>
      </c>
      <c r="I85" s="91" t="s">
        <v>14</v>
      </c>
      <c r="J85" s="91" t="s">
        <v>1868</v>
      </c>
      <c r="K85" s="153"/>
    </row>
    <row r="86" spans="1:11" x14ac:dyDescent="0.3">
      <c r="A86" s="91" t="s">
        <v>9860</v>
      </c>
      <c r="B86" s="91" t="s">
        <v>9842</v>
      </c>
      <c r="C86" s="91" t="s">
        <v>9861</v>
      </c>
      <c r="D86" s="91" t="s">
        <v>13</v>
      </c>
      <c r="E86" s="91" t="s">
        <v>1577</v>
      </c>
      <c r="F86" s="91" t="s">
        <v>9857</v>
      </c>
      <c r="G86" s="91" t="s">
        <v>9862</v>
      </c>
      <c r="H86" s="91" t="s">
        <v>9863</v>
      </c>
      <c r="I86" s="91" t="s">
        <v>9864</v>
      </c>
      <c r="J86" s="91" t="s">
        <v>1852</v>
      </c>
      <c r="K86" s="153"/>
    </row>
    <row r="87" spans="1:11" x14ac:dyDescent="0.3">
      <c r="A87" s="91" t="s">
        <v>9865</v>
      </c>
      <c r="B87" s="91" t="s">
        <v>9842</v>
      </c>
      <c r="C87" s="91" t="s">
        <v>9866</v>
      </c>
      <c r="D87" s="91" t="s">
        <v>13</v>
      </c>
      <c r="E87" s="91" t="s">
        <v>1577</v>
      </c>
      <c r="F87" s="91" t="s">
        <v>9857</v>
      </c>
      <c r="G87" s="91" t="s">
        <v>9867</v>
      </c>
      <c r="H87" s="91" t="s">
        <v>9868</v>
      </c>
      <c r="I87" s="91" t="s">
        <v>9869</v>
      </c>
      <c r="J87" s="91" t="s">
        <v>1852</v>
      </c>
      <c r="K87" s="153"/>
    </row>
    <row r="88" spans="1:11" x14ac:dyDescent="0.3">
      <c r="A88" s="91" t="s">
        <v>9870</v>
      </c>
      <c r="B88" s="91" t="s">
        <v>9842</v>
      </c>
      <c r="C88" s="91" t="s">
        <v>9871</v>
      </c>
      <c r="D88" s="91" t="s">
        <v>13</v>
      </c>
      <c r="E88" s="91" t="s">
        <v>1577</v>
      </c>
      <c r="F88" s="91" t="s">
        <v>9857</v>
      </c>
      <c r="G88" s="91" t="s">
        <v>9872</v>
      </c>
      <c r="H88" s="91" t="s">
        <v>9873</v>
      </c>
      <c r="I88" s="91" t="s">
        <v>14</v>
      </c>
      <c r="J88" s="91" t="s">
        <v>1852</v>
      </c>
      <c r="K88" s="153"/>
    </row>
    <row r="89" spans="1:11" x14ac:dyDescent="0.3">
      <c r="A89" s="91" t="s">
        <v>9874</v>
      </c>
      <c r="B89" s="91" t="s">
        <v>9842</v>
      </c>
      <c r="C89" s="91" t="s">
        <v>9875</v>
      </c>
      <c r="D89" s="91" t="s">
        <v>13</v>
      </c>
      <c r="E89" s="91" t="s">
        <v>1577</v>
      </c>
      <c r="F89" s="91" t="s">
        <v>9610</v>
      </c>
      <c r="G89" s="91" t="s">
        <v>9876</v>
      </c>
      <c r="H89" s="91" t="s">
        <v>9877</v>
      </c>
      <c r="I89" s="91" t="s">
        <v>14</v>
      </c>
      <c r="J89" s="91" t="s">
        <v>1868</v>
      </c>
      <c r="K89" s="153"/>
    </row>
    <row r="90" spans="1:11" x14ac:dyDescent="0.3">
      <c r="A90" s="91" t="s">
        <v>9878</v>
      </c>
      <c r="B90" s="91" t="s">
        <v>9842</v>
      </c>
      <c r="C90" s="91" t="s">
        <v>9879</v>
      </c>
      <c r="D90" s="91" t="s">
        <v>10</v>
      </c>
      <c r="E90" s="91" t="s">
        <v>1577</v>
      </c>
      <c r="F90" s="91" t="s">
        <v>9632</v>
      </c>
      <c r="G90" s="91" t="s">
        <v>9880</v>
      </c>
      <c r="H90" s="91" t="s">
        <v>9881</v>
      </c>
      <c r="I90" s="91" t="s">
        <v>9882</v>
      </c>
      <c r="J90" s="91" t="s">
        <v>1868</v>
      </c>
      <c r="K90" s="153"/>
    </row>
    <row r="91" spans="1:11" x14ac:dyDescent="0.3">
      <c r="A91" s="91" t="s">
        <v>9883</v>
      </c>
      <c r="B91" s="91" t="s">
        <v>9842</v>
      </c>
      <c r="C91" s="91" t="s">
        <v>9884</v>
      </c>
      <c r="D91" s="91" t="s">
        <v>10</v>
      </c>
      <c r="E91" s="91" t="s">
        <v>1577</v>
      </c>
      <c r="F91" s="91" t="s">
        <v>9885</v>
      </c>
      <c r="G91" s="91" t="s">
        <v>9886</v>
      </c>
      <c r="H91" s="91" t="s">
        <v>9887</v>
      </c>
      <c r="I91" s="91" t="s">
        <v>9888</v>
      </c>
      <c r="J91" s="91" t="s">
        <v>1852</v>
      </c>
      <c r="K91" s="153"/>
    </row>
    <row r="92" spans="1:11" x14ac:dyDescent="0.3">
      <c r="A92" s="91" t="s">
        <v>9889</v>
      </c>
      <c r="B92" s="91" t="s">
        <v>9842</v>
      </c>
      <c r="C92" s="91" t="s">
        <v>9890</v>
      </c>
      <c r="D92" s="91" t="s">
        <v>10</v>
      </c>
      <c r="E92" s="91" t="s">
        <v>1577</v>
      </c>
      <c r="F92" s="91" t="s">
        <v>9891</v>
      </c>
      <c r="G92" s="91" t="s">
        <v>9892</v>
      </c>
      <c r="H92" s="91" t="s">
        <v>9893</v>
      </c>
      <c r="I92" s="91" t="s">
        <v>9894</v>
      </c>
      <c r="J92" s="91" t="s">
        <v>1852</v>
      </c>
      <c r="K92" s="153"/>
    </row>
    <row r="93" spans="1:11" x14ac:dyDescent="0.3">
      <c r="A93" s="91" t="s">
        <v>9895</v>
      </c>
      <c r="B93" s="91" t="s">
        <v>9842</v>
      </c>
      <c r="C93" s="91" t="s">
        <v>9896</v>
      </c>
      <c r="D93" s="91" t="s">
        <v>13</v>
      </c>
      <c r="E93" s="91" t="s">
        <v>4088</v>
      </c>
      <c r="F93" s="91" t="s">
        <v>9897</v>
      </c>
      <c r="G93" s="91" t="s">
        <v>9898</v>
      </c>
      <c r="H93" s="91" t="s">
        <v>9066</v>
      </c>
      <c r="I93" s="91" t="s">
        <v>14</v>
      </c>
      <c r="J93" s="91" t="s">
        <v>1868</v>
      </c>
      <c r="K93" s="153"/>
    </row>
    <row r="94" spans="1:11" x14ac:dyDescent="0.3">
      <c r="A94" s="91" t="s">
        <v>9899</v>
      </c>
      <c r="B94" s="91" t="s">
        <v>9842</v>
      </c>
      <c r="C94" s="91" t="s">
        <v>9900</v>
      </c>
      <c r="D94" s="91" t="s">
        <v>13</v>
      </c>
      <c r="E94" s="91" t="s">
        <v>1577</v>
      </c>
      <c r="F94" s="91" t="s">
        <v>9584</v>
      </c>
      <c r="G94" s="91" t="s">
        <v>9901</v>
      </c>
      <c r="H94" s="91" t="s">
        <v>9902</v>
      </c>
      <c r="I94" s="91" t="s">
        <v>14</v>
      </c>
      <c r="J94" s="91" t="s">
        <v>1868</v>
      </c>
      <c r="K94" s="153"/>
    </row>
    <row r="95" spans="1:11" x14ac:dyDescent="0.3">
      <c r="A95" s="91" t="s">
        <v>9903</v>
      </c>
      <c r="B95" s="91" t="s">
        <v>9842</v>
      </c>
      <c r="C95" s="91" t="s">
        <v>9904</v>
      </c>
      <c r="D95" s="91" t="s">
        <v>13</v>
      </c>
      <c r="E95" s="91" t="s">
        <v>1577</v>
      </c>
      <c r="F95" s="91" t="s">
        <v>9766</v>
      </c>
      <c r="G95" s="91" t="s">
        <v>9905</v>
      </c>
      <c r="H95" s="91" t="s">
        <v>9902</v>
      </c>
      <c r="I95" s="91" t="s">
        <v>14</v>
      </c>
      <c r="J95" s="91" t="s">
        <v>1868</v>
      </c>
      <c r="K95" s="153"/>
    </row>
    <row r="96" spans="1:11" x14ac:dyDescent="0.3">
      <c r="A96" s="92" t="s">
        <v>9906</v>
      </c>
      <c r="B96" s="92" t="s">
        <v>9907</v>
      </c>
      <c r="C96" s="92" t="s">
        <v>9908</v>
      </c>
      <c r="D96" s="92" t="s">
        <v>13</v>
      </c>
      <c r="E96" s="92" t="s">
        <v>1420</v>
      </c>
      <c r="F96" s="92" t="s">
        <v>9909</v>
      </c>
      <c r="G96" s="92" t="s">
        <v>9910</v>
      </c>
      <c r="H96" s="92" t="s">
        <v>9911</v>
      </c>
      <c r="I96" s="92" t="s">
        <v>14</v>
      </c>
      <c r="J96" s="92" t="s">
        <v>1852</v>
      </c>
      <c r="K96" s="153"/>
    </row>
    <row r="97" spans="1:11" x14ac:dyDescent="0.3">
      <c r="A97" s="92" t="s">
        <v>9912</v>
      </c>
      <c r="B97" s="92" t="s">
        <v>9907</v>
      </c>
      <c r="C97" s="92" t="s">
        <v>9913</v>
      </c>
      <c r="D97" s="92" t="s">
        <v>13</v>
      </c>
      <c r="E97" s="92" t="s">
        <v>1420</v>
      </c>
      <c r="F97" s="92" t="s">
        <v>9914</v>
      </c>
      <c r="G97" s="92" t="s">
        <v>9524</v>
      </c>
      <c r="H97" s="92" t="s">
        <v>9915</v>
      </c>
      <c r="I97" s="92" t="s">
        <v>14</v>
      </c>
      <c r="J97" s="92" t="s">
        <v>1852</v>
      </c>
      <c r="K97" s="153"/>
    </row>
    <row r="98" spans="1:11" x14ac:dyDescent="0.3">
      <c r="A98" s="92" t="s">
        <v>9916</v>
      </c>
      <c r="B98" s="92" t="s">
        <v>9907</v>
      </c>
      <c r="C98" s="92" t="s">
        <v>9917</v>
      </c>
      <c r="D98" s="92" t="s">
        <v>13</v>
      </c>
      <c r="E98" s="92" t="s">
        <v>1420</v>
      </c>
      <c r="F98" s="92" t="s">
        <v>9914</v>
      </c>
      <c r="G98" s="92" t="s">
        <v>9918</v>
      </c>
      <c r="H98" s="92" t="s">
        <v>9919</v>
      </c>
      <c r="I98" s="92" t="s">
        <v>14</v>
      </c>
      <c r="J98" s="92" t="s">
        <v>1852</v>
      </c>
      <c r="K98" s="153"/>
    </row>
    <row r="99" spans="1:11" x14ac:dyDescent="0.3">
      <c r="A99" s="92" t="s">
        <v>9920</v>
      </c>
      <c r="B99" s="92" t="s">
        <v>9907</v>
      </c>
      <c r="C99" s="92" t="s">
        <v>9921</v>
      </c>
      <c r="D99" s="92" t="s">
        <v>13</v>
      </c>
      <c r="E99" s="92" t="s">
        <v>1420</v>
      </c>
      <c r="F99" s="92" t="s">
        <v>8286</v>
      </c>
      <c r="G99" s="92" t="s">
        <v>9922</v>
      </c>
      <c r="H99" s="92" t="s">
        <v>9923</v>
      </c>
      <c r="I99" s="92" t="s">
        <v>14</v>
      </c>
      <c r="J99" s="92" t="s">
        <v>1852</v>
      </c>
      <c r="K99" s="153"/>
    </row>
    <row r="100" spans="1:11" x14ac:dyDescent="0.3">
      <c r="A100" s="92" t="s">
        <v>9924</v>
      </c>
      <c r="B100" s="92" t="s">
        <v>9907</v>
      </c>
      <c r="C100" s="92" t="s">
        <v>9925</v>
      </c>
      <c r="D100" s="92" t="s">
        <v>13</v>
      </c>
      <c r="E100" s="92" t="s">
        <v>1420</v>
      </c>
      <c r="F100" s="92" t="s">
        <v>9926</v>
      </c>
      <c r="G100" s="92" t="s">
        <v>9927</v>
      </c>
      <c r="H100" s="92" t="s">
        <v>9928</v>
      </c>
      <c r="I100" s="92" t="s">
        <v>14</v>
      </c>
      <c r="J100" s="92" t="s">
        <v>1852</v>
      </c>
      <c r="K100" s="153"/>
    </row>
    <row r="101" spans="1:11" x14ac:dyDescent="0.3">
      <c r="A101" s="92" t="s">
        <v>9929</v>
      </c>
      <c r="B101" s="92" t="s">
        <v>9907</v>
      </c>
      <c r="C101" s="92" t="s">
        <v>9930</v>
      </c>
      <c r="D101" s="92" t="s">
        <v>10</v>
      </c>
      <c r="E101" s="92" t="s">
        <v>1420</v>
      </c>
      <c r="F101" s="92" t="s">
        <v>9159</v>
      </c>
      <c r="G101" s="92" t="s">
        <v>9931</v>
      </c>
      <c r="H101" s="92" t="s">
        <v>8292</v>
      </c>
      <c r="I101" s="92" t="s">
        <v>9932</v>
      </c>
      <c r="J101" s="92" t="s">
        <v>1852</v>
      </c>
      <c r="K101" s="153"/>
    </row>
    <row r="102" spans="1:11" x14ac:dyDescent="0.3">
      <c r="A102" s="92" t="s">
        <v>9933</v>
      </c>
      <c r="B102" s="92" t="s">
        <v>9907</v>
      </c>
      <c r="C102" s="92" t="s">
        <v>9934</v>
      </c>
      <c r="D102" s="92" t="s">
        <v>13</v>
      </c>
      <c r="E102" s="92" t="s">
        <v>1420</v>
      </c>
      <c r="F102" s="92" t="s">
        <v>8300</v>
      </c>
      <c r="G102" s="92" t="s">
        <v>9935</v>
      </c>
      <c r="H102" s="92" t="s">
        <v>9936</v>
      </c>
      <c r="I102" s="92" t="s">
        <v>14</v>
      </c>
      <c r="J102" s="92" t="s">
        <v>1868</v>
      </c>
      <c r="K102" s="153"/>
    </row>
    <row r="103" spans="1:11" x14ac:dyDescent="0.3">
      <c r="A103" s="92" t="s">
        <v>9937</v>
      </c>
      <c r="B103" s="92" t="s">
        <v>9907</v>
      </c>
      <c r="C103" s="92" t="s">
        <v>9938</v>
      </c>
      <c r="D103" s="92" t="s">
        <v>10</v>
      </c>
      <c r="E103" s="92" t="s">
        <v>1420</v>
      </c>
      <c r="F103" s="92" t="s">
        <v>8300</v>
      </c>
      <c r="G103" s="92" t="s">
        <v>8798</v>
      </c>
      <c r="H103" s="92" t="s">
        <v>8302</v>
      </c>
      <c r="I103" s="92" t="s">
        <v>9939</v>
      </c>
      <c r="J103" s="92" t="s">
        <v>1852</v>
      </c>
      <c r="K103" s="153"/>
    </row>
    <row r="104" spans="1:11" x14ac:dyDescent="0.3">
      <c r="A104" s="92" t="s">
        <v>9940</v>
      </c>
      <c r="B104" s="92" t="s">
        <v>9907</v>
      </c>
      <c r="C104" s="92" t="s">
        <v>9941</v>
      </c>
      <c r="D104" s="92" t="s">
        <v>10</v>
      </c>
      <c r="E104" s="92" t="s">
        <v>1420</v>
      </c>
      <c r="F104" s="92" t="s">
        <v>9942</v>
      </c>
      <c r="G104" s="92" t="s">
        <v>9943</v>
      </c>
      <c r="H104" s="92" t="s">
        <v>9944</v>
      </c>
      <c r="I104" s="92" t="s">
        <v>9945</v>
      </c>
      <c r="J104" s="92" t="s">
        <v>1852</v>
      </c>
      <c r="K104" s="153"/>
    </row>
    <row r="105" spans="1:11" x14ac:dyDescent="0.3">
      <c r="A105" s="92" t="s">
        <v>9946</v>
      </c>
      <c r="B105" s="92" t="s">
        <v>9907</v>
      </c>
      <c r="C105" s="92" t="s">
        <v>9947</v>
      </c>
      <c r="D105" s="92" t="s">
        <v>13</v>
      </c>
      <c r="E105" s="92" t="s">
        <v>9948</v>
      </c>
      <c r="F105" s="92" t="s">
        <v>9180</v>
      </c>
      <c r="G105" s="92" t="s">
        <v>9949</v>
      </c>
      <c r="H105" s="92" t="s">
        <v>9950</v>
      </c>
      <c r="I105" s="92" t="s">
        <v>14</v>
      </c>
      <c r="J105" s="92" t="s">
        <v>1868</v>
      </c>
      <c r="K105" s="153"/>
    </row>
    <row r="106" spans="1:11" x14ac:dyDescent="0.3">
      <c r="A106" s="92" t="s">
        <v>9951</v>
      </c>
      <c r="B106" s="92" t="s">
        <v>9907</v>
      </c>
      <c r="C106" s="92" t="s">
        <v>9952</v>
      </c>
      <c r="D106" s="92" t="s">
        <v>10</v>
      </c>
      <c r="E106" s="92" t="s">
        <v>152</v>
      </c>
      <c r="F106" s="92" t="s">
        <v>8318</v>
      </c>
      <c r="G106" s="92" t="s">
        <v>9953</v>
      </c>
      <c r="H106" s="92" t="s">
        <v>8320</v>
      </c>
      <c r="I106" s="92" t="s">
        <v>9191</v>
      </c>
      <c r="J106" s="92" t="s">
        <v>1852</v>
      </c>
      <c r="K106" s="153"/>
    </row>
    <row r="107" spans="1:11" x14ac:dyDescent="0.3">
      <c r="A107" s="92" t="s">
        <v>9954</v>
      </c>
      <c r="B107" s="92" t="s">
        <v>9907</v>
      </c>
      <c r="C107" s="92" t="s">
        <v>9955</v>
      </c>
      <c r="D107" s="92" t="s">
        <v>13</v>
      </c>
      <c r="E107" s="92" t="s">
        <v>1420</v>
      </c>
      <c r="F107" s="92" t="s">
        <v>9194</v>
      </c>
      <c r="G107" s="92" t="s">
        <v>9956</v>
      </c>
      <c r="H107" s="92" t="s">
        <v>9957</v>
      </c>
      <c r="I107" s="92" t="s">
        <v>14</v>
      </c>
      <c r="J107" s="92" t="s">
        <v>1868</v>
      </c>
      <c r="K107" s="153"/>
    </row>
    <row r="108" spans="1:11" x14ac:dyDescent="0.3">
      <c r="A108" s="92" t="s">
        <v>9958</v>
      </c>
      <c r="B108" s="92" t="s">
        <v>9907</v>
      </c>
      <c r="C108" s="92" t="s">
        <v>9959</v>
      </c>
      <c r="D108" s="92" t="s">
        <v>10</v>
      </c>
      <c r="E108" s="92" t="s">
        <v>1420</v>
      </c>
      <c r="F108" s="92" t="s">
        <v>9960</v>
      </c>
      <c r="G108" s="92" t="s">
        <v>9961</v>
      </c>
      <c r="H108" s="92" t="s">
        <v>9962</v>
      </c>
      <c r="I108" s="92" t="s">
        <v>9963</v>
      </c>
      <c r="J108" s="92" t="s">
        <v>1852</v>
      </c>
      <c r="K108" s="153"/>
    </row>
    <row r="109" spans="1:11" x14ac:dyDescent="0.3">
      <c r="A109" s="92" t="s">
        <v>9964</v>
      </c>
      <c r="B109" s="92" t="s">
        <v>9907</v>
      </c>
      <c r="C109" s="92" t="s">
        <v>9965</v>
      </c>
      <c r="D109" s="92" t="s">
        <v>13</v>
      </c>
      <c r="E109" s="92" t="s">
        <v>9683</v>
      </c>
      <c r="F109" s="92" t="s">
        <v>9966</v>
      </c>
      <c r="G109" s="92" t="s">
        <v>9967</v>
      </c>
      <c r="H109" s="92" t="s">
        <v>9968</v>
      </c>
      <c r="I109" s="92" t="s">
        <v>14</v>
      </c>
      <c r="J109" s="92" t="s">
        <v>1852</v>
      </c>
      <c r="K109" s="153"/>
    </row>
    <row r="110" spans="1:11" x14ac:dyDescent="0.3">
      <c r="A110" s="93" t="s">
        <v>9969</v>
      </c>
      <c r="B110" s="93" t="s">
        <v>9970</v>
      </c>
      <c r="C110" s="93" t="s">
        <v>9971</v>
      </c>
      <c r="D110" s="93" t="s">
        <v>13</v>
      </c>
      <c r="E110" s="93" t="s">
        <v>9972</v>
      </c>
      <c r="F110" s="93" t="s">
        <v>9973</v>
      </c>
      <c r="G110" s="93" t="s">
        <v>8370</v>
      </c>
      <c r="H110" s="93" t="s">
        <v>9974</v>
      </c>
      <c r="I110" s="93" t="s">
        <v>14</v>
      </c>
      <c r="J110" s="93" t="s">
        <v>1852</v>
      </c>
      <c r="K110" s="153"/>
    </row>
    <row r="111" spans="1:11" x14ac:dyDescent="0.3">
      <c r="A111" s="93" t="s">
        <v>9975</v>
      </c>
      <c r="B111" s="93" t="s">
        <v>9970</v>
      </c>
      <c r="C111" s="93" t="s">
        <v>9207</v>
      </c>
      <c r="D111" s="93" t="s">
        <v>13</v>
      </c>
      <c r="E111" s="93" t="s">
        <v>4088</v>
      </c>
      <c r="F111" s="93" t="s">
        <v>9976</v>
      </c>
      <c r="G111" s="93" t="s">
        <v>8370</v>
      </c>
      <c r="H111" s="93" t="s">
        <v>9209</v>
      </c>
      <c r="I111" s="93" t="s">
        <v>14</v>
      </c>
      <c r="J111" s="93" t="s">
        <v>1852</v>
      </c>
      <c r="K111" s="153"/>
    </row>
    <row r="112" spans="1:11" x14ac:dyDescent="0.3">
      <c r="A112" s="93" t="s">
        <v>9977</v>
      </c>
      <c r="B112" s="93" t="s">
        <v>9970</v>
      </c>
      <c r="C112" s="93" t="s">
        <v>9978</v>
      </c>
      <c r="D112" s="93" t="s">
        <v>13</v>
      </c>
      <c r="E112" s="93" t="s">
        <v>4088</v>
      </c>
      <c r="F112" s="93" t="s">
        <v>9979</v>
      </c>
      <c r="G112" s="93" t="s">
        <v>8370</v>
      </c>
      <c r="H112" s="93" t="s">
        <v>9980</v>
      </c>
      <c r="I112" s="93" t="s">
        <v>14</v>
      </c>
      <c r="J112" s="93" t="s">
        <v>1852</v>
      </c>
      <c r="K112" s="153"/>
    </row>
    <row r="113" spans="1:11" x14ac:dyDescent="0.3">
      <c r="A113" s="93" t="s">
        <v>9981</v>
      </c>
      <c r="B113" s="93" t="s">
        <v>9970</v>
      </c>
      <c r="C113" s="93" t="s">
        <v>9982</v>
      </c>
      <c r="D113" s="93" t="s">
        <v>13</v>
      </c>
      <c r="E113" s="93" t="s">
        <v>4088</v>
      </c>
      <c r="F113" s="93" t="s">
        <v>9918</v>
      </c>
      <c r="G113" s="93" t="s">
        <v>8370</v>
      </c>
      <c r="H113" s="93" t="s">
        <v>9983</v>
      </c>
      <c r="I113" s="93" t="s">
        <v>14</v>
      </c>
      <c r="J113" s="93" t="s">
        <v>1852</v>
      </c>
      <c r="K113" s="153"/>
    </row>
    <row r="114" spans="1:11" x14ac:dyDescent="0.3">
      <c r="A114" s="93" t="s">
        <v>9984</v>
      </c>
      <c r="B114" s="93" t="s">
        <v>9970</v>
      </c>
      <c r="C114" s="93" t="s">
        <v>9985</v>
      </c>
      <c r="D114" s="93" t="s">
        <v>13</v>
      </c>
      <c r="E114" s="93" t="s">
        <v>4088</v>
      </c>
      <c r="F114" s="93" t="s">
        <v>9986</v>
      </c>
      <c r="G114" s="93" t="s">
        <v>8370</v>
      </c>
      <c r="H114" s="93" t="s">
        <v>9987</v>
      </c>
      <c r="I114" s="93" t="s">
        <v>14</v>
      </c>
      <c r="J114" s="93" t="s">
        <v>1852</v>
      </c>
      <c r="K114" s="153"/>
    </row>
    <row r="115" spans="1:11" x14ac:dyDescent="0.3">
      <c r="A115" s="93" t="s">
        <v>9988</v>
      </c>
      <c r="B115" s="93" t="s">
        <v>9970</v>
      </c>
      <c r="C115" s="93" t="s">
        <v>9989</v>
      </c>
      <c r="D115" s="93" t="s">
        <v>13</v>
      </c>
      <c r="E115" s="93" t="s">
        <v>9990</v>
      </c>
      <c r="F115" s="93" t="s">
        <v>9991</v>
      </c>
      <c r="G115" s="93" t="s">
        <v>9992</v>
      </c>
      <c r="H115" s="93" t="s">
        <v>9993</v>
      </c>
      <c r="I115" s="93" t="s">
        <v>14</v>
      </c>
      <c r="J115" s="93" t="s">
        <v>1852</v>
      </c>
      <c r="K115" s="153"/>
    </row>
    <row r="116" spans="1:11" x14ac:dyDescent="0.3">
      <c r="A116" s="93" t="s">
        <v>9994</v>
      </c>
      <c r="B116" s="93" t="s">
        <v>9970</v>
      </c>
      <c r="C116" s="93" t="s">
        <v>9227</v>
      </c>
      <c r="D116" s="93" t="s">
        <v>10</v>
      </c>
      <c r="E116" s="93" t="s">
        <v>4088</v>
      </c>
      <c r="F116" s="93" t="s">
        <v>9995</v>
      </c>
      <c r="G116" s="93" t="s">
        <v>9229</v>
      </c>
      <c r="H116" s="93" t="s">
        <v>9230</v>
      </c>
      <c r="I116" s="93" t="s">
        <v>9231</v>
      </c>
      <c r="J116" s="93" t="s">
        <v>1852</v>
      </c>
      <c r="K116" s="153"/>
    </row>
    <row r="117" spans="1:11" x14ac:dyDescent="0.3">
      <c r="A117" s="93" t="s">
        <v>9996</v>
      </c>
      <c r="B117" s="93" t="s">
        <v>9970</v>
      </c>
      <c r="C117" s="93" t="s">
        <v>9997</v>
      </c>
      <c r="D117" s="93" t="s">
        <v>13</v>
      </c>
      <c r="E117" s="93" t="s">
        <v>58</v>
      </c>
      <c r="F117" s="93" t="s">
        <v>9998</v>
      </c>
      <c r="G117" s="93" t="s">
        <v>9999</v>
      </c>
      <c r="H117" s="93" t="s">
        <v>10000</v>
      </c>
      <c r="I117" s="93" t="s">
        <v>14</v>
      </c>
      <c r="J117" s="93" t="s">
        <v>1852</v>
      </c>
      <c r="K117" s="153"/>
    </row>
    <row r="118" spans="1:11" x14ac:dyDescent="0.3">
      <c r="A118" s="93" t="s">
        <v>10001</v>
      </c>
      <c r="B118" s="93" t="s">
        <v>9970</v>
      </c>
      <c r="C118" s="93" t="s">
        <v>10002</v>
      </c>
      <c r="D118" s="93" t="s">
        <v>13</v>
      </c>
      <c r="E118" s="93" t="s">
        <v>10003</v>
      </c>
      <c r="F118" s="93" t="s">
        <v>10004</v>
      </c>
      <c r="G118" s="93" t="s">
        <v>10005</v>
      </c>
      <c r="H118" s="93" t="s">
        <v>10006</v>
      </c>
      <c r="I118" s="93" t="s">
        <v>14</v>
      </c>
      <c r="J118" s="93" t="s">
        <v>1868</v>
      </c>
      <c r="K118" s="153"/>
    </row>
    <row r="119" spans="1:11" x14ac:dyDescent="0.3">
      <c r="A119" s="93" t="s">
        <v>10007</v>
      </c>
      <c r="B119" s="93" t="s">
        <v>9970</v>
      </c>
      <c r="C119" s="93" t="s">
        <v>9237</v>
      </c>
      <c r="D119" s="93" t="s">
        <v>13</v>
      </c>
      <c r="E119" s="93" t="s">
        <v>4088</v>
      </c>
      <c r="F119" s="93" t="s">
        <v>10008</v>
      </c>
      <c r="G119" s="93" t="s">
        <v>8370</v>
      </c>
      <c r="H119" s="93" t="s">
        <v>9239</v>
      </c>
      <c r="I119" s="93" t="s">
        <v>14</v>
      </c>
      <c r="J119" s="93" t="s">
        <v>1868</v>
      </c>
      <c r="K119" s="153"/>
    </row>
    <row r="120" spans="1:11" x14ac:dyDescent="0.3">
      <c r="A120" s="93" t="s">
        <v>10009</v>
      </c>
      <c r="B120" s="93" t="s">
        <v>9970</v>
      </c>
      <c r="C120" s="93" t="s">
        <v>10010</v>
      </c>
      <c r="D120" s="93" t="s">
        <v>13</v>
      </c>
      <c r="E120" s="93" t="s">
        <v>58</v>
      </c>
      <c r="F120" s="93" t="s">
        <v>10011</v>
      </c>
      <c r="G120" s="93" t="s">
        <v>10012</v>
      </c>
      <c r="H120" s="93" t="s">
        <v>10013</v>
      </c>
      <c r="I120" s="93" t="s">
        <v>10014</v>
      </c>
      <c r="J120" s="93" t="s">
        <v>1868</v>
      </c>
      <c r="K120" s="153"/>
    </row>
    <row r="121" spans="1:11" x14ac:dyDescent="0.3">
      <c r="A121" s="93" t="s">
        <v>10015</v>
      </c>
      <c r="B121" s="93" t="s">
        <v>9970</v>
      </c>
      <c r="C121" s="93" t="s">
        <v>10016</v>
      </c>
      <c r="D121" s="93" t="s">
        <v>13</v>
      </c>
      <c r="E121" s="93" t="s">
        <v>58</v>
      </c>
      <c r="F121" s="93" t="s">
        <v>9798</v>
      </c>
      <c r="G121" s="93" t="s">
        <v>10017</v>
      </c>
      <c r="H121" s="93" t="s">
        <v>10018</v>
      </c>
      <c r="I121" s="93" t="s">
        <v>14</v>
      </c>
      <c r="J121" s="93" t="s">
        <v>1868</v>
      </c>
      <c r="K121" s="153"/>
    </row>
    <row r="122" spans="1:11" x14ac:dyDescent="0.3">
      <c r="A122" s="93" t="s">
        <v>10019</v>
      </c>
      <c r="B122" s="93" t="s">
        <v>9970</v>
      </c>
      <c r="C122" s="93" t="s">
        <v>10020</v>
      </c>
      <c r="D122" s="93" t="s">
        <v>13</v>
      </c>
      <c r="E122" s="93" t="s">
        <v>10021</v>
      </c>
      <c r="F122" s="93" t="s">
        <v>10022</v>
      </c>
      <c r="G122" s="93" t="s">
        <v>10005</v>
      </c>
      <c r="H122" s="93" t="s">
        <v>10023</v>
      </c>
      <c r="I122" s="93" t="s">
        <v>14</v>
      </c>
      <c r="J122" s="93" t="s">
        <v>1868</v>
      </c>
      <c r="K122" s="153"/>
    </row>
    <row r="123" spans="1:11" x14ac:dyDescent="0.3">
      <c r="A123" s="93" t="s">
        <v>10024</v>
      </c>
      <c r="B123" s="93" t="s">
        <v>9970</v>
      </c>
      <c r="C123" s="93" t="s">
        <v>10025</v>
      </c>
      <c r="D123" s="93" t="s">
        <v>13</v>
      </c>
      <c r="E123" s="93" t="s">
        <v>9737</v>
      </c>
      <c r="F123" s="93" t="s">
        <v>10026</v>
      </c>
      <c r="G123" s="93" t="s">
        <v>10012</v>
      </c>
      <c r="H123" s="93" t="s">
        <v>10027</v>
      </c>
      <c r="I123" s="93" t="s">
        <v>10028</v>
      </c>
      <c r="J123" s="93" t="s">
        <v>1852</v>
      </c>
      <c r="K123" s="153"/>
    </row>
    <row r="124" spans="1:11" x14ac:dyDescent="0.3">
      <c r="A124" s="93" t="s">
        <v>10029</v>
      </c>
      <c r="B124" s="93" t="s">
        <v>9970</v>
      </c>
      <c r="C124" s="93" t="s">
        <v>10030</v>
      </c>
      <c r="D124" s="93" t="s">
        <v>13</v>
      </c>
      <c r="E124" s="93" t="s">
        <v>4088</v>
      </c>
      <c r="F124" s="93" t="s">
        <v>10031</v>
      </c>
      <c r="G124" s="93" t="s">
        <v>10032</v>
      </c>
      <c r="H124" s="93" t="s">
        <v>10033</v>
      </c>
      <c r="I124" s="93" t="s">
        <v>14</v>
      </c>
      <c r="J124" s="93" t="s">
        <v>1868</v>
      </c>
      <c r="K124" s="153"/>
    </row>
    <row r="125" spans="1:11" x14ac:dyDescent="0.3">
      <c r="A125" s="93" t="s">
        <v>10034</v>
      </c>
      <c r="B125" s="93" t="s">
        <v>9970</v>
      </c>
      <c r="C125" s="93" t="s">
        <v>9250</v>
      </c>
      <c r="D125" s="93" t="s">
        <v>13</v>
      </c>
      <c r="E125" s="93" t="s">
        <v>4088</v>
      </c>
      <c r="F125" s="93" t="s">
        <v>10035</v>
      </c>
      <c r="G125" s="93" t="s">
        <v>9252</v>
      </c>
      <c r="H125" s="93" t="s">
        <v>9253</v>
      </c>
      <c r="I125" s="93" t="s">
        <v>14</v>
      </c>
      <c r="J125" s="93" t="s">
        <v>1873</v>
      </c>
      <c r="K125" s="153"/>
    </row>
    <row r="126" spans="1:11" x14ac:dyDescent="0.3">
      <c r="A126" s="87" t="s">
        <v>10036</v>
      </c>
      <c r="B126" s="87" t="s">
        <v>10037</v>
      </c>
      <c r="C126" s="87" t="s">
        <v>10038</v>
      </c>
      <c r="D126" s="87" t="s">
        <v>13</v>
      </c>
      <c r="E126" s="87" t="s">
        <v>10039</v>
      </c>
      <c r="F126" s="87" t="s">
        <v>9973</v>
      </c>
      <c r="G126" s="87" t="s">
        <v>10040</v>
      </c>
      <c r="H126" s="87" t="s">
        <v>9462</v>
      </c>
      <c r="I126" s="87" t="s">
        <v>9463</v>
      </c>
      <c r="J126" s="87" t="s">
        <v>1852</v>
      </c>
      <c r="K126" s="153"/>
    </row>
    <row r="127" spans="1:11" x14ac:dyDescent="0.3">
      <c r="A127" s="87" t="s">
        <v>10041</v>
      </c>
      <c r="B127" s="87" t="s">
        <v>10037</v>
      </c>
      <c r="C127" s="87" t="s">
        <v>10042</v>
      </c>
      <c r="D127" s="87" t="s">
        <v>13</v>
      </c>
      <c r="E127" s="87" t="s">
        <v>10043</v>
      </c>
      <c r="F127" s="87" t="s">
        <v>9676</v>
      </c>
      <c r="G127" s="87" t="s">
        <v>9677</v>
      </c>
      <c r="H127" s="87" t="s">
        <v>10044</v>
      </c>
      <c r="I127" s="87" t="s">
        <v>9481</v>
      </c>
      <c r="J127" s="87" t="s">
        <v>1852</v>
      </c>
      <c r="K127" s="153"/>
    </row>
    <row r="128" spans="1:11" x14ac:dyDescent="0.3">
      <c r="A128" s="87" t="s">
        <v>10045</v>
      </c>
      <c r="B128" s="87" t="s">
        <v>10037</v>
      </c>
      <c r="C128" s="87" t="s">
        <v>10046</v>
      </c>
      <c r="D128" s="87" t="s">
        <v>13</v>
      </c>
      <c r="E128" s="87" t="s">
        <v>4204</v>
      </c>
      <c r="F128" s="87" t="s">
        <v>9986</v>
      </c>
      <c r="G128" s="87" t="s">
        <v>10047</v>
      </c>
      <c r="H128" s="87" t="s">
        <v>10044</v>
      </c>
      <c r="I128" s="87" t="s">
        <v>10048</v>
      </c>
      <c r="J128" s="87" t="s">
        <v>1852</v>
      </c>
      <c r="K128" s="153"/>
    </row>
    <row r="129" spans="1:11" x14ac:dyDescent="0.3">
      <c r="A129" s="87" t="s">
        <v>10049</v>
      </c>
      <c r="B129" s="87" t="s">
        <v>10037</v>
      </c>
      <c r="C129" s="87" t="s">
        <v>10050</v>
      </c>
      <c r="D129" s="87" t="s">
        <v>13</v>
      </c>
      <c r="E129" s="87" t="s">
        <v>4204</v>
      </c>
      <c r="F129" s="87" t="s">
        <v>9524</v>
      </c>
      <c r="G129" s="87" t="s">
        <v>9762</v>
      </c>
      <c r="H129" s="87" t="s">
        <v>10051</v>
      </c>
      <c r="I129" s="87" t="s">
        <v>10052</v>
      </c>
      <c r="J129" s="87" t="s">
        <v>1868</v>
      </c>
      <c r="K129" s="153"/>
    </row>
    <row r="130" spans="1:11" x14ac:dyDescent="0.3">
      <c r="A130" s="87" t="s">
        <v>10053</v>
      </c>
      <c r="B130" s="87" t="s">
        <v>10037</v>
      </c>
      <c r="C130" s="87" t="s">
        <v>10054</v>
      </c>
      <c r="D130" s="87" t="s">
        <v>13</v>
      </c>
      <c r="E130" s="87" t="s">
        <v>4204</v>
      </c>
      <c r="F130" s="87" t="s">
        <v>9918</v>
      </c>
      <c r="G130" s="87" t="s">
        <v>9767</v>
      </c>
      <c r="H130" s="87" t="s">
        <v>10051</v>
      </c>
      <c r="I130" s="87" t="s">
        <v>10055</v>
      </c>
      <c r="J130" s="87" t="s">
        <v>1868</v>
      </c>
      <c r="K130" s="153"/>
    </row>
    <row r="131" spans="1:11" x14ac:dyDescent="0.3">
      <c r="A131" s="87" t="s">
        <v>10056</v>
      </c>
      <c r="B131" s="87" t="s">
        <v>10037</v>
      </c>
      <c r="C131" s="87" t="s">
        <v>10057</v>
      </c>
      <c r="D131" s="87" t="s">
        <v>13</v>
      </c>
      <c r="E131" s="87" t="s">
        <v>4204</v>
      </c>
      <c r="F131" s="87" t="s">
        <v>10058</v>
      </c>
      <c r="G131" s="87" t="s">
        <v>10059</v>
      </c>
      <c r="H131" s="87" t="s">
        <v>9462</v>
      </c>
      <c r="I131" s="87" t="s">
        <v>10060</v>
      </c>
      <c r="J131" s="87" t="s">
        <v>1868</v>
      </c>
      <c r="K131" s="153"/>
    </row>
    <row r="132" spans="1:11" x14ac:dyDescent="0.3">
      <c r="A132" s="87" t="s">
        <v>10061</v>
      </c>
      <c r="B132" s="87" t="s">
        <v>10037</v>
      </c>
      <c r="C132" s="87" t="s">
        <v>10062</v>
      </c>
      <c r="D132" s="87" t="s">
        <v>13</v>
      </c>
      <c r="E132" s="87" t="s">
        <v>10039</v>
      </c>
      <c r="F132" s="87" t="s">
        <v>10063</v>
      </c>
      <c r="G132" s="87" t="s">
        <v>10064</v>
      </c>
      <c r="H132" s="87" t="s">
        <v>10065</v>
      </c>
      <c r="I132" s="87" t="s">
        <v>10066</v>
      </c>
      <c r="J132" s="87" t="s">
        <v>1852</v>
      </c>
      <c r="K132" s="153"/>
    </row>
    <row r="133" spans="1:11" x14ac:dyDescent="0.3">
      <c r="A133" s="87" t="s">
        <v>10067</v>
      </c>
      <c r="B133" s="87" t="s">
        <v>10037</v>
      </c>
      <c r="C133" s="87" t="s">
        <v>5660</v>
      </c>
      <c r="D133" s="87" t="s">
        <v>13</v>
      </c>
      <c r="E133" s="87" t="s">
        <v>10068</v>
      </c>
      <c r="F133" s="87" t="s">
        <v>10014</v>
      </c>
      <c r="G133" s="87" t="s">
        <v>10069</v>
      </c>
      <c r="H133" s="87" t="s">
        <v>10070</v>
      </c>
      <c r="I133" s="87" t="s">
        <v>10071</v>
      </c>
      <c r="J133" s="87" t="s">
        <v>1852</v>
      </c>
      <c r="K133" s="153"/>
    </row>
    <row r="134" spans="1:11" x14ac:dyDescent="0.3">
      <c r="A134" s="87" t="s">
        <v>10072</v>
      </c>
      <c r="B134" s="87" t="s">
        <v>10037</v>
      </c>
      <c r="C134" s="87" t="s">
        <v>10073</v>
      </c>
      <c r="D134" s="87" t="s">
        <v>13</v>
      </c>
      <c r="E134" s="87" t="s">
        <v>4204</v>
      </c>
      <c r="F134" s="87" t="s">
        <v>10074</v>
      </c>
      <c r="G134" s="87" t="s">
        <v>9299</v>
      </c>
      <c r="H134" s="87" t="s">
        <v>10075</v>
      </c>
      <c r="I134" s="87" t="s">
        <v>14</v>
      </c>
      <c r="J134" s="87" t="s">
        <v>1868</v>
      </c>
      <c r="K134" s="153"/>
    </row>
    <row r="135" spans="1:11" x14ac:dyDescent="0.3">
      <c r="A135" s="87" t="s">
        <v>10076</v>
      </c>
      <c r="B135" s="87" t="s">
        <v>10037</v>
      </c>
      <c r="C135" s="87" t="s">
        <v>10077</v>
      </c>
      <c r="D135" s="87" t="s">
        <v>13</v>
      </c>
      <c r="E135" s="87" t="s">
        <v>4204</v>
      </c>
      <c r="F135" s="87" t="s">
        <v>10078</v>
      </c>
      <c r="G135" s="87" t="s">
        <v>9304</v>
      </c>
      <c r="H135" s="87" t="s">
        <v>10079</v>
      </c>
      <c r="I135" s="87" t="s">
        <v>14</v>
      </c>
      <c r="J135" s="87" t="s">
        <v>1868</v>
      </c>
      <c r="K135" s="153"/>
    </row>
    <row r="136" spans="1:11" x14ac:dyDescent="0.3">
      <c r="A136" s="87" t="s">
        <v>10080</v>
      </c>
      <c r="B136" s="87" t="s">
        <v>10037</v>
      </c>
      <c r="C136" s="87" t="s">
        <v>10081</v>
      </c>
      <c r="D136" s="87" t="s">
        <v>21</v>
      </c>
      <c r="E136" s="87" t="s">
        <v>4204</v>
      </c>
      <c r="F136" s="87" t="s">
        <v>10082</v>
      </c>
      <c r="G136" s="87" t="s">
        <v>10083</v>
      </c>
      <c r="H136" s="87" t="s">
        <v>9310</v>
      </c>
      <c r="I136" s="87" t="s">
        <v>10084</v>
      </c>
      <c r="J136" s="87" t="s">
        <v>1868</v>
      </c>
      <c r="K136" s="153"/>
    </row>
    <row r="137" spans="1:11" x14ac:dyDescent="0.3">
      <c r="A137" s="87" t="s">
        <v>10085</v>
      </c>
      <c r="B137" s="87" t="s">
        <v>10037</v>
      </c>
      <c r="C137" s="87" t="s">
        <v>9318</v>
      </c>
      <c r="D137" s="87" t="s">
        <v>13</v>
      </c>
      <c r="E137" s="87" t="s">
        <v>4204</v>
      </c>
      <c r="F137" s="87" t="s">
        <v>9319</v>
      </c>
      <c r="G137" s="87" t="s">
        <v>9857</v>
      </c>
      <c r="H137" s="87" t="s">
        <v>9320</v>
      </c>
      <c r="I137" s="87" t="s">
        <v>14</v>
      </c>
      <c r="J137" s="87" t="s">
        <v>1873</v>
      </c>
      <c r="K137" s="153"/>
    </row>
    <row r="138" spans="1:11" x14ac:dyDescent="0.3">
      <c r="A138" s="87" t="s">
        <v>10086</v>
      </c>
      <c r="B138" s="87" t="s">
        <v>10037</v>
      </c>
      <c r="C138" s="87" t="s">
        <v>10087</v>
      </c>
      <c r="D138" s="87" t="s">
        <v>13</v>
      </c>
      <c r="E138" s="87" t="s">
        <v>10043</v>
      </c>
      <c r="F138" s="87" t="s">
        <v>9676</v>
      </c>
      <c r="G138" s="87" t="s">
        <v>9677</v>
      </c>
      <c r="H138" s="87" t="s">
        <v>10088</v>
      </c>
      <c r="I138" s="87" t="s">
        <v>14</v>
      </c>
      <c r="J138" s="87" t="s">
        <v>1852</v>
      </c>
      <c r="K138" s="153"/>
    </row>
    <row r="139" spans="1:11" x14ac:dyDescent="0.3">
      <c r="A139" s="87" t="s">
        <v>10089</v>
      </c>
      <c r="B139" s="87" t="s">
        <v>10037</v>
      </c>
      <c r="C139" s="87" t="s">
        <v>10090</v>
      </c>
      <c r="D139" s="87" t="s">
        <v>13</v>
      </c>
      <c r="E139" s="87" t="s">
        <v>10068</v>
      </c>
      <c r="F139" s="87" t="s">
        <v>10091</v>
      </c>
      <c r="G139" s="87" t="s">
        <v>10092</v>
      </c>
      <c r="H139" s="87" t="s">
        <v>10093</v>
      </c>
      <c r="I139" s="87" t="s">
        <v>10094</v>
      </c>
      <c r="J139" s="87" t="s">
        <v>1873</v>
      </c>
      <c r="K139" s="153"/>
    </row>
    <row r="140" spans="1:11" x14ac:dyDescent="0.3">
      <c r="A140" s="95" t="s">
        <v>10095</v>
      </c>
      <c r="B140" s="95" t="s">
        <v>10096</v>
      </c>
      <c r="C140" s="95" t="s">
        <v>10097</v>
      </c>
      <c r="D140" s="95" t="s">
        <v>21</v>
      </c>
      <c r="E140" s="95" t="s">
        <v>86</v>
      </c>
      <c r="F140" s="95" t="s">
        <v>10098</v>
      </c>
      <c r="G140" s="95" t="s">
        <v>10099</v>
      </c>
      <c r="H140" s="95" t="s">
        <v>9326</v>
      </c>
      <c r="I140" s="95" t="s">
        <v>90</v>
      </c>
      <c r="J140" s="95" t="s">
        <v>1852</v>
      </c>
      <c r="K140" s="153"/>
    </row>
    <row r="141" spans="1:11" x14ac:dyDescent="0.3">
      <c r="A141" s="95" t="s">
        <v>10100</v>
      </c>
      <c r="B141" s="95" t="s">
        <v>10096</v>
      </c>
      <c r="C141" s="95" t="s">
        <v>10101</v>
      </c>
      <c r="D141" s="95" t="s">
        <v>21</v>
      </c>
      <c r="E141" s="95" t="s">
        <v>984</v>
      </c>
      <c r="F141" s="95" t="s">
        <v>10102</v>
      </c>
      <c r="G141" s="95" t="s">
        <v>10103</v>
      </c>
      <c r="H141" s="95" t="s">
        <v>10104</v>
      </c>
      <c r="I141" s="95" t="s">
        <v>14</v>
      </c>
      <c r="J141" s="95" t="s">
        <v>1852</v>
      </c>
      <c r="K141" s="153"/>
    </row>
    <row r="142" spans="1:11" x14ac:dyDescent="0.3">
      <c r="A142" s="95" t="s">
        <v>10105</v>
      </c>
      <c r="B142" s="95" t="s">
        <v>10096</v>
      </c>
      <c r="C142" s="95" t="s">
        <v>10106</v>
      </c>
      <c r="D142" s="95" t="s">
        <v>21</v>
      </c>
      <c r="E142" s="95" t="s">
        <v>152</v>
      </c>
      <c r="F142" s="95" t="s">
        <v>10107</v>
      </c>
      <c r="G142" s="95" t="s">
        <v>10108</v>
      </c>
      <c r="H142" s="95" t="s">
        <v>9382</v>
      </c>
      <c r="I142" s="95" t="s">
        <v>9383</v>
      </c>
      <c r="J142" s="95" t="s">
        <v>1852</v>
      </c>
      <c r="K142" s="153"/>
    </row>
    <row r="143" spans="1:11" x14ac:dyDescent="0.3">
      <c r="A143" s="95" t="s">
        <v>10109</v>
      </c>
      <c r="B143" s="95" t="s">
        <v>10096</v>
      </c>
      <c r="C143" s="95" t="s">
        <v>159</v>
      </c>
      <c r="D143" s="95" t="s">
        <v>21</v>
      </c>
      <c r="E143" s="95" t="s">
        <v>152</v>
      </c>
      <c r="F143" s="95" t="s">
        <v>10110</v>
      </c>
      <c r="G143" s="95" t="s">
        <v>10111</v>
      </c>
      <c r="H143" s="95" t="s">
        <v>9388</v>
      </c>
      <c r="I143" s="95" t="s">
        <v>9191</v>
      </c>
      <c r="J143" s="95" t="s">
        <v>1852</v>
      </c>
      <c r="K143" s="153"/>
    </row>
    <row r="144" spans="1:11" x14ac:dyDescent="0.3">
      <c r="A144" s="95" t="s">
        <v>10112</v>
      </c>
      <c r="B144" s="95" t="s">
        <v>10096</v>
      </c>
      <c r="C144" s="95" t="s">
        <v>10113</v>
      </c>
      <c r="D144" s="95" t="s">
        <v>21</v>
      </c>
      <c r="E144" s="95" t="s">
        <v>9653</v>
      </c>
      <c r="F144" s="95" t="s">
        <v>10114</v>
      </c>
      <c r="G144" s="95" t="s">
        <v>9397</v>
      </c>
      <c r="H144" s="95" t="s">
        <v>10115</v>
      </c>
      <c r="I144" s="95" t="s">
        <v>9399</v>
      </c>
      <c r="J144" s="95" t="s">
        <v>1852</v>
      </c>
      <c r="K144" s="153"/>
    </row>
    <row r="145" spans="1:11" x14ac:dyDescent="0.3">
      <c r="A145" s="95" t="s">
        <v>10116</v>
      </c>
      <c r="B145" s="95" t="s">
        <v>10096</v>
      </c>
      <c r="C145" s="95" t="s">
        <v>10117</v>
      </c>
      <c r="D145" s="95" t="s">
        <v>21</v>
      </c>
      <c r="E145" s="95" t="s">
        <v>9653</v>
      </c>
      <c r="F145" s="95" t="s">
        <v>10118</v>
      </c>
      <c r="G145" s="95" t="s">
        <v>9403</v>
      </c>
      <c r="H145" s="95" t="s">
        <v>9404</v>
      </c>
      <c r="I145" s="95" t="s">
        <v>14</v>
      </c>
      <c r="J145" s="95" t="s">
        <v>1868</v>
      </c>
      <c r="K145" s="153"/>
    </row>
    <row r="146" spans="1:11" x14ac:dyDescent="0.3">
      <c r="A146" s="95" t="s">
        <v>10119</v>
      </c>
      <c r="B146" s="95" t="s">
        <v>10096</v>
      </c>
      <c r="C146" s="95" t="s">
        <v>10120</v>
      </c>
      <c r="D146" s="95" t="s">
        <v>21</v>
      </c>
      <c r="E146" s="95" t="s">
        <v>195</v>
      </c>
      <c r="F146" s="95" t="s">
        <v>10121</v>
      </c>
      <c r="G146" s="95" t="s">
        <v>9935</v>
      </c>
      <c r="H146" s="95" t="s">
        <v>10122</v>
      </c>
      <c r="I146" s="95" t="s">
        <v>14</v>
      </c>
      <c r="J146" s="95" t="s">
        <v>1868</v>
      </c>
      <c r="K146" s="153"/>
    </row>
    <row r="147" spans="1:11" x14ac:dyDescent="0.3">
      <c r="A147" s="95" t="s">
        <v>10123</v>
      </c>
      <c r="B147" s="95" t="s">
        <v>10096</v>
      </c>
      <c r="C147" s="95" t="s">
        <v>10124</v>
      </c>
      <c r="D147" s="95" t="s">
        <v>21</v>
      </c>
      <c r="E147" s="95" t="s">
        <v>43</v>
      </c>
      <c r="F147" s="95" t="s">
        <v>10125</v>
      </c>
      <c r="G147" s="95" t="s">
        <v>10126</v>
      </c>
      <c r="H147" s="95" t="s">
        <v>10127</v>
      </c>
      <c r="I147" s="95" t="s">
        <v>10128</v>
      </c>
      <c r="J147" s="95" t="s">
        <v>1868</v>
      </c>
      <c r="K147" s="153"/>
    </row>
    <row r="148" spans="1:11" x14ac:dyDescent="0.3">
      <c r="A148" s="95" t="s">
        <v>10129</v>
      </c>
      <c r="B148" s="95" t="s">
        <v>10096</v>
      </c>
      <c r="C148" s="95" t="s">
        <v>10130</v>
      </c>
      <c r="D148" s="95" t="s">
        <v>21</v>
      </c>
      <c r="E148" s="95" t="s">
        <v>106</v>
      </c>
      <c r="F148" s="95" t="s">
        <v>10131</v>
      </c>
      <c r="G148" s="95" t="s">
        <v>10132</v>
      </c>
      <c r="H148" s="95" t="s">
        <v>12900</v>
      </c>
      <c r="I148" s="95" t="s">
        <v>14</v>
      </c>
      <c r="J148" s="95" t="s">
        <v>1868</v>
      </c>
      <c r="K148" s="156"/>
    </row>
    <row r="149" spans="1:11" x14ac:dyDescent="0.3">
      <c r="A149" s="95" t="s">
        <v>10133</v>
      </c>
      <c r="B149" s="95" t="s">
        <v>10096</v>
      </c>
      <c r="C149" s="95" t="s">
        <v>10134</v>
      </c>
      <c r="D149" s="95" t="s">
        <v>21</v>
      </c>
      <c r="E149" s="95" t="s">
        <v>1577</v>
      </c>
      <c r="F149" s="95" t="s">
        <v>10135</v>
      </c>
      <c r="G149" s="95" t="s">
        <v>10136</v>
      </c>
      <c r="H149" s="95" t="s">
        <v>10137</v>
      </c>
      <c r="I149" s="95" t="s">
        <v>10138</v>
      </c>
      <c r="J149" s="95" t="s">
        <v>1868</v>
      </c>
      <c r="K149" s="153"/>
    </row>
    <row r="150" spans="1:11" x14ac:dyDescent="0.3">
      <c r="A150" s="95" t="s">
        <v>10139</v>
      </c>
      <c r="B150" s="95" t="s">
        <v>10096</v>
      </c>
      <c r="C150" s="95" t="s">
        <v>10140</v>
      </c>
      <c r="D150" s="95" t="s">
        <v>21</v>
      </c>
      <c r="E150" s="95" t="s">
        <v>1577</v>
      </c>
      <c r="F150" s="95" t="s">
        <v>10141</v>
      </c>
      <c r="G150" s="95" t="s">
        <v>10040</v>
      </c>
      <c r="H150" s="95" t="s">
        <v>10142</v>
      </c>
      <c r="I150" s="95" t="s">
        <v>10143</v>
      </c>
      <c r="J150" s="95" t="s">
        <v>1852</v>
      </c>
      <c r="K150" s="153"/>
    </row>
    <row r="151" spans="1:11" x14ac:dyDescent="0.3">
      <c r="A151" s="95" t="s">
        <v>10144</v>
      </c>
      <c r="B151" s="95" t="s">
        <v>10096</v>
      </c>
      <c r="C151" s="95" t="s">
        <v>10145</v>
      </c>
      <c r="D151" s="95" t="s">
        <v>21</v>
      </c>
      <c r="E151" s="95" t="s">
        <v>9754</v>
      </c>
      <c r="F151" s="95" t="s">
        <v>10146</v>
      </c>
      <c r="G151" s="95" t="s">
        <v>10147</v>
      </c>
      <c r="H151" s="95" t="s">
        <v>10148</v>
      </c>
      <c r="I151" s="95" t="s">
        <v>14</v>
      </c>
      <c r="J151" s="95" t="s">
        <v>1852</v>
      </c>
      <c r="K151" s="153"/>
    </row>
    <row r="152" spans="1:11" x14ac:dyDescent="0.3">
      <c r="A152" s="95" t="s">
        <v>10149</v>
      </c>
      <c r="B152" s="95" t="s">
        <v>10096</v>
      </c>
      <c r="C152" s="95" t="s">
        <v>10150</v>
      </c>
      <c r="D152" s="95" t="s">
        <v>10</v>
      </c>
      <c r="E152" s="95" t="s">
        <v>152</v>
      </c>
      <c r="F152" s="95" t="s">
        <v>10151</v>
      </c>
      <c r="G152" s="95" t="s">
        <v>172</v>
      </c>
      <c r="H152" s="95" t="s">
        <v>9415</v>
      </c>
      <c r="I152" s="95" t="s">
        <v>14</v>
      </c>
      <c r="J152" s="95" t="s">
        <v>1852</v>
      </c>
      <c r="K152" s="153"/>
    </row>
    <row r="153" spans="1:11" x14ac:dyDescent="0.3">
      <c r="A153" s="95" t="s">
        <v>10152</v>
      </c>
      <c r="B153" s="95" t="s">
        <v>10096</v>
      </c>
      <c r="C153" s="95" t="s">
        <v>10153</v>
      </c>
      <c r="D153" s="95" t="s">
        <v>10</v>
      </c>
      <c r="E153" s="95" t="s">
        <v>152</v>
      </c>
      <c r="F153" s="95" t="s">
        <v>10154</v>
      </c>
      <c r="G153" s="95" t="s">
        <v>10155</v>
      </c>
      <c r="H153" s="95" t="s">
        <v>168</v>
      </c>
      <c r="I153" s="95" t="s">
        <v>14</v>
      </c>
      <c r="J153" s="95" t="s">
        <v>1852</v>
      </c>
      <c r="K153" s="153"/>
    </row>
    <row r="154" spans="1:11" x14ac:dyDescent="0.3">
      <c r="A154" s="95" t="s">
        <v>10156</v>
      </c>
      <c r="B154" s="95" t="s">
        <v>10096</v>
      </c>
      <c r="C154" s="95" t="s">
        <v>10157</v>
      </c>
      <c r="D154" s="95" t="s">
        <v>21</v>
      </c>
      <c r="E154" s="95" t="s">
        <v>1577</v>
      </c>
      <c r="F154" s="95" t="s">
        <v>10158</v>
      </c>
      <c r="G154" s="95" t="s">
        <v>10159</v>
      </c>
      <c r="H154" s="95" t="s">
        <v>10160</v>
      </c>
      <c r="I154" s="95" t="s">
        <v>14</v>
      </c>
      <c r="J154" s="95" t="s">
        <v>1868</v>
      </c>
      <c r="K154" s="153"/>
    </row>
    <row r="155" spans="1:11" x14ac:dyDescent="0.3">
      <c r="A155" s="95" t="s">
        <v>10161</v>
      </c>
      <c r="B155" s="95" t="s">
        <v>10096</v>
      </c>
      <c r="C155" s="95" t="s">
        <v>10162</v>
      </c>
      <c r="D155" s="95" t="s">
        <v>21</v>
      </c>
      <c r="E155" s="95" t="s">
        <v>106</v>
      </c>
      <c r="F155" s="95" t="s">
        <v>10163</v>
      </c>
      <c r="G155" s="95" t="s">
        <v>10164</v>
      </c>
      <c r="H155" s="95" t="s">
        <v>10165</v>
      </c>
      <c r="I155" s="95" t="s">
        <v>14</v>
      </c>
      <c r="J155" s="95" t="s">
        <v>1868</v>
      </c>
      <c r="K155" s="153"/>
    </row>
    <row r="156" spans="1:11" x14ac:dyDescent="0.3">
      <c r="A156" s="95" t="s">
        <v>10166</v>
      </c>
      <c r="B156" s="95" t="s">
        <v>10096</v>
      </c>
      <c r="C156" s="95" t="s">
        <v>10167</v>
      </c>
      <c r="D156" s="95" t="s">
        <v>21</v>
      </c>
      <c r="E156" s="95" t="s">
        <v>106</v>
      </c>
      <c r="F156" s="95" t="s">
        <v>10168</v>
      </c>
      <c r="G156" s="95" t="s">
        <v>10159</v>
      </c>
      <c r="H156" s="95" t="s">
        <v>10169</v>
      </c>
      <c r="I156" s="95" t="s">
        <v>14</v>
      </c>
      <c r="J156" s="95" t="s">
        <v>1873</v>
      </c>
      <c r="K156" s="153"/>
    </row>
    <row r="157" spans="1:11" x14ac:dyDescent="0.3">
      <c r="A157" s="95" t="s">
        <v>10170</v>
      </c>
      <c r="B157" s="95" t="s">
        <v>10096</v>
      </c>
      <c r="C157" s="95" t="s">
        <v>10171</v>
      </c>
      <c r="D157" s="95" t="s">
        <v>21</v>
      </c>
      <c r="E157" s="95" t="s">
        <v>122</v>
      </c>
      <c r="F157" s="95" t="s">
        <v>10172</v>
      </c>
      <c r="G157" s="95" t="s">
        <v>10173</v>
      </c>
      <c r="H157" s="95" t="s">
        <v>10174</v>
      </c>
      <c r="I157" s="95" t="s">
        <v>14</v>
      </c>
      <c r="J157" s="95" t="s">
        <v>1873</v>
      </c>
      <c r="K157" s="153"/>
    </row>
    <row r="158" spans="1:11" x14ac:dyDescent="0.3">
      <c r="A158" s="95" t="s">
        <v>10175</v>
      </c>
      <c r="B158" s="95" t="s">
        <v>10096</v>
      </c>
      <c r="C158" s="95" t="s">
        <v>10176</v>
      </c>
      <c r="D158" s="95" t="s">
        <v>21</v>
      </c>
      <c r="E158" s="95" t="s">
        <v>195</v>
      </c>
      <c r="F158" s="95" t="s">
        <v>10177</v>
      </c>
      <c r="G158" s="95" t="s">
        <v>10178</v>
      </c>
      <c r="H158" s="95" t="s">
        <v>10179</v>
      </c>
      <c r="I158" s="95" t="s">
        <v>10180</v>
      </c>
      <c r="J158" s="95" t="s">
        <v>1868</v>
      </c>
      <c r="K158" s="153"/>
    </row>
    <row r="159" spans="1:11" x14ac:dyDescent="0.3">
      <c r="A159" s="95" t="s">
        <v>10181</v>
      </c>
      <c r="B159" s="95" t="s">
        <v>10096</v>
      </c>
      <c r="C159" s="95" t="s">
        <v>10182</v>
      </c>
      <c r="D159" s="95" t="s">
        <v>21</v>
      </c>
      <c r="E159" s="95" t="s">
        <v>9653</v>
      </c>
      <c r="F159" s="95" t="s">
        <v>10183</v>
      </c>
      <c r="G159" s="95" t="s">
        <v>10184</v>
      </c>
      <c r="H159" s="95" t="s">
        <v>10185</v>
      </c>
      <c r="I159" s="95" t="s">
        <v>10186</v>
      </c>
      <c r="J159" s="95" t="s">
        <v>1852</v>
      </c>
      <c r="K159" s="153"/>
    </row>
    <row r="160" spans="1:11" x14ac:dyDescent="0.3">
      <c r="A160" s="95" t="s">
        <v>10187</v>
      </c>
      <c r="B160" s="95" t="s">
        <v>10096</v>
      </c>
      <c r="C160" s="95" t="s">
        <v>10188</v>
      </c>
      <c r="D160" s="95" t="s">
        <v>21</v>
      </c>
      <c r="E160" s="95" t="s">
        <v>1577</v>
      </c>
      <c r="F160" s="95" t="s">
        <v>10189</v>
      </c>
      <c r="G160" s="95" t="s">
        <v>10190</v>
      </c>
      <c r="H160" s="95" t="s">
        <v>10191</v>
      </c>
      <c r="I160" s="95" t="s">
        <v>14</v>
      </c>
      <c r="J160" s="95" t="s">
        <v>1868</v>
      </c>
      <c r="K160" s="153"/>
    </row>
    <row r="161" spans="1:11" x14ac:dyDescent="0.3">
      <c r="A161" s="95" t="s">
        <v>10192</v>
      </c>
      <c r="B161" s="95" t="s">
        <v>10096</v>
      </c>
      <c r="C161" s="95" t="s">
        <v>10193</v>
      </c>
      <c r="D161" s="95" t="s">
        <v>21</v>
      </c>
      <c r="E161" s="95" t="s">
        <v>43</v>
      </c>
      <c r="F161" s="95" t="s">
        <v>10194</v>
      </c>
      <c r="G161" s="95" t="s">
        <v>10195</v>
      </c>
      <c r="H161" s="95" t="s">
        <v>10196</v>
      </c>
      <c r="I161" s="95" t="s">
        <v>14</v>
      </c>
      <c r="J161" s="95" t="s">
        <v>1868</v>
      </c>
      <c r="K161" s="153"/>
    </row>
    <row r="162" spans="1:11" x14ac:dyDescent="0.3">
      <c r="A162" s="95" t="s">
        <v>10197</v>
      </c>
      <c r="B162" s="95" t="s">
        <v>10096</v>
      </c>
      <c r="C162" s="95" t="s">
        <v>10198</v>
      </c>
      <c r="D162" s="95" t="s">
        <v>21</v>
      </c>
      <c r="E162" s="95" t="s">
        <v>43</v>
      </c>
      <c r="F162" s="95" t="s">
        <v>10199</v>
      </c>
      <c r="G162" s="95" t="s">
        <v>10195</v>
      </c>
      <c r="H162" s="95" t="s">
        <v>10200</v>
      </c>
      <c r="I162" s="95" t="s">
        <v>14</v>
      </c>
      <c r="J162" s="95" t="s">
        <v>1873</v>
      </c>
      <c r="K162" s="153"/>
    </row>
    <row r="163" spans="1:11" x14ac:dyDescent="0.3">
      <c r="A163" s="95" t="s">
        <v>10201</v>
      </c>
      <c r="B163" s="95" t="s">
        <v>10096</v>
      </c>
      <c r="C163" s="95" t="s">
        <v>10202</v>
      </c>
      <c r="D163" s="95" t="s">
        <v>21</v>
      </c>
      <c r="E163" s="95" t="s">
        <v>43</v>
      </c>
      <c r="F163" s="95" t="s">
        <v>10203</v>
      </c>
      <c r="G163" s="95" t="s">
        <v>10204</v>
      </c>
      <c r="H163" s="95" t="s">
        <v>10205</v>
      </c>
      <c r="I163" s="95" t="s">
        <v>14</v>
      </c>
      <c r="J163" s="95" t="s">
        <v>1868</v>
      </c>
      <c r="K163" s="153"/>
    </row>
    <row r="164" spans="1:11" x14ac:dyDescent="0.3">
      <c r="K164" s="153"/>
    </row>
    <row r="165" spans="1:11" x14ac:dyDescent="0.3">
      <c r="K165" s="153"/>
    </row>
    <row r="166" spans="1:11" x14ac:dyDescent="0.3">
      <c r="K166" s="153"/>
    </row>
    <row r="167" spans="1:11" ht="18" x14ac:dyDescent="0.35">
      <c r="A167" s="151" t="s">
        <v>9420</v>
      </c>
      <c r="B167" s="151"/>
      <c r="K167" s="153"/>
    </row>
    <row r="168" spans="1:11" x14ac:dyDescent="0.3">
      <c r="A168" s="16" t="s">
        <v>5883</v>
      </c>
      <c r="B168">
        <f>COUNTA(A2:A163)</f>
        <v>162</v>
      </c>
      <c r="K168" s="153"/>
    </row>
    <row r="169" spans="1:11" x14ac:dyDescent="0.3">
      <c r="A169" s="16" t="s">
        <v>9421</v>
      </c>
      <c r="B169">
        <f>COUNTIF(D2:D163,"P")</f>
        <v>107</v>
      </c>
      <c r="K169" s="153"/>
    </row>
    <row r="170" spans="1:11" x14ac:dyDescent="0.3">
      <c r="A170" s="16" t="s">
        <v>9422</v>
      </c>
      <c r="B170">
        <f>COUNTIF(D2:D163,"N")</f>
        <v>28</v>
      </c>
      <c r="K170" s="153"/>
    </row>
    <row r="171" spans="1:11" x14ac:dyDescent="0.3">
      <c r="A171" s="16" t="s">
        <v>9423</v>
      </c>
      <c r="B171">
        <f>COUNTIF(D2:D163,"E")</f>
        <v>27</v>
      </c>
      <c r="K171" s="153"/>
    </row>
    <row r="172" spans="1:11" x14ac:dyDescent="0.3">
      <c r="K172" s="153"/>
    </row>
    <row r="173" spans="1:11" x14ac:dyDescent="0.3">
      <c r="A173" s="16" t="s">
        <v>9424</v>
      </c>
      <c r="B173">
        <f>COUNTIF(J2:J163,"P1")</f>
        <v>102</v>
      </c>
      <c r="K173" s="153"/>
    </row>
    <row r="174" spans="1:11" x14ac:dyDescent="0.3">
      <c r="A174" s="16" t="s">
        <v>9425</v>
      </c>
      <c r="B174">
        <f>COUNTIF(J2:J163,"P2")</f>
        <v>53</v>
      </c>
      <c r="K174" s="153"/>
    </row>
    <row r="175" spans="1:11" x14ac:dyDescent="0.3">
      <c r="A175" s="16" t="s">
        <v>9426</v>
      </c>
      <c r="B175">
        <f>COUNTIF(J2:J163,"P3")</f>
        <v>7</v>
      </c>
      <c r="K175" s="153"/>
    </row>
    <row r="176" spans="1:11" x14ac:dyDescent="0.3">
      <c r="K176" s="153"/>
    </row>
    <row r="177" spans="1:11" x14ac:dyDescent="0.3">
      <c r="A177" s="16" t="s">
        <v>9427</v>
      </c>
      <c r="K177" s="153"/>
    </row>
    <row r="178" spans="1:11" x14ac:dyDescent="0.3">
      <c r="A178" t="s">
        <v>9432</v>
      </c>
      <c r="B178">
        <f>COUNTIF(B2:B163,"1.*")</f>
        <v>18</v>
      </c>
      <c r="K178" s="153"/>
    </row>
    <row r="179" spans="1:11" x14ac:dyDescent="0.3">
      <c r="A179" t="s">
        <v>9516</v>
      </c>
      <c r="B179">
        <f>COUNTIF(B2:B163,"2.*")</f>
        <v>14</v>
      </c>
      <c r="K179" s="153"/>
    </row>
    <row r="180" spans="1:11" x14ac:dyDescent="0.3">
      <c r="A180" t="s">
        <v>9588</v>
      </c>
      <c r="B180">
        <f>COUNTIF(B2:B163,"3.*")</f>
        <v>16</v>
      </c>
      <c r="K180" s="153"/>
    </row>
    <row r="181" spans="1:11" x14ac:dyDescent="0.3">
      <c r="A181" t="s">
        <v>9669</v>
      </c>
      <c r="B181">
        <f>COUNTIF(B2:B163,"4.*")</f>
        <v>16</v>
      </c>
      <c r="K181" s="153"/>
    </row>
    <row r="182" spans="1:11" x14ac:dyDescent="0.3">
      <c r="A182" t="s">
        <v>9752</v>
      </c>
      <c r="B182">
        <f>COUNTIF(B2:B163,"5.*")</f>
        <v>16</v>
      </c>
      <c r="K182" s="153"/>
    </row>
    <row r="183" spans="1:11" x14ac:dyDescent="0.3">
      <c r="A183" t="s">
        <v>9842</v>
      </c>
      <c r="B183">
        <f>COUNTIF(B2:B163,"6.*")</f>
        <v>14</v>
      </c>
      <c r="K183" s="153"/>
    </row>
    <row r="184" spans="1:11" x14ac:dyDescent="0.3">
      <c r="A184" t="s">
        <v>9907</v>
      </c>
      <c r="B184">
        <f>COUNTIF(B2:B163,"7.*")</f>
        <v>14</v>
      </c>
      <c r="K184" s="153"/>
    </row>
    <row r="185" spans="1:11" x14ac:dyDescent="0.3">
      <c r="A185" t="s">
        <v>9970</v>
      </c>
      <c r="B185">
        <f>COUNTIF(B2:B163,"8.*")</f>
        <v>16</v>
      </c>
      <c r="K185" s="153"/>
    </row>
    <row r="186" spans="1:11" x14ac:dyDescent="0.3">
      <c r="A186" t="s">
        <v>10037</v>
      </c>
      <c r="B186">
        <f>COUNTIF(B2:B163,"9.*")</f>
        <v>14</v>
      </c>
      <c r="K186" s="153"/>
    </row>
    <row r="187" spans="1:11" x14ac:dyDescent="0.3">
      <c r="A187" t="s">
        <v>10096</v>
      </c>
      <c r="B187">
        <f>COUNTIF(B2:B163,"10.*")</f>
        <v>24</v>
      </c>
      <c r="K187" s="153"/>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990E7-4C79-4370-9CE2-34A35BB3FDAB}">
  <dimension ref="A1:K209"/>
  <sheetViews>
    <sheetView workbookViewId="0">
      <pane ySplit="1" topLeftCell="A2" activePane="bottomLeft" state="frozen"/>
      <selection pane="bottomLeft" activeCell="C3" sqref="C3"/>
    </sheetView>
  </sheetViews>
  <sheetFormatPr defaultRowHeight="14.4" x14ac:dyDescent="0.3"/>
  <cols>
    <col min="1" max="1" width="18.5546875" customWidth="1"/>
    <col min="2" max="2" width="37" customWidth="1"/>
    <col min="3" max="3" width="51.88671875" style="13" customWidth="1"/>
    <col min="4" max="4" width="8.33203125" customWidth="1"/>
    <col min="5" max="5" width="18.5546875" customWidth="1"/>
    <col min="6" max="8" width="46.33203125" style="13" customWidth="1"/>
    <col min="9" max="9" width="51.88671875" style="13" customWidth="1"/>
    <col min="10" max="10" width="13" customWidth="1"/>
    <col min="11" max="11" width="55.5546875" customWidth="1"/>
  </cols>
  <sheetData>
    <row r="1" spans="1:11" ht="19.95" customHeight="1" x14ac:dyDescent="0.3">
      <c r="A1" s="96" t="s">
        <v>0</v>
      </c>
      <c r="B1" s="97" t="s">
        <v>9</v>
      </c>
      <c r="C1" s="129" t="s">
        <v>1840</v>
      </c>
      <c r="D1" s="97" t="s">
        <v>2</v>
      </c>
      <c r="E1" s="97" t="s">
        <v>1841</v>
      </c>
      <c r="F1" s="129" t="s">
        <v>4</v>
      </c>
      <c r="G1" s="129" t="s">
        <v>1842</v>
      </c>
      <c r="H1" s="129" t="s">
        <v>6</v>
      </c>
      <c r="I1" s="129" t="s">
        <v>3581</v>
      </c>
      <c r="J1" s="98" t="s">
        <v>1131</v>
      </c>
      <c r="K1" s="158" t="s">
        <v>12827</v>
      </c>
    </row>
    <row r="2" spans="1:11" ht="19.95" customHeight="1" x14ac:dyDescent="0.3">
      <c r="A2" s="99" t="s">
        <v>5042</v>
      </c>
      <c r="B2" s="100" t="s">
        <v>5043</v>
      </c>
      <c r="C2" s="130" t="s">
        <v>5044</v>
      </c>
      <c r="D2" s="100" t="s">
        <v>13</v>
      </c>
      <c r="E2" s="100" t="s">
        <v>13424</v>
      </c>
      <c r="F2" s="130" t="s">
        <v>5045</v>
      </c>
      <c r="G2" s="130" t="s">
        <v>5046</v>
      </c>
      <c r="H2" s="130" t="s">
        <v>5047</v>
      </c>
      <c r="I2" s="130" t="s">
        <v>14</v>
      </c>
      <c r="J2" s="101" t="s">
        <v>1852</v>
      </c>
      <c r="K2" s="153" t="s">
        <v>13417</v>
      </c>
    </row>
    <row r="3" spans="1:11" ht="19.95" customHeight="1" x14ac:dyDescent="0.3">
      <c r="A3" s="99" t="s">
        <v>5049</v>
      </c>
      <c r="B3" s="100" t="s">
        <v>5043</v>
      </c>
      <c r="C3" s="130" t="s">
        <v>5056</v>
      </c>
      <c r="D3" s="100" t="s">
        <v>13</v>
      </c>
      <c r="E3" s="100" t="s">
        <v>5057</v>
      </c>
      <c r="F3" s="130" t="s">
        <v>5048</v>
      </c>
      <c r="G3" s="130" t="s">
        <v>5058</v>
      </c>
      <c r="H3" s="130" t="s">
        <v>5059</v>
      </c>
      <c r="I3" s="130" t="s">
        <v>14</v>
      </c>
      <c r="J3" s="101" t="s">
        <v>1852</v>
      </c>
      <c r="K3" s="153"/>
    </row>
    <row r="4" spans="1:11" ht="19.95" customHeight="1" x14ac:dyDescent="0.3">
      <c r="A4" s="99" t="s">
        <v>5050</v>
      </c>
      <c r="B4" s="100" t="s">
        <v>5043</v>
      </c>
      <c r="C4" s="130" t="s">
        <v>5061</v>
      </c>
      <c r="D4" s="100" t="s">
        <v>13</v>
      </c>
      <c r="E4" s="100" t="s">
        <v>5057</v>
      </c>
      <c r="F4" s="130" t="s">
        <v>5048</v>
      </c>
      <c r="G4" s="130" t="s">
        <v>5062</v>
      </c>
      <c r="H4" s="130" t="s">
        <v>5059</v>
      </c>
      <c r="I4" s="130" t="s">
        <v>14</v>
      </c>
      <c r="J4" s="101" t="s">
        <v>1852</v>
      </c>
      <c r="K4" s="153"/>
    </row>
    <row r="5" spans="1:11" ht="19.95" customHeight="1" x14ac:dyDescent="0.3">
      <c r="A5" s="99" t="s">
        <v>5051</v>
      </c>
      <c r="B5" s="100" t="s">
        <v>5043</v>
      </c>
      <c r="C5" s="130" t="s">
        <v>5064</v>
      </c>
      <c r="D5" s="100" t="s">
        <v>13</v>
      </c>
      <c r="E5" s="100" t="s">
        <v>5057</v>
      </c>
      <c r="F5" s="130" t="s">
        <v>5048</v>
      </c>
      <c r="G5" s="130" t="s">
        <v>5065</v>
      </c>
      <c r="H5" s="130" t="s">
        <v>5059</v>
      </c>
      <c r="I5" s="130" t="s">
        <v>14</v>
      </c>
      <c r="J5" s="101" t="s">
        <v>1868</v>
      </c>
      <c r="K5" s="153"/>
    </row>
    <row r="6" spans="1:11" ht="19.95" customHeight="1" x14ac:dyDescent="0.3">
      <c r="A6" s="99" t="s">
        <v>5052</v>
      </c>
      <c r="B6" s="100" t="s">
        <v>5043</v>
      </c>
      <c r="C6" s="130" t="s">
        <v>5067</v>
      </c>
      <c r="D6" s="100" t="s">
        <v>13</v>
      </c>
      <c r="E6" s="100" t="s">
        <v>5057</v>
      </c>
      <c r="F6" s="130" t="s">
        <v>5048</v>
      </c>
      <c r="G6" s="130" t="s">
        <v>5068</v>
      </c>
      <c r="H6" s="130" t="s">
        <v>5059</v>
      </c>
      <c r="I6" s="130" t="s">
        <v>14</v>
      </c>
      <c r="J6" s="101" t="s">
        <v>1868</v>
      </c>
      <c r="K6" s="153"/>
    </row>
    <row r="7" spans="1:11" ht="19.95" customHeight="1" x14ac:dyDescent="0.3">
      <c r="A7" s="99" t="s">
        <v>5053</v>
      </c>
      <c r="B7" s="100" t="s">
        <v>5043</v>
      </c>
      <c r="C7" s="130" t="s">
        <v>5070</v>
      </c>
      <c r="D7" s="100" t="s">
        <v>10</v>
      </c>
      <c r="E7" s="100" t="s">
        <v>13424</v>
      </c>
      <c r="F7" s="130" t="s">
        <v>5048</v>
      </c>
      <c r="G7" s="130" t="s">
        <v>5071</v>
      </c>
      <c r="H7" s="130" t="s">
        <v>5072</v>
      </c>
      <c r="I7" s="130" t="s">
        <v>5073</v>
      </c>
      <c r="J7" s="101" t="s">
        <v>1852</v>
      </c>
      <c r="K7" s="153" t="s">
        <v>13418</v>
      </c>
    </row>
    <row r="8" spans="1:11" ht="19.95" customHeight="1" x14ac:dyDescent="0.3">
      <c r="A8" s="99" t="s">
        <v>5054</v>
      </c>
      <c r="B8" s="100" t="s">
        <v>5043</v>
      </c>
      <c r="C8" s="130" t="s">
        <v>5075</v>
      </c>
      <c r="D8" s="100" t="s">
        <v>10</v>
      </c>
      <c r="E8" s="100" t="s">
        <v>13424</v>
      </c>
      <c r="F8" s="130" t="s">
        <v>5048</v>
      </c>
      <c r="G8" s="130" t="s">
        <v>5076</v>
      </c>
      <c r="H8" s="130" t="s">
        <v>5077</v>
      </c>
      <c r="I8" s="130" t="s">
        <v>5078</v>
      </c>
      <c r="J8" s="101" t="s">
        <v>1852</v>
      </c>
      <c r="K8" s="153" t="s">
        <v>13419</v>
      </c>
    </row>
    <row r="9" spans="1:11" ht="19.95" customHeight="1" x14ac:dyDescent="0.3">
      <c r="A9" s="99" t="s">
        <v>5055</v>
      </c>
      <c r="B9" s="100" t="s">
        <v>5043</v>
      </c>
      <c r="C9" s="130" t="s">
        <v>5080</v>
      </c>
      <c r="D9" s="100" t="s">
        <v>13</v>
      </c>
      <c r="E9" s="100" t="s">
        <v>13424</v>
      </c>
      <c r="F9" s="130" t="s">
        <v>5048</v>
      </c>
      <c r="G9" s="130" t="s">
        <v>5081</v>
      </c>
      <c r="H9" s="130" t="s">
        <v>3909</v>
      </c>
      <c r="I9" s="130" t="s">
        <v>14</v>
      </c>
      <c r="J9" s="101" t="s">
        <v>1868</v>
      </c>
      <c r="K9" s="153" t="s">
        <v>13420</v>
      </c>
    </row>
    <row r="10" spans="1:11" ht="19.95" customHeight="1" x14ac:dyDescent="0.3">
      <c r="A10" s="99" t="s">
        <v>5060</v>
      </c>
      <c r="B10" s="100" t="s">
        <v>5043</v>
      </c>
      <c r="C10" s="130" t="s">
        <v>5083</v>
      </c>
      <c r="D10" s="100" t="s">
        <v>10</v>
      </c>
      <c r="E10" s="100" t="s">
        <v>13424</v>
      </c>
      <c r="F10" s="130" t="s">
        <v>5048</v>
      </c>
      <c r="G10" s="130" t="s">
        <v>5084</v>
      </c>
      <c r="H10" s="130" t="s">
        <v>3913</v>
      </c>
      <c r="I10" s="130" t="s">
        <v>5085</v>
      </c>
      <c r="J10" s="101" t="s">
        <v>1868</v>
      </c>
      <c r="K10" s="153" t="s">
        <v>13420</v>
      </c>
    </row>
    <row r="11" spans="1:11" ht="19.95" customHeight="1" x14ac:dyDescent="0.3">
      <c r="A11" s="99" t="s">
        <v>5063</v>
      </c>
      <c r="B11" s="100" t="s">
        <v>5043</v>
      </c>
      <c r="C11" s="130" t="s">
        <v>5087</v>
      </c>
      <c r="D11" s="100" t="s">
        <v>13</v>
      </c>
      <c r="E11" s="100" t="s">
        <v>3674</v>
      </c>
      <c r="F11" s="130" t="s">
        <v>5048</v>
      </c>
      <c r="G11" s="130" t="s">
        <v>5088</v>
      </c>
      <c r="H11" s="130" t="s">
        <v>5089</v>
      </c>
      <c r="I11" s="130" t="s">
        <v>14</v>
      </c>
      <c r="J11" s="101" t="s">
        <v>1852</v>
      </c>
      <c r="K11" s="153"/>
    </row>
    <row r="12" spans="1:11" ht="19.95" customHeight="1" x14ac:dyDescent="0.3">
      <c r="A12" s="99" t="s">
        <v>5066</v>
      </c>
      <c r="B12" s="100" t="s">
        <v>5043</v>
      </c>
      <c r="C12" s="130" t="s">
        <v>5091</v>
      </c>
      <c r="D12" s="100" t="s">
        <v>13</v>
      </c>
      <c r="E12" s="100" t="s">
        <v>13424</v>
      </c>
      <c r="F12" s="130" t="s">
        <v>5048</v>
      </c>
      <c r="G12" s="130" t="s">
        <v>5092</v>
      </c>
      <c r="H12" s="130" t="s">
        <v>5093</v>
      </c>
      <c r="I12" s="130" t="s">
        <v>14</v>
      </c>
      <c r="J12" s="101" t="s">
        <v>1852</v>
      </c>
      <c r="K12" s="153" t="s">
        <v>13421</v>
      </c>
    </row>
    <row r="13" spans="1:11" ht="19.95" customHeight="1" x14ac:dyDescent="0.3">
      <c r="A13" s="99" t="s">
        <v>5069</v>
      </c>
      <c r="B13" s="100" t="s">
        <v>5043</v>
      </c>
      <c r="C13" s="130" t="s">
        <v>5095</v>
      </c>
      <c r="D13" s="100" t="s">
        <v>13</v>
      </c>
      <c r="E13" s="100" t="s">
        <v>13424</v>
      </c>
      <c r="F13" s="130" t="s">
        <v>5096</v>
      </c>
      <c r="G13" s="130" t="s">
        <v>5097</v>
      </c>
      <c r="H13" s="130" t="s">
        <v>5098</v>
      </c>
      <c r="I13" s="130" t="s">
        <v>14</v>
      </c>
      <c r="J13" s="101" t="s">
        <v>1852</v>
      </c>
      <c r="K13" s="153" t="s">
        <v>13422</v>
      </c>
    </row>
    <row r="14" spans="1:11" ht="19.95" customHeight="1" x14ac:dyDescent="0.3">
      <c r="A14" s="99" t="s">
        <v>5074</v>
      </c>
      <c r="B14" s="100" t="s">
        <v>5043</v>
      </c>
      <c r="C14" s="130" t="s">
        <v>5100</v>
      </c>
      <c r="D14" s="100" t="s">
        <v>13</v>
      </c>
      <c r="E14" s="100" t="s">
        <v>372</v>
      </c>
      <c r="F14" s="130" t="s">
        <v>5048</v>
      </c>
      <c r="G14" s="130" t="s">
        <v>5101</v>
      </c>
      <c r="H14" s="130" t="s">
        <v>5102</v>
      </c>
      <c r="I14" s="130" t="s">
        <v>14</v>
      </c>
      <c r="J14" s="101" t="s">
        <v>1852</v>
      </c>
      <c r="K14" s="153"/>
    </row>
    <row r="15" spans="1:11" ht="19.95" customHeight="1" x14ac:dyDescent="0.3">
      <c r="A15" s="102" t="s">
        <v>5079</v>
      </c>
      <c r="B15" s="103" t="s">
        <v>5104</v>
      </c>
      <c r="C15" s="131" t="s">
        <v>5105</v>
      </c>
      <c r="D15" s="103" t="s">
        <v>13</v>
      </c>
      <c r="E15" s="103" t="s">
        <v>3674</v>
      </c>
      <c r="F15" s="131" t="s">
        <v>5106</v>
      </c>
      <c r="G15" s="131" t="s">
        <v>5107</v>
      </c>
      <c r="H15" s="131" t="s">
        <v>5108</v>
      </c>
      <c r="I15" s="131" t="s">
        <v>14</v>
      </c>
      <c r="J15" s="104" t="s">
        <v>1852</v>
      </c>
      <c r="K15" s="153"/>
    </row>
    <row r="16" spans="1:11" ht="19.95" customHeight="1" x14ac:dyDescent="0.3">
      <c r="A16" s="102" t="s">
        <v>5082</v>
      </c>
      <c r="B16" s="103" t="s">
        <v>5104</v>
      </c>
      <c r="C16" s="131" t="s">
        <v>5110</v>
      </c>
      <c r="D16" s="103" t="s">
        <v>13</v>
      </c>
      <c r="E16" s="103" t="s">
        <v>3674</v>
      </c>
      <c r="F16" s="131" t="s">
        <v>5111</v>
      </c>
      <c r="G16" s="131" t="s">
        <v>5112</v>
      </c>
      <c r="H16" s="131" t="s">
        <v>5113</v>
      </c>
      <c r="I16" s="131" t="s">
        <v>5114</v>
      </c>
      <c r="J16" s="104" t="s">
        <v>1868</v>
      </c>
      <c r="K16" s="153"/>
    </row>
    <row r="17" spans="1:11" ht="19.95" customHeight="1" x14ac:dyDescent="0.3">
      <c r="A17" s="102" t="s">
        <v>5086</v>
      </c>
      <c r="B17" s="103" t="s">
        <v>5104</v>
      </c>
      <c r="C17" s="131" t="s">
        <v>5116</v>
      </c>
      <c r="D17" s="103" t="s">
        <v>13</v>
      </c>
      <c r="E17" s="103" t="s">
        <v>3674</v>
      </c>
      <c r="F17" s="131" t="s">
        <v>5117</v>
      </c>
      <c r="G17" s="131" t="s">
        <v>5118</v>
      </c>
      <c r="H17" s="131" t="s">
        <v>5119</v>
      </c>
      <c r="I17" s="131" t="s">
        <v>14</v>
      </c>
      <c r="J17" s="104" t="s">
        <v>1852</v>
      </c>
      <c r="K17" s="153"/>
    </row>
    <row r="18" spans="1:11" ht="19.95" customHeight="1" x14ac:dyDescent="0.3">
      <c r="A18" s="102" t="s">
        <v>5090</v>
      </c>
      <c r="B18" s="103" t="s">
        <v>5104</v>
      </c>
      <c r="C18" s="131" t="s">
        <v>5121</v>
      </c>
      <c r="D18" s="103" t="s">
        <v>13</v>
      </c>
      <c r="E18" s="103" t="s">
        <v>3674</v>
      </c>
      <c r="F18" s="131" t="s">
        <v>5122</v>
      </c>
      <c r="G18" s="131" t="s">
        <v>5123</v>
      </c>
      <c r="H18" s="131" t="s">
        <v>5124</v>
      </c>
      <c r="I18" s="131" t="s">
        <v>5125</v>
      </c>
      <c r="J18" s="104" t="s">
        <v>1852</v>
      </c>
      <c r="K18" s="153"/>
    </row>
    <row r="19" spans="1:11" ht="19.95" customHeight="1" x14ac:dyDescent="0.3">
      <c r="A19" s="102" t="s">
        <v>5094</v>
      </c>
      <c r="B19" s="103" t="s">
        <v>5104</v>
      </c>
      <c r="C19" s="131" t="s">
        <v>5127</v>
      </c>
      <c r="D19" s="103" t="s">
        <v>13</v>
      </c>
      <c r="E19" s="103" t="s">
        <v>3674</v>
      </c>
      <c r="F19" s="131" t="s">
        <v>5128</v>
      </c>
      <c r="G19" s="131" t="s">
        <v>5129</v>
      </c>
      <c r="H19" s="131" t="s">
        <v>3705</v>
      </c>
      <c r="I19" s="131" t="s">
        <v>14</v>
      </c>
      <c r="J19" s="104" t="s">
        <v>1868</v>
      </c>
      <c r="K19" s="153"/>
    </row>
    <row r="20" spans="1:11" ht="19.95" customHeight="1" x14ac:dyDescent="0.3">
      <c r="A20" s="102" t="s">
        <v>5099</v>
      </c>
      <c r="B20" s="103" t="s">
        <v>5104</v>
      </c>
      <c r="C20" s="131" t="s">
        <v>5131</v>
      </c>
      <c r="D20" s="103" t="s">
        <v>13</v>
      </c>
      <c r="E20" s="103" t="s">
        <v>3674</v>
      </c>
      <c r="F20" s="131" t="s">
        <v>5132</v>
      </c>
      <c r="G20" s="131" t="s">
        <v>5133</v>
      </c>
      <c r="H20" s="131" t="s">
        <v>3705</v>
      </c>
      <c r="I20" s="131" t="s">
        <v>5134</v>
      </c>
      <c r="J20" s="104" t="s">
        <v>1868</v>
      </c>
      <c r="K20" s="153"/>
    </row>
    <row r="21" spans="1:11" ht="19.95" customHeight="1" x14ac:dyDescent="0.3">
      <c r="A21" s="102" t="s">
        <v>5103</v>
      </c>
      <c r="B21" s="103" t="s">
        <v>5104</v>
      </c>
      <c r="C21" s="131" t="s">
        <v>5136</v>
      </c>
      <c r="D21" s="103" t="s">
        <v>13</v>
      </c>
      <c r="E21" s="103" t="s">
        <v>3674</v>
      </c>
      <c r="F21" s="131" t="s">
        <v>5137</v>
      </c>
      <c r="G21" s="131" t="s">
        <v>5118</v>
      </c>
      <c r="H21" s="131" t="s">
        <v>3705</v>
      </c>
      <c r="I21" s="131" t="s">
        <v>14</v>
      </c>
      <c r="J21" s="104" t="s">
        <v>1852</v>
      </c>
      <c r="K21" s="153"/>
    </row>
    <row r="22" spans="1:11" ht="19.95" customHeight="1" x14ac:dyDescent="0.3">
      <c r="A22" s="102" t="s">
        <v>5109</v>
      </c>
      <c r="B22" s="103" t="s">
        <v>5104</v>
      </c>
      <c r="C22" s="131" t="s">
        <v>5139</v>
      </c>
      <c r="D22" s="103" t="s">
        <v>13</v>
      </c>
      <c r="E22" s="103" t="s">
        <v>3674</v>
      </c>
      <c r="F22" s="131" t="s">
        <v>5140</v>
      </c>
      <c r="G22" s="131" t="s">
        <v>5129</v>
      </c>
      <c r="H22" s="131" t="s">
        <v>3705</v>
      </c>
      <c r="I22" s="131" t="s">
        <v>14</v>
      </c>
      <c r="J22" s="104" t="s">
        <v>1868</v>
      </c>
      <c r="K22" s="153"/>
    </row>
    <row r="23" spans="1:11" ht="19.95" customHeight="1" x14ac:dyDescent="0.3">
      <c r="A23" s="102" t="s">
        <v>5115</v>
      </c>
      <c r="B23" s="103" t="s">
        <v>5104</v>
      </c>
      <c r="C23" s="131" t="s">
        <v>5142</v>
      </c>
      <c r="D23" s="103" t="s">
        <v>13</v>
      </c>
      <c r="E23" s="103" t="s">
        <v>3674</v>
      </c>
      <c r="F23" s="131" t="s">
        <v>5143</v>
      </c>
      <c r="G23" s="131" t="s">
        <v>5144</v>
      </c>
      <c r="H23" s="131" t="s">
        <v>5145</v>
      </c>
      <c r="I23" s="131" t="s">
        <v>5146</v>
      </c>
      <c r="J23" s="104" t="s">
        <v>1852</v>
      </c>
      <c r="K23" s="153"/>
    </row>
    <row r="24" spans="1:11" ht="19.95" customHeight="1" x14ac:dyDescent="0.3">
      <c r="A24" s="102" t="s">
        <v>5120</v>
      </c>
      <c r="B24" s="103" t="s">
        <v>5104</v>
      </c>
      <c r="C24" s="131" t="s">
        <v>5148</v>
      </c>
      <c r="D24" s="103" t="s">
        <v>13</v>
      </c>
      <c r="E24" s="103" t="s">
        <v>3674</v>
      </c>
      <c r="F24" s="131" t="s">
        <v>5149</v>
      </c>
      <c r="G24" s="131" t="s">
        <v>5123</v>
      </c>
      <c r="H24" s="131" t="s">
        <v>5124</v>
      </c>
      <c r="I24" s="131" t="s">
        <v>5150</v>
      </c>
      <c r="J24" s="104" t="s">
        <v>1868</v>
      </c>
      <c r="K24" s="153"/>
    </row>
    <row r="25" spans="1:11" ht="19.95" customHeight="1" x14ac:dyDescent="0.3">
      <c r="A25" s="102" t="s">
        <v>5126</v>
      </c>
      <c r="B25" s="103" t="s">
        <v>5104</v>
      </c>
      <c r="C25" s="131" t="s">
        <v>5152</v>
      </c>
      <c r="D25" s="103" t="s">
        <v>13</v>
      </c>
      <c r="E25" s="103" t="s">
        <v>3674</v>
      </c>
      <c r="F25" s="131" t="s">
        <v>5153</v>
      </c>
      <c r="G25" s="131" t="s">
        <v>5129</v>
      </c>
      <c r="H25" s="131" t="s">
        <v>5154</v>
      </c>
      <c r="I25" s="131" t="s">
        <v>14</v>
      </c>
      <c r="J25" s="104" t="s">
        <v>1852</v>
      </c>
      <c r="K25" s="153"/>
    </row>
    <row r="26" spans="1:11" ht="19.95" customHeight="1" x14ac:dyDescent="0.3">
      <c r="A26" s="102" t="s">
        <v>5130</v>
      </c>
      <c r="B26" s="103" t="s">
        <v>5104</v>
      </c>
      <c r="C26" s="131" t="s">
        <v>5156</v>
      </c>
      <c r="D26" s="103" t="s">
        <v>13</v>
      </c>
      <c r="E26" s="103" t="s">
        <v>3674</v>
      </c>
      <c r="F26" s="131" t="s">
        <v>5157</v>
      </c>
      <c r="G26" s="131" t="s">
        <v>5158</v>
      </c>
      <c r="H26" s="131" t="s">
        <v>5159</v>
      </c>
      <c r="I26" s="131" t="s">
        <v>5160</v>
      </c>
      <c r="J26" s="104" t="s">
        <v>1852</v>
      </c>
      <c r="K26" s="153"/>
    </row>
    <row r="27" spans="1:11" ht="19.95" customHeight="1" x14ac:dyDescent="0.3">
      <c r="A27" s="102" t="s">
        <v>5135</v>
      </c>
      <c r="B27" s="103" t="s">
        <v>5104</v>
      </c>
      <c r="C27" s="131" t="s">
        <v>5162</v>
      </c>
      <c r="D27" s="103" t="s">
        <v>13</v>
      </c>
      <c r="E27" s="103" t="s">
        <v>3674</v>
      </c>
      <c r="F27" s="131" t="s">
        <v>5163</v>
      </c>
      <c r="G27" s="131" t="s">
        <v>5164</v>
      </c>
      <c r="H27" s="131" t="s">
        <v>3705</v>
      </c>
      <c r="I27" s="131" t="s">
        <v>14</v>
      </c>
      <c r="J27" s="104" t="s">
        <v>1852</v>
      </c>
      <c r="K27" s="153"/>
    </row>
    <row r="28" spans="1:11" ht="19.95" customHeight="1" x14ac:dyDescent="0.3">
      <c r="A28" s="102" t="s">
        <v>5138</v>
      </c>
      <c r="B28" s="103" t="s">
        <v>5104</v>
      </c>
      <c r="C28" s="131" t="s">
        <v>5166</v>
      </c>
      <c r="D28" s="103" t="s">
        <v>21</v>
      </c>
      <c r="E28" s="103" t="s">
        <v>372</v>
      </c>
      <c r="F28" s="131" t="s">
        <v>5167</v>
      </c>
      <c r="G28" s="131" t="s">
        <v>5168</v>
      </c>
      <c r="H28" s="131" t="s">
        <v>5169</v>
      </c>
      <c r="I28" s="131" t="s">
        <v>5170</v>
      </c>
      <c r="J28" s="104" t="s">
        <v>1852</v>
      </c>
      <c r="K28" s="153"/>
    </row>
    <row r="29" spans="1:11" ht="19.95" customHeight="1" x14ac:dyDescent="0.3">
      <c r="A29" s="102" t="s">
        <v>5141</v>
      </c>
      <c r="B29" s="103" t="s">
        <v>5104</v>
      </c>
      <c r="C29" s="131" t="s">
        <v>5172</v>
      </c>
      <c r="D29" s="103" t="s">
        <v>13</v>
      </c>
      <c r="E29" s="103" t="s">
        <v>372</v>
      </c>
      <c r="F29" s="131" t="s">
        <v>5173</v>
      </c>
      <c r="G29" s="131" t="s">
        <v>5168</v>
      </c>
      <c r="H29" s="131" t="s">
        <v>5174</v>
      </c>
      <c r="I29" s="131" t="s">
        <v>14</v>
      </c>
      <c r="J29" s="104" t="s">
        <v>1868</v>
      </c>
      <c r="K29" s="153"/>
    </row>
    <row r="30" spans="1:11" ht="19.95" customHeight="1" x14ac:dyDescent="0.3">
      <c r="A30" s="102" t="s">
        <v>5147</v>
      </c>
      <c r="B30" s="103" t="s">
        <v>5104</v>
      </c>
      <c r="C30" s="131" t="s">
        <v>5176</v>
      </c>
      <c r="D30" s="103" t="s">
        <v>13</v>
      </c>
      <c r="E30" s="103" t="s">
        <v>3674</v>
      </c>
      <c r="F30" s="131" t="s">
        <v>5177</v>
      </c>
      <c r="G30" s="131" t="s">
        <v>5178</v>
      </c>
      <c r="H30" s="131" t="s">
        <v>5179</v>
      </c>
      <c r="I30" s="131" t="s">
        <v>14</v>
      </c>
      <c r="J30" s="104" t="s">
        <v>1852</v>
      </c>
      <c r="K30" s="153"/>
    </row>
    <row r="31" spans="1:11" ht="19.95" customHeight="1" x14ac:dyDescent="0.3">
      <c r="A31" s="105" t="s">
        <v>5151</v>
      </c>
      <c r="B31" s="106" t="s">
        <v>5181</v>
      </c>
      <c r="C31" s="132" t="s">
        <v>5182</v>
      </c>
      <c r="D31" s="106" t="s">
        <v>10</v>
      </c>
      <c r="E31" s="106" t="s">
        <v>3674</v>
      </c>
      <c r="F31" s="132" t="s">
        <v>5106</v>
      </c>
      <c r="G31" s="132" t="s">
        <v>5183</v>
      </c>
      <c r="H31" s="132" t="s">
        <v>5184</v>
      </c>
      <c r="I31" s="132" t="s">
        <v>5185</v>
      </c>
      <c r="J31" s="107" t="s">
        <v>1852</v>
      </c>
      <c r="K31" s="153"/>
    </row>
    <row r="32" spans="1:11" ht="19.95" customHeight="1" x14ac:dyDescent="0.3">
      <c r="A32" s="105" t="s">
        <v>5155</v>
      </c>
      <c r="B32" s="106" t="s">
        <v>5181</v>
      </c>
      <c r="C32" s="132" t="s">
        <v>5187</v>
      </c>
      <c r="D32" s="106" t="s">
        <v>10</v>
      </c>
      <c r="E32" s="106" t="s">
        <v>3674</v>
      </c>
      <c r="F32" s="132" t="s">
        <v>5106</v>
      </c>
      <c r="G32" s="132" t="s">
        <v>5188</v>
      </c>
      <c r="H32" s="132" t="s">
        <v>5189</v>
      </c>
      <c r="I32" s="132" t="s">
        <v>5190</v>
      </c>
      <c r="J32" s="107" t="s">
        <v>1852</v>
      </c>
      <c r="K32" s="153"/>
    </row>
    <row r="33" spans="1:11" ht="19.95" customHeight="1" x14ac:dyDescent="0.3">
      <c r="A33" s="105" t="s">
        <v>5161</v>
      </c>
      <c r="B33" s="106" t="s">
        <v>5181</v>
      </c>
      <c r="C33" s="132" t="s">
        <v>5192</v>
      </c>
      <c r="D33" s="106" t="s">
        <v>10</v>
      </c>
      <c r="E33" s="106" t="s">
        <v>3674</v>
      </c>
      <c r="F33" s="132" t="s">
        <v>5106</v>
      </c>
      <c r="G33" s="132" t="s">
        <v>5193</v>
      </c>
      <c r="H33" s="132" t="s">
        <v>5194</v>
      </c>
      <c r="I33" s="132" t="s">
        <v>5195</v>
      </c>
      <c r="J33" s="107" t="s">
        <v>1868</v>
      </c>
      <c r="K33" s="153"/>
    </row>
    <row r="34" spans="1:11" ht="19.95" customHeight="1" x14ac:dyDescent="0.3">
      <c r="A34" s="105" t="s">
        <v>5165</v>
      </c>
      <c r="B34" s="106" t="s">
        <v>5181</v>
      </c>
      <c r="C34" s="132" t="s">
        <v>5197</v>
      </c>
      <c r="D34" s="106" t="s">
        <v>10</v>
      </c>
      <c r="E34" s="106" t="s">
        <v>3674</v>
      </c>
      <c r="F34" s="132" t="s">
        <v>5198</v>
      </c>
      <c r="G34" s="132" t="s">
        <v>5183</v>
      </c>
      <c r="H34" s="132" t="s">
        <v>5199</v>
      </c>
      <c r="I34" s="132" t="s">
        <v>5200</v>
      </c>
      <c r="J34" s="107" t="s">
        <v>1852</v>
      </c>
      <c r="K34" s="153"/>
    </row>
    <row r="35" spans="1:11" ht="19.95" customHeight="1" x14ac:dyDescent="0.3">
      <c r="A35" s="105" t="s">
        <v>5171</v>
      </c>
      <c r="B35" s="106" t="s">
        <v>5181</v>
      </c>
      <c r="C35" s="132" t="s">
        <v>3760</v>
      </c>
      <c r="D35" s="106" t="s">
        <v>10</v>
      </c>
      <c r="E35" s="106" t="s">
        <v>3674</v>
      </c>
      <c r="F35" s="132" t="s">
        <v>5202</v>
      </c>
      <c r="G35" s="132" t="s">
        <v>5203</v>
      </c>
      <c r="H35" s="132" t="s">
        <v>3763</v>
      </c>
      <c r="I35" s="132" t="s">
        <v>5204</v>
      </c>
      <c r="J35" s="107" t="s">
        <v>1852</v>
      </c>
      <c r="K35" s="153"/>
    </row>
    <row r="36" spans="1:11" ht="19.95" customHeight="1" x14ac:dyDescent="0.3">
      <c r="A36" s="105" t="s">
        <v>5175</v>
      </c>
      <c r="B36" s="106" t="s">
        <v>5181</v>
      </c>
      <c r="C36" s="132" t="s">
        <v>5206</v>
      </c>
      <c r="D36" s="106" t="s">
        <v>10</v>
      </c>
      <c r="E36" s="106" t="s">
        <v>3674</v>
      </c>
      <c r="F36" s="132" t="s">
        <v>5202</v>
      </c>
      <c r="G36" s="132" t="s">
        <v>5207</v>
      </c>
      <c r="H36" s="132" t="s">
        <v>3763</v>
      </c>
      <c r="I36" s="132" t="s">
        <v>5208</v>
      </c>
      <c r="J36" s="107" t="s">
        <v>1852</v>
      </c>
      <c r="K36" s="153"/>
    </row>
    <row r="37" spans="1:11" ht="19.95" customHeight="1" x14ac:dyDescent="0.3">
      <c r="A37" s="105" t="s">
        <v>5180</v>
      </c>
      <c r="B37" s="106" t="s">
        <v>5181</v>
      </c>
      <c r="C37" s="132" t="s">
        <v>5210</v>
      </c>
      <c r="D37" s="106" t="s">
        <v>10</v>
      </c>
      <c r="E37" s="106" t="s">
        <v>3674</v>
      </c>
      <c r="F37" s="132" t="s">
        <v>5177</v>
      </c>
      <c r="G37" s="132" t="s">
        <v>5211</v>
      </c>
      <c r="H37" s="132" t="s">
        <v>5212</v>
      </c>
      <c r="I37" s="132" t="s">
        <v>5213</v>
      </c>
      <c r="J37" s="107" t="s">
        <v>1868</v>
      </c>
      <c r="K37" s="153"/>
    </row>
    <row r="38" spans="1:11" ht="19.95" customHeight="1" x14ac:dyDescent="0.3">
      <c r="A38" s="105" t="s">
        <v>5186</v>
      </c>
      <c r="B38" s="106" t="s">
        <v>5181</v>
      </c>
      <c r="C38" s="132" t="s">
        <v>5215</v>
      </c>
      <c r="D38" s="106" t="s">
        <v>10</v>
      </c>
      <c r="E38" s="106" t="s">
        <v>3674</v>
      </c>
      <c r="F38" s="132" t="s">
        <v>5216</v>
      </c>
      <c r="G38" s="132" t="s">
        <v>5211</v>
      </c>
      <c r="H38" s="132" t="s">
        <v>5217</v>
      </c>
      <c r="I38" s="132" t="s">
        <v>5218</v>
      </c>
      <c r="J38" s="107" t="s">
        <v>1868</v>
      </c>
      <c r="K38" s="153"/>
    </row>
    <row r="39" spans="1:11" ht="19.95" customHeight="1" x14ac:dyDescent="0.3">
      <c r="A39" s="105" t="s">
        <v>5191</v>
      </c>
      <c r="B39" s="106" t="s">
        <v>5181</v>
      </c>
      <c r="C39" s="132" t="s">
        <v>5220</v>
      </c>
      <c r="D39" s="106" t="s">
        <v>10</v>
      </c>
      <c r="E39" s="106" t="s">
        <v>3674</v>
      </c>
      <c r="F39" s="132" t="s">
        <v>5221</v>
      </c>
      <c r="G39" s="132" t="s">
        <v>5222</v>
      </c>
      <c r="H39" s="132" t="s">
        <v>5223</v>
      </c>
      <c r="I39" s="132" t="s">
        <v>5224</v>
      </c>
      <c r="J39" s="107" t="s">
        <v>1868</v>
      </c>
      <c r="K39" s="153"/>
    </row>
    <row r="40" spans="1:11" ht="19.95" customHeight="1" x14ac:dyDescent="0.3">
      <c r="A40" s="105" t="s">
        <v>5196</v>
      </c>
      <c r="B40" s="106" t="s">
        <v>5181</v>
      </c>
      <c r="C40" s="132" t="s">
        <v>5226</v>
      </c>
      <c r="D40" s="106" t="s">
        <v>10</v>
      </c>
      <c r="E40" s="106" t="s">
        <v>3674</v>
      </c>
      <c r="F40" s="132" t="s">
        <v>5163</v>
      </c>
      <c r="G40" s="132" t="s">
        <v>5183</v>
      </c>
      <c r="H40" s="132" t="s">
        <v>5227</v>
      </c>
      <c r="I40" s="132" t="s">
        <v>5228</v>
      </c>
      <c r="J40" s="107" t="s">
        <v>1852</v>
      </c>
      <c r="K40" s="153"/>
    </row>
    <row r="41" spans="1:11" ht="19.95" customHeight="1" x14ac:dyDescent="0.3">
      <c r="A41" s="105" t="s">
        <v>5201</v>
      </c>
      <c r="B41" s="106" t="s">
        <v>5181</v>
      </c>
      <c r="C41" s="132" t="s">
        <v>5230</v>
      </c>
      <c r="D41" s="106" t="s">
        <v>10</v>
      </c>
      <c r="E41" s="106" t="s">
        <v>3674</v>
      </c>
      <c r="F41" s="132" t="s">
        <v>5163</v>
      </c>
      <c r="G41" s="132" t="s">
        <v>5231</v>
      </c>
      <c r="H41" s="132" t="s">
        <v>5232</v>
      </c>
      <c r="I41" s="132" t="s">
        <v>5233</v>
      </c>
      <c r="J41" s="107" t="s">
        <v>1868</v>
      </c>
      <c r="K41" s="153"/>
    </row>
    <row r="42" spans="1:11" ht="19.95" customHeight="1" x14ac:dyDescent="0.3">
      <c r="A42" s="105" t="s">
        <v>5205</v>
      </c>
      <c r="B42" s="106" t="s">
        <v>5181</v>
      </c>
      <c r="C42" s="132" t="s">
        <v>5235</v>
      </c>
      <c r="D42" s="106" t="s">
        <v>10</v>
      </c>
      <c r="E42" s="106" t="s">
        <v>3674</v>
      </c>
      <c r="F42" s="132" t="s">
        <v>5236</v>
      </c>
      <c r="G42" s="132" t="s">
        <v>5237</v>
      </c>
      <c r="H42" s="132" t="s">
        <v>5238</v>
      </c>
      <c r="I42" s="132" t="s">
        <v>5239</v>
      </c>
      <c r="J42" s="107" t="s">
        <v>1852</v>
      </c>
      <c r="K42" s="153"/>
    </row>
    <row r="43" spans="1:11" ht="19.95" customHeight="1" x14ac:dyDescent="0.3">
      <c r="A43" s="105" t="s">
        <v>5209</v>
      </c>
      <c r="B43" s="106" t="s">
        <v>5181</v>
      </c>
      <c r="C43" s="132" t="s">
        <v>5241</v>
      </c>
      <c r="D43" s="106" t="s">
        <v>10</v>
      </c>
      <c r="E43" s="106" t="s">
        <v>3674</v>
      </c>
      <c r="F43" s="132" t="s">
        <v>5242</v>
      </c>
      <c r="G43" s="132" t="s">
        <v>5243</v>
      </c>
      <c r="H43" s="132" t="s">
        <v>5244</v>
      </c>
      <c r="I43" s="132" t="s">
        <v>5245</v>
      </c>
      <c r="J43" s="107" t="s">
        <v>1852</v>
      </c>
      <c r="K43" s="153"/>
    </row>
    <row r="44" spans="1:11" ht="19.95" customHeight="1" x14ac:dyDescent="0.3">
      <c r="A44" s="105" t="s">
        <v>5214</v>
      </c>
      <c r="B44" s="106" t="s">
        <v>5181</v>
      </c>
      <c r="C44" s="132" t="s">
        <v>5247</v>
      </c>
      <c r="D44" s="106" t="s">
        <v>10</v>
      </c>
      <c r="E44" s="106" t="s">
        <v>3674</v>
      </c>
      <c r="F44" s="132" t="s">
        <v>5198</v>
      </c>
      <c r="G44" s="132" t="s">
        <v>5248</v>
      </c>
      <c r="H44" s="132" t="s">
        <v>5249</v>
      </c>
      <c r="I44" s="132" t="s">
        <v>5250</v>
      </c>
      <c r="J44" s="107" t="s">
        <v>1868</v>
      </c>
      <c r="K44" s="153"/>
    </row>
    <row r="45" spans="1:11" ht="19.95" customHeight="1" x14ac:dyDescent="0.3">
      <c r="A45" s="105" t="s">
        <v>5219</v>
      </c>
      <c r="B45" s="106" t="s">
        <v>5181</v>
      </c>
      <c r="C45" s="132" t="s">
        <v>5252</v>
      </c>
      <c r="D45" s="106" t="s">
        <v>10</v>
      </c>
      <c r="E45" s="106" t="s">
        <v>684</v>
      </c>
      <c r="F45" s="132" t="s">
        <v>5253</v>
      </c>
      <c r="G45" s="132" t="s">
        <v>5254</v>
      </c>
      <c r="H45" s="132" t="s">
        <v>5255</v>
      </c>
      <c r="I45" s="132" t="s">
        <v>5256</v>
      </c>
      <c r="J45" s="107" t="s">
        <v>1852</v>
      </c>
      <c r="K45" s="153"/>
    </row>
    <row r="46" spans="1:11" ht="19.95" customHeight="1" x14ac:dyDescent="0.3">
      <c r="A46" s="105" t="s">
        <v>5225</v>
      </c>
      <c r="B46" s="106" t="s">
        <v>5181</v>
      </c>
      <c r="C46" s="132" t="s">
        <v>5258</v>
      </c>
      <c r="D46" s="106" t="s">
        <v>10</v>
      </c>
      <c r="E46" s="106" t="s">
        <v>721</v>
      </c>
      <c r="F46" s="132" t="s">
        <v>5259</v>
      </c>
      <c r="G46" s="132" t="s">
        <v>4857</v>
      </c>
      <c r="H46" s="132" t="s">
        <v>5260</v>
      </c>
      <c r="I46" s="132" t="s">
        <v>5261</v>
      </c>
      <c r="J46" s="107" t="s">
        <v>1868</v>
      </c>
      <c r="K46" s="153"/>
    </row>
    <row r="47" spans="1:11" ht="19.95" customHeight="1" x14ac:dyDescent="0.3">
      <c r="A47" s="105" t="s">
        <v>5229</v>
      </c>
      <c r="B47" s="106" t="s">
        <v>5181</v>
      </c>
      <c r="C47" s="132" t="s">
        <v>5263</v>
      </c>
      <c r="D47" s="106" t="s">
        <v>10</v>
      </c>
      <c r="E47" s="106" t="s">
        <v>5264</v>
      </c>
      <c r="F47" s="132" t="s">
        <v>5265</v>
      </c>
      <c r="G47" s="132" t="s">
        <v>5266</v>
      </c>
      <c r="H47" s="132" t="s">
        <v>13772</v>
      </c>
      <c r="I47" s="132" t="s">
        <v>5267</v>
      </c>
      <c r="J47" s="107" t="s">
        <v>1852</v>
      </c>
      <c r="K47" s="153"/>
    </row>
    <row r="48" spans="1:11" ht="19.95" customHeight="1" x14ac:dyDescent="0.3">
      <c r="A48" s="105" t="s">
        <v>5234</v>
      </c>
      <c r="B48" s="106" t="s">
        <v>5181</v>
      </c>
      <c r="C48" s="132" t="s">
        <v>5269</v>
      </c>
      <c r="D48" s="106" t="s">
        <v>10</v>
      </c>
      <c r="E48" s="106" t="s">
        <v>3674</v>
      </c>
      <c r="F48" s="132" t="s">
        <v>5270</v>
      </c>
      <c r="G48" s="132" t="s">
        <v>5271</v>
      </c>
      <c r="H48" s="132" t="s">
        <v>5272</v>
      </c>
      <c r="I48" s="132" t="s">
        <v>5273</v>
      </c>
      <c r="J48" s="107" t="s">
        <v>1868</v>
      </c>
      <c r="K48" s="159" t="s">
        <v>12855</v>
      </c>
    </row>
    <row r="49" spans="1:11" ht="19.95" customHeight="1" x14ac:dyDescent="0.3">
      <c r="A49" s="108" t="s">
        <v>5240</v>
      </c>
      <c r="B49" s="109" t="s">
        <v>5275</v>
      </c>
      <c r="C49" s="133" t="s">
        <v>5276</v>
      </c>
      <c r="D49" s="109" t="s">
        <v>13</v>
      </c>
      <c r="E49" s="109" t="s">
        <v>5057</v>
      </c>
      <c r="F49" s="133" t="s">
        <v>5048</v>
      </c>
      <c r="G49" s="133" t="s">
        <v>5277</v>
      </c>
      <c r="H49" s="133" t="s">
        <v>5278</v>
      </c>
      <c r="I49" s="133" t="s">
        <v>14</v>
      </c>
      <c r="J49" s="110" t="s">
        <v>1852</v>
      </c>
      <c r="K49" s="153"/>
    </row>
    <row r="50" spans="1:11" ht="19.95" customHeight="1" x14ac:dyDescent="0.3">
      <c r="A50" s="108" t="s">
        <v>5246</v>
      </c>
      <c r="B50" s="109" t="s">
        <v>5275</v>
      </c>
      <c r="C50" s="133" t="s">
        <v>5280</v>
      </c>
      <c r="D50" s="109" t="s">
        <v>21</v>
      </c>
      <c r="E50" s="109" t="s">
        <v>372</v>
      </c>
      <c r="F50" s="133" t="s">
        <v>5281</v>
      </c>
      <c r="G50" s="133" t="s">
        <v>5092</v>
      </c>
      <c r="H50" s="133" t="s">
        <v>5282</v>
      </c>
      <c r="I50" s="133" t="s">
        <v>5283</v>
      </c>
      <c r="J50" s="110" t="s">
        <v>1852</v>
      </c>
      <c r="K50" s="153"/>
    </row>
    <row r="51" spans="1:11" ht="19.95" customHeight="1" x14ac:dyDescent="0.3">
      <c r="A51" s="108" t="s">
        <v>5251</v>
      </c>
      <c r="B51" s="109" t="s">
        <v>5275</v>
      </c>
      <c r="C51" s="133" t="s">
        <v>5285</v>
      </c>
      <c r="D51" s="109" t="s">
        <v>13</v>
      </c>
      <c r="E51" s="109" t="s">
        <v>372</v>
      </c>
      <c r="F51" s="133" t="s">
        <v>5286</v>
      </c>
      <c r="G51" s="133" t="s">
        <v>5092</v>
      </c>
      <c r="H51" s="133" t="s">
        <v>5287</v>
      </c>
      <c r="I51" s="133" t="s">
        <v>14</v>
      </c>
      <c r="J51" s="110" t="s">
        <v>1868</v>
      </c>
      <c r="K51" s="153"/>
    </row>
    <row r="52" spans="1:11" ht="19.95" customHeight="1" x14ac:dyDescent="0.3">
      <c r="A52" s="108" t="s">
        <v>5257</v>
      </c>
      <c r="B52" s="109" t="s">
        <v>5275</v>
      </c>
      <c r="C52" s="133" t="s">
        <v>5289</v>
      </c>
      <c r="D52" s="109" t="s">
        <v>13</v>
      </c>
      <c r="E52" s="109" t="s">
        <v>684</v>
      </c>
      <c r="F52" s="133" t="s">
        <v>5290</v>
      </c>
      <c r="G52" s="133" t="s">
        <v>5291</v>
      </c>
      <c r="H52" s="133" t="s">
        <v>5292</v>
      </c>
      <c r="I52" s="133" t="s">
        <v>14</v>
      </c>
      <c r="J52" s="110" t="s">
        <v>1852</v>
      </c>
      <c r="K52" s="153"/>
    </row>
    <row r="53" spans="1:11" ht="19.95" customHeight="1" x14ac:dyDescent="0.3">
      <c r="A53" s="108" t="s">
        <v>5262</v>
      </c>
      <c r="B53" s="109" t="s">
        <v>5275</v>
      </c>
      <c r="C53" s="133" t="s">
        <v>5294</v>
      </c>
      <c r="D53" s="109" t="s">
        <v>13</v>
      </c>
      <c r="E53" s="109" t="s">
        <v>684</v>
      </c>
      <c r="F53" s="133" t="s">
        <v>5295</v>
      </c>
      <c r="G53" s="133" t="s">
        <v>5296</v>
      </c>
      <c r="H53" s="133" t="s">
        <v>5292</v>
      </c>
      <c r="I53" s="133" t="s">
        <v>14</v>
      </c>
      <c r="J53" s="110" t="s">
        <v>1852</v>
      </c>
      <c r="K53" s="153"/>
    </row>
    <row r="54" spans="1:11" ht="19.95" customHeight="1" x14ac:dyDescent="0.3">
      <c r="A54" s="108" t="s">
        <v>5268</v>
      </c>
      <c r="B54" s="109" t="s">
        <v>5275</v>
      </c>
      <c r="C54" s="133" t="s">
        <v>5298</v>
      </c>
      <c r="D54" s="109" t="s">
        <v>10</v>
      </c>
      <c r="E54" s="109" t="s">
        <v>684</v>
      </c>
      <c r="F54" s="133" t="s">
        <v>5299</v>
      </c>
      <c r="G54" s="133" t="s">
        <v>5300</v>
      </c>
      <c r="H54" s="133" t="s">
        <v>5255</v>
      </c>
      <c r="I54" s="133" t="s">
        <v>5301</v>
      </c>
      <c r="J54" s="110" t="s">
        <v>1852</v>
      </c>
      <c r="K54" s="153"/>
    </row>
    <row r="55" spans="1:11" ht="19.95" customHeight="1" x14ac:dyDescent="0.3">
      <c r="A55" s="108" t="s">
        <v>5274</v>
      </c>
      <c r="B55" s="109" t="s">
        <v>5275</v>
      </c>
      <c r="C55" s="133" t="s">
        <v>5303</v>
      </c>
      <c r="D55" s="109" t="s">
        <v>13</v>
      </c>
      <c r="E55" s="109" t="s">
        <v>684</v>
      </c>
      <c r="F55" s="133" t="s">
        <v>5304</v>
      </c>
      <c r="G55" s="133" t="s">
        <v>5305</v>
      </c>
      <c r="H55" s="133" t="s">
        <v>5306</v>
      </c>
      <c r="I55" s="133" t="s">
        <v>14</v>
      </c>
      <c r="J55" s="110" t="s">
        <v>1868</v>
      </c>
      <c r="K55" s="153"/>
    </row>
    <row r="56" spans="1:11" ht="19.95" customHeight="1" x14ac:dyDescent="0.3">
      <c r="A56" s="108" t="s">
        <v>5279</v>
      </c>
      <c r="B56" s="109" t="s">
        <v>5275</v>
      </c>
      <c r="C56" s="133" t="s">
        <v>5308</v>
      </c>
      <c r="D56" s="109" t="s">
        <v>13</v>
      </c>
      <c r="E56" s="109" t="s">
        <v>33</v>
      </c>
      <c r="F56" s="133" t="s">
        <v>5309</v>
      </c>
      <c r="G56" s="133" t="s">
        <v>5310</v>
      </c>
      <c r="H56" s="133" t="s">
        <v>5311</v>
      </c>
      <c r="I56" s="133" t="s">
        <v>14</v>
      </c>
      <c r="J56" s="110" t="s">
        <v>1852</v>
      </c>
      <c r="K56" s="153"/>
    </row>
    <row r="57" spans="1:11" ht="19.95" customHeight="1" x14ac:dyDescent="0.3">
      <c r="A57" s="108" t="s">
        <v>5284</v>
      </c>
      <c r="B57" s="109" t="s">
        <v>5275</v>
      </c>
      <c r="C57" s="133" t="s">
        <v>5313</v>
      </c>
      <c r="D57" s="109" t="s">
        <v>10</v>
      </c>
      <c r="E57" s="109" t="s">
        <v>684</v>
      </c>
      <c r="F57" s="133" t="s">
        <v>5314</v>
      </c>
      <c r="G57" s="133" t="s">
        <v>5315</v>
      </c>
      <c r="H57" s="133" t="s">
        <v>5249</v>
      </c>
      <c r="I57" s="133" t="s">
        <v>5316</v>
      </c>
      <c r="J57" s="110" t="s">
        <v>1852</v>
      </c>
      <c r="K57" s="153"/>
    </row>
    <row r="58" spans="1:11" ht="19.95" customHeight="1" x14ac:dyDescent="0.3">
      <c r="A58" s="108" t="s">
        <v>5288</v>
      </c>
      <c r="B58" s="109" t="s">
        <v>5275</v>
      </c>
      <c r="C58" s="133" t="s">
        <v>5318</v>
      </c>
      <c r="D58" s="109" t="s">
        <v>13</v>
      </c>
      <c r="E58" s="109" t="s">
        <v>684</v>
      </c>
      <c r="F58" s="133" t="s">
        <v>5314</v>
      </c>
      <c r="G58" s="133" t="s">
        <v>5319</v>
      </c>
      <c r="H58" s="133" t="s">
        <v>5320</v>
      </c>
      <c r="I58" s="133" t="s">
        <v>14</v>
      </c>
      <c r="J58" s="110" t="s">
        <v>1852</v>
      </c>
      <c r="K58" s="153"/>
    </row>
    <row r="59" spans="1:11" ht="19.95" customHeight="1" x14ac:dyDescent="0.3">
      <c r="A59" s="108" t="s">
        <v>5293</v>
      </c>
      <c r="B59" s="109" t="s">
        <v>5275</v>
      </c>
      <c r="C59" s="133" t="s">
        <v>5322</v>
      </c>
      <c r="D59" s="109" t="s">
        <v>10</v>
      </c>
      <c r="E59" s="109" t="s">
        <v>3674</v>
      </c>
      <c r="F59" s="133" t="s">
        <v>5202</v>
      </c>
      <c r="G59" s="133" t="s">
        <v>5323</v>
      </c>
      <c r="H59" s="133" t="s">
        <v>5324</v>
      </c>
      <c r="I59" s="133" t="s">
        <v>5325</v>
      </c>
      <c r="J59" s="110" t="s">
        <v>1852</v>
      </c>
      <c r="K59" s="153"/>
    </row>
    <row r="60" spans="1:11" ht="19.95" customHeight="1" x14ac:dyDescent="0.3">
      <c r="A60" s="108" t="s">
        <v>5297</v>
      </c>
      <c r="B60" s="109" t="s">
        <v>5275</v>
      </c>
      <c r="C60" s="133" t="s">
        <v>5327</v>
      </c>
      <c r="D60" s="109" t="s">
        <v>10</v>
      </c>
      <c r="E60" s="109" t="s">
        <v>3674</v>
      </c>
      <c r="F60" s="133" t="s">
        <v>5177</v>
      </c>
      <c r="G60" s="133" t="s">
        <v>5323</v>
      </c>
      <c r="H60" s="133" t="s">
        <v>5328</v>
      </c>
      <c r="I60" s="133" t="s">
        <v>5329</v>
      </c>
      <c r="J60" s="110" t="s">
        <v>1868</v>
      </c>
      <c r="K60" s="153"/>
    </row>
    <row r="61" spans="1:11" ht="19.95" customHeight="1" x14ac:dyDescent="0.3">
      <c r="A61" s="108" t="s">
        <v>5302</v>
      </c>
      <c r="B61" s="109" t="s">
        <v>5275</v>
      </c>
      <c r="C61" s="133" t="s">
        <v>5331</v>
      </c>
      <c r="D61" s="109" t="s">
        <v>13</v>
      </c>
      <c r="E61" s="109" t="s">
        <v>14</v>
      </c>
      <c r="F61" s="133" t="s">
        <v>5332</v>
      </c>
      <c r="G61" s="133" t="s">
        <v>5333</v>
      </c>
      <c r="H61" s="133" t="s">
        <v>5334</v>
      </c>
      <c r="I61" s="133" t="s">
        <v>14</v>
      </c>
      <c r="J61" s="110" t="s">
        <v>1868</v>
      </c>
      <c r="K61" s="160"/>
    </row>
    <row r="62" spans="1:11" ht="19.95" customHeight="1" x14ac:dyDescent="0.3">
      <c r="A62" s="108" t="s">
        <v>5307</v>
      </c>
      <c r="B62" s="109" t="s">
        <v>5275</v>
      </c>
      <c r="C62" s="133" t="s">
        <v>5336</v>
      </c>
      <c r="D62" s="109" t="s">
        <v>10</v>
      </c>
      <c r="E62" s="109" t="s">
        <v>14</v>
      </c>
      <c r="F62" s="133" t="s">
        <v>5337</v>
      </c>
      <c r="G62" s="133" t="s">
        <v>5338</v>
      </c>
      <c r="H62" s="133" t="s">
        <v>5339</v>
      </c>
      <c r="I62" s="133" t="s">
        <v>5340</v>
      </c>
      <c r="J62" s="110" t="s">
        <v>1868</v>
      </c>
      <c r="K62" s="153"/>
    </row>
    <row r="63" spans="1:11" ht="19.95" customHeight="1" x14ac:dyDescent="0.3">
      <c r="A63" s="108" t="s">
        <v>5312</v>
      </c>
      <c r="B63" s="109" t="s">
        <v>5275</v>
      </c>
      <c r="C63" s="133" t="s">
        <v>5342</v>
      </c>
      <c r="D63" s="109" t="s">
        <v>13</v>
      </c>
      <c r="E63" s="109" t="s">
        <v>33</v>
      </c>
      <c r="F63" s="133" t="s">
        <v>5343</v>
      </c>
      <c r="G63" s="133" t="s">
        <v>5344</v>
      </c>
      <c r="H63" s="133" t="s">
        <v>5345</v>
      </c>
      <c r="I63" s="133" t="s">
        <v>14</v>
      </c>
      <c r="J63" s="110" t="s">
        <v>1868</v>
      </c>
      <c r="K63" s="153"/>
    </row>
    <row r="64" spans="1:11" ht="19.95" customHeight="1" x14ac:dyDescent="0.3">
      <c r="A64" s="108" t="s">
        <v>5317</v>
      </c>
      <c r="B64" s="109" t="s">
        <v>5275</v>
      </c>
      <c r="C64" s="133" t="s">
        <v>5347</v>
      </c>
      <c r="D64" s="109" t="s">
        <v>10</v>
      </c>
      <c r="E64" s="109" t="s">
        <v>5057</v>
      </c>
      <c r="F64" s="133" t="s">
        <v>5048</v>
      </c>
      <c r="G64" s="133" t="s">
        <v>5348</v>
      </c>
      <c r="H64" s="133" t="s">
        <v>5349</v>
      </c>
      <c r="I64" s="133" t="s">
        <v>5350</v>
      </c>
      <c r="J64" s="110" t="s">
        <v>1868</v>
      </c>
      <c r="K64" s="153"/>
    </row>
    <row r="65" spans="1:11" ht="19.95" customHeight="1" x14ac:dyDescent="0.3">
      <c r="A65" s="99" t="s">
        <v>5321</v>
      </c>
      <c r="B65" s="100" t="s">
        <v>5352</v>
      </c>
      <c r="C65" s="130" t="s">
        <v>5353</v>
      </c>
      <c r="D65" s="100" t="s">
        <v>13</v>
      </c>
      <c r="E65" s="100" t="s">
        <v>714</v>
      </c>
      <c r="F65" s="130" t="s">
        <v>5354</v>
      </c>
      <c r="G65" s="130" t="s">
        <v>79</v>
      </c>
      <c r="H65" s="130" t="s">
        <v>5355</v>
      </c>
      <c r="I65" s="130" t="s">
        <v>14</v>
      </c>
      <c r="J65" s="101" t="s">
        <v>1852</v>
      </c>
      <c r="K65" s="153"/>
    </row>
    <row r="66" spans="1:11" ht="19.95" customHeight="1" x14ac:dyDescent="0.3">
      <c r="A66" s="99" t="s">
        <v>5326</v>
      </c>
      <c r="B66" s="100" t="s">
        <v>5352</v>
      </c>
      <c r="C66" s="130" t="s">
        <v>3351</v>
      </c>
      <c r="D66" s="100" t="s">
        <v>21</v>
      </c>
      <c r="E66" s="100" t="s">
        <v>5357</v>
      </c>
      <c r="F66" s="130" t="s">
        <v>12864</v>
      </c>
      <c r="G66" s="130" t="s">
        <v>5358</v>
      </c>
      <c r="H66" s="130" t="s">
        <v>5359</v>
      </c>
      <c r="I66" s="130" t="s">
        <v>5360</v>
      </c>
      <c r="J66" s="101" t="s">
        <v>1852</v>
      </c>
      <c r="K66" s="161"/>
    </row>
    <row r="67" spans="1:11" ht="19.95" customHeight="1" x14ac:dyDescent="0.3">
      <c r="A67" s="99" t="s">
        <v>5330</v>
      </c>
      <c r="B67" s="100" t="s">
        <v>5352</v>
      </c>
      <c r="C67" s="130" t="s">
        <v>5362</v>
      </c>
      <c r="D67" s="100" t="s">
        <v>13</v>
      </c>
      <c r="E67" s="100" t="s">
        <v>54</v>
      </c>
      <c r="F67" s="130" t="s">
        <v>5363</v>
      </c>
      <c r="G67" s="130" t="s">
        <v>5358</v>
      </c>
      <c r="H67" s="130" t="s">
        <v>5364</v>
      </c>
      <c r="I67" s="130" t="s">
        <v>14</v>
      </c>
      <c r="J67" s="101" t="s">
        <v>1852</v>
      </c>
      <c r="K67" s="153"/>
    </row>
    <row r="68" spans="1:11" ht="19.95" customHeight="1" x14ac:dyDescent="0.3">
      <c r="A68" s="99" t="s">
        <v>5335</v>
      </c>
      <c r="B68" s="100" t="s">
        <v>5352</v>
      </c>
      <c r="C68" s="130" t="s">
        <v>5366</v>
      </c>
      <c r="D68" s="100" t="s">
        <v>13</v>
      </c>
      <c r="E68" s="100" t="s">
        <v>54</v>
      </c>
      <c r="F68" s="130" t="s">
        <v>5367</v>
      </c>
      <c r="G68" s="130" t="s">
        <v>5358</v>
      </c>
      <c r="H68" s="130" t="s">
        <v>5368</v>
      </c>
      <c r="I68" s="130" t="s">
        <v>14</v>
      </c>
      <c r="J68" s="101" t="s">
        <v>1852</v>
      </c>
      <c r="K68" s="153"/>
    </row>
    <row r="69" spans="1:11" ht="19.95" customHeight="1" x14ac:dyDescent="0.3">
      <c r="A69" s="99" t="s">
        <v>5341</v>
      </c>
      <c r="B69" s="100" t="s">
        <v>5352</v>
      </c>
      <c r="C69" s="130" t="s">
        <v>5370</v>
      </c>
      <c r="D69" s="100" t="s">
        <v>13</v>
      </c>
      <c r="E69" s="100" t="s">
        <v>54</v>
      </c>
      <c r="F69" s="130" t="s">
        <v>12865</v>
      </c>
      <c r="G69" s="130" t="s">
        <v>5358</v>
      </c>
      <c r="H69" s="130" t="s">
        <v>5371</v>
      </c>
      <c r="I69" s="130" t="s">
        <v>14</v>
      </c>
      <c r="J69" s="101" t="s">
        <v>1868</v>
      </c>
      <c r="K69" s="153"/>
    </row>
    <row r="70" spans="1:11" ht="19.95" customHeight="1" x14ac:dyDescent="0.3">
      <c r="A70" s="99" t="s">
        <v>5346</v>
      </c>
      <c r="B70" s="100" t="s">
        <v>5352</v>
      </c>
      <c r="C70" s="130" t="s">
        <v>5373</v>
      </c>
      <c r="D70" s="100" t="s">
        <v>13</v>
      </c>
      <c r="E70" s="100" t="s">
        <v>3674</v>
      </c>
      <c r="F70" s="130" t="s">
        <v>5360</v>
      </c>
      <c r="G70" s="130" t="s">
        <v>5374</v>
      </c>
      <c r="H70" s="130" t="s">
        <v>5375</v>
      </c>
      <c r="I70" s="130" t="s">
        <v>5376</v>
      </c>
      <c r="J70" s="101" t="s">
        <v>1852</v>
      </c>
      <c r="K70" s="153"/>
    </row>
    <row r="71" spans="1:11" ht="19.95" customHeight="1" x14ac:dyDescent="0.3">
      <c r="A71" s="99" t="s">
        <v>5351</v>
      </c>
      <c r="B71" s="100" t="s">
        <v>5352</v>
      </c>
      <c r="C71" s="130" t="s">
        <v>5378</v>
      </c>
      <c r="D71" s="100" t="s">
        <v>10</v>
      </c>
      <c r="E71" s="100" t="s">
        <v>1806</v>
      </c>
      <c r="F71" s="130" t="s">
        <v>5379</v>
      </c>
      <c r="G71" s="130" t="s">
        <v>5380</v>
      </c>
      <c r="H71" s="130" t="s">
        <v>13773</v>
      </c>
      <c r="I71" s="130" t="s">
        <v>5381</v>
      </c>
      <c r="J71" s="101" t="s">
        <v>1852</v>
      </c>
      <c r="K71" s="153"/>
    </row>
    <row r="72" spans="1:11" ht="19.95" customHeight="1" x14ac:dyDescent="0.3">
      <c r="A72" s="99" t="s">
        <v>5356</v>
      </c>
      <c r="B72" s="100" t="s">
        <v>5352</v>
      </c>
      <c r="C72" s="130" t="s">
        <v>5383</v>
      </c>
      <c r="D72" s="100" t="s">
        <v>13</v>
      </c>
      <c r="E72" s="100" t="s">
        <v>1806</v>
      </c>
      <c r="F72" s="130" t="s">
        <v>5384</v>
      </c>
      <c r="G72" s="130" t="s">
        <v>5385</v>
      </c>
      <c r="H72" s="130" t="s">
        <v>5386</v>
      </c>
      <c r="I72" s="130" t="s">
        <v>14</v>
      </c>
      <c r="J72" s="101" t="s">
        <v>1852</v>
      </c>
      <c r="K72" s="153"/>
    </row>
    <row r="73" spans="1:11" ht="19.95" customHeight="1" x14ac:dyDescent="0.3">
      <c r="A73" s="99" t="s">
        <v>5361</v>
      </c>
      <c r="B73" s="100" t="s">
        <v>5352</v>
      </c>
      <c r="C73" s="130" t="s">
        <v>5388</v>
      </c>
      <c r="D73" s="100" t="s">
        <v>13</v>
      </c>
      <c r="E73" s="100" t="s">
        <v>1813</v>
      </c>
      <c r="F73" s="130" t="s">
        <v>5389</v>
      </c>
      <c r="G73" s="130" t="s">
        <v>3329</v>
      </c>
      <c r="H73" s="130" t="s">
        <v>5390</v>
      </c>
      <c r="I73" s="130" t="s">
        <v>5391</v>
      </c>
      <c r="J73" s="101" t="s">
        <v>1852</v>
      </c>
      <c r="K73" s="153"/>
    </row>
    <row r="74" spans="1:11" ht="19.95" customHeight="1" x14ac:dyDescent="0.3">
      <c r="A74" s="99" t="s">
        <v>5365</v>
      </c>
      <c r="B74" s="100" t="s">
        <v>5352</v>
      </c>
      <c r="C74" s="130" t="s">
        <v>5393</v>
      </c>
      <c r="D74" s="100" t="s">
        <v>13</v>
      </c>
      <c r="E74" s="100" t="s">
        <v>1813</v>
      </c>
      <c r="F74" s="130" t="s">
        <v>5389</v>
      </c>
      <c r="G74" s="130" t="s">
        <v>5394</v>
      </c>
      <c r="H74" s="130" t="s">
        <v>5047</v>
      </c>
      <c r="I74" s="130" t="s">
        <v>14</v>
      </c>
      <c r="J74" s="101" t="s">
        <v>1852</v>
      </c>
      <c r="K74" s="153"/>
    </row>
    <row r="75" spans="1:11" ht="19.95" customHeight="1" x14ac:dyDescent="0.3">
      <c r="A75" s="99" t="s">
        <v>5369</v>
      </c>
      <c r="B75" s="100" t="s">
        <v>5352</v>
      </c>
      <c r="C75" s="130" t="s">
        <v>5396</v>
      </c>
      <c r="D75" s="100" t="s">
        <v>13</v>
      </c>
      <c r="E75" s="100" t="s">
        <v>3674</v>
      </c>
      <c r="F75" s="130" t="s">
        <v>5397</v>
      </c>
      <c r="G75" s="130" t="s">
        <v>5394</v>
      </c>
      <c r="H75" s="130" t="s">
        <v>5047</v>
      </c>
      <c r="I75" s="130" t="s">
        <v>14</v>
      </c>
      <c r="J75" s="101" t="s">
        <v>1852</v>
      </c>
      <c r="K75" s="153"/>
    </row>
    <row r="76" spans="1:11" ht="19.95" customHeight="1" x14ac:dyDescent="0.3">
      <c r="A76" s="99" t="s">
        <v>5372</v>
      </c>
      <c r="B76" s="100" t="s">
        <v>5352</v>
      </c>
      <c r="C76" s="130" t="s">
        <v>5399</v>
      </c>
      <c r="D76" s="100" t="s">
        <v>13</v>
      </c>
      <c r="E76" s="100" t="s">
        <v>714</v>
      </c>
      <c r="F76" s="130" t="s">
        <v>5400</v>
      </c>
      <c r="G76" s="130" t="s">
        <v>5401</v>
      </c>
      <c r="H76" s="130" t="s">
        <v>5402</v>
      </c>
      <c r="I76" s="130" t="s">
        <v>14</v>
      </c>
      <c r="J76" s="101" t="s">
        <v>1868</v>
      </c>
      <c r="K76" s="153"/>
    </row>
    <row r="77" spans="1:11" ht="19.95" customHeight="1" x14ac:dyDescent="0.3">
      <c r="A77" s="99" t="s">
        <v>5377</v>
      </c>
      <c r="B77" s="100" t="s">
        <v>5352</v>
      </c>
      <c r="C77" s="130" t="s">
        <v>5404</v>
      </c>
      <c r="D77" s="100" t="s">
        <v>13</v>
      </c>
      <c r="E77" s="100" t="s">
        <v>714</v>
      </c>
      <c r="F77" s="130" t="s">
        <v>5405</v>
      </c>
      <c r="G77" s="130" t="s">
        <v>5406</v>
      </c>
      <c r="H77" s="130" t="s">
        <v>5407</v>
      </c>
      <c r="I77" s="130" t="s">
        <v>14</v>
      </c>
      <c r="J77" s="101" t="s">
        <v>1868</v>
      </c>
      <c r="K77" s="153"/>
    </row>
    <row r="78" spans="1:11" ht="19.95" customHeight="1" x14ac:dyDescent="0.3">
      <c r="A78" s="99" t="s">
        <v>5382</v>
      </c>
      <c r="B78" s="100" t="s">
        <v>5352</v>
      </c>
      <c r="C78" s="130" t="s">
        <v>5409</v>
      </c>
      <c r="D78" s="100" t="s">
        <v>13</v>
      </c>
      <c r="E78" s="100" t="s">
        <v>714</v>
      </c>
      <c r="F78" s="130" t="s">
        <v>3353</v>
      </c>
      <c r="G78" s="130" t="s">
        <v>5410</v>
      </c>
      <c r="H78" s="130" t="s">
        <v>5411</v>
      </c>
      <c r="I78" s="130" t="s">
        <v>14</v>
      </c>
      <c r="J78" s="101" t="s">
        <v>1868</v>
      </c>
      <c r="K78" s="153"/>
    </row>
    <row r="79" spans="1:11" ht="19.95" customHeight="1" x14ac:dyDescent="0.3">
      <c r="A79" s="99" t="s">
        <v>5387</v>
      </c>
      <c r="B79" s="100" t="s">
        <v>5352</v>
      </c>
      <c r="C79" s="130" t="s">
        <v>5413</v>
      </c>
      <c r="D79" s="100" t="s">
        <v>13</v>
      </c>
      <c r="E79" s="100" t="s">
        <v>714</v>
      </c>
      <c r="F79" s="130" t="s">
        <v>5360</v>
      </c>
      <c r="G79" s="130" t="s">
        <v>5414</v>
      </c>
      <c r="H79" s="130" t="s">
        <v>5415</v>
      </c>
      <c r="I79" s="130" t="s">
        <v>14</v>
      </c>
      <c r="J79" s="101" t="s">
        <v>1852</v>
      </c>
      <c r="K79" s="153"/>
    </row>
    <row r="80" spans="1:11" ht="19.95" customHeight="1" x14ac:dyDescent="0.3">
      <c r="A80" s="99" t="s">
        <v>5392</v>
      </c>
      <c r="B80" s="100" t="s">
        <v>5352</v>
      </c>
      <c r="C80" s="130" t="s">
        <v>5417</v>
      </c>
      <c r="D80" s="100" t="s">
        <v>21</v>
      </c>
      <c r="E80" s="100" t="s">
        <v>721</v>
      </c>
      <c r="F80" s="130" t="s">
        <v>5418</v>
      </c>
      <c r="G80" s="130" t="s">
        <v>5419</v>
      </c>
      <c r="H80" s="130" t="s">
        <v>5420</v>
      </c>
      <c r="I80" s="130" t="s">
        <v>5421</v>
      </c>
      <c r="J80" s="101" t="s">
        <v>1852</v>
      </c>
      <c r="K80" s="153"/>
    </row>
    <row r="81" spans="1:11" ht="19.95" customHeight="1" x14ac:dyDescent="0.3">
      <c r="A81" s="99" t="s">
        <v>5395</v>
      </c>
      <c r="B81" s="100" t="s">
        <v>5352</v>
      </c>
      <c r="C81" s="130" t="s">
        <v>5423</v>
      </c>
      <c r="D81" s="100" t="s">
        <v>10</v>
      </c>
      <c r="E81" s="100" t="s">
        <v>714</v>
      </c>
      <c r="F81" s="130" t="s">
        <v>5424</v>
      </c>
      <c r="G81" s="130" t="s">
        <v>5425</v>
      </c>
      <c r="H81" s="130" t="s">
        <v>5426</v>
      </c>
      <c r="I81" s="130" t="s">
        <v>5427</v>
      </c>
      <c r="J81" s="101" t="s">
        <v>1868</v>
      </c>
      <c r="K81" s="153"/>
    </row>
    <row r="82" spans="1:11" ht="19.95" customHeight="1" x14ac:dyDescent="0.3">
      <c r="A82" s="99" t="s">
        <v>5398</v>
      </c>
      <c r="B82" s="100" t="s">
        <v>5352</v>
      </c>
      <c r="C82" s="130" t="s">
        <v>5429</v>
      </c>
      <c r="D82" s="100" t="s">
        <v>10</v>
      </c>
      <c r="E82" s="100" t="s">
        <v>714</v>
      </c>
      <c r="F82" s="130" t="s">
        <v>5430</v>
      </c>
      <c r="G82" s="130" t="s">
        <v>5431</v>
      </c>
      <c r="H82" s="130" t="s">
        <v>5432</v>
      </c>
      <c r="I82" s="130" t="s">
        <v>5433</v>
      </c>
      <c r="J82" s="101" t="s">
        <v>1868</v>
      </c>
      <c r="K82" s="153"/>
    </row>
    <row r="83" spans="1:11" ht="19.95" customHeight="1" x14ac:dyDescent="0.3">
      <c r="A83" s="99" t="s">
        <v>5403</v>
      </c>
      <c r="B83" s="100" t="s">
        <v>5352</v>
      </c>
      <c r="C83" s="130" t="s">
        <v>5435</v>
      </c>
      <c r="D83" s="100" t="s">
        <v>13</v>
      </c>
      <c r="E83" s="100" t="s">
        <v>221</v>
      </c>
      <c r="F83" s="130" t="s">
        <v>5436</v>
      </c>
      <c r="G83" s="130" t="s">
        <v>5437</v>
      </c>
      <c r="H83" s="130" t="s">
        <v>5438</v>
      </c>
      <c r="I83" s="130" t="s">
        <v>5439</v>
      </c>
      <c r="J83" s="101" t="s">
        <v>1852</v>
      </c>
      <c r="K83" s="153"/>
    </row>
    <row r="84" spans="1:11" ht="19.95" customHeight="1" x14ac:dyDescent="0.3">
      <c r="A84" s="99" t="s">
        <v>5408</v>
      </c>
      <c r="B84" s="100" t="s">
        <v>5352</v>
      </c>
      <c r="C84" s="130" t="s">
        <v>5441</v>
      </c>
      <c r="D84" s="100" t="s">
        <v>13</v>
      </c>
      <c r="E84" s="100" t="s">
        <v>714</v>
      </c>
      <c r="F84" s="130" t="s">
        <v>5442</v>
      </c>
      <c r="G84" s="130" t="s">
        <v>5443</v>
      </c>
      <c r="H84" s="130" t="s">
        <v>5444</v>
      </c>
      <c r="I84" s="130" t="s">
        <v>14</v>
      </c>
      <c r="J84" s="101" t="s">
        <v>1868</v>
      </c>
      <c r="K84" s="153"/>
    </row>
    <row r="85" spans="1:11" ht="19.95" customHeight="1" x14ac:dyDescent="0.3">
      <c r="A85" s="111" t="s">
        <v>5412</v>
      </c>
      <c r="B85" s="112" t="s">
        <v>5446</v>
      </c>
      <c r="C85" s="134" t="s">
        <v>5447</v>
      </c>
      <c r="D85" s="112" t="s">
        <v>13</v>
      </c>
      <c r="E85" s="112" t="s">
        <v>3674</v>
      </c>
      <c r="F85" s="134" t="s">
        <v>5216</v>
      </c>
      <c r="G85" s="134" t="s">
        <v>5448</v>
      </c>
      <c r="H85" s="134" t="s">
        <v>3705</v>
      </c>
      <c r="I85" s="134" t="s">
        <v>14</v>
      </c>
      <c r="J85" s="113" t="s">
        <v>1852</v>
      </c>
      <c r="K85" s="153"/>
    </row>
    <row r="86" spans="1:11" ht="19.95" customHeight="1" x14ac:dyDescent="0.3">
      <c r="A86" s="111" t="s">
        <v>5416</v>
      </c>
      <c r="B86" s="112" t="s">
        <v>5446</v>
      </c>
      <c r="C86" s="134" t="s">
        <v>5450</v>
      </c>
      <c r="D86" s="112" t="s">
        <v>13</v>
      </c>
      <c r="E86" s="112" t="s">
        <v>3674</v>
      </c>
      <c r="F86" s="134" t="s">
        <v>5216</v>
      </c>
      <c r="G86" s="134" t="s">
        <v>5451</v>
      </c>
      <c r="H86" s="134" t="s">
        <v>3705</v>
      </c>
      <c r="I86" s="134" t="s">
        <v>14</v>
      </c>
      <c r="J86" s="113" t="s">
        <v>1852</v>
      </c>
      <c r="K86" s="153"/>
    </row>
    <row r="87" spans="1:11" ht="19.95" customHeight="1" x14ac:dyDescent="0.3">
      <c r="A87" s="111" t="s">
        <v>5422</v>
      </c>
      <c r="B87" s="112" t="s">
        <v>5446</v>
      </c>
      <c r="C87" s="134" t="s">
        <v>5453</v>
      </c>
      <c r="D87" s="112" t="s">
        <v>13</v>
      </c>
      <c r="E87" s="112" t="s">
        <v>3674</v>
      </c>
      <c r="F87" s="134" t="s">
        <v>5454</v>
      </c>
      <c r="G87" s="134" t="s">
        <v>5455</v>
      </c>
      <c r="H87" s="134" t="s">
        <v>5456</v>
      </c>
      <c r="I87" s="134" t="s">
        <v>14</v>
      </c>
      <c r="J87" s="113" t="s">
        <v>1852</v>
      </c>
      <c r="K87" s="153"/>
    </row>
    <row r="88" spans="1:11" ht="19.95" customHeight="1" x14ac:dyDescent="0.3">
      <c r="A88" s="111" t="s">
        <v>5428</v>
      </c>
      <c r="B88" s="112" t="s">
        <v>5446</v>
      </c>
      <c r="C88" s="134" t="s">
        <v>5458</v>
      </c>
      <c r="D88" s="112" t="s">
        <v>13</v>
      </c>
      <c r="E88" s="112" t="s">
        <v>3674</v>
      </c>
      <c r="F88" s="134" t="s">
        <v>5459</v>
      </c>
      <c r="G88" s="134" t="s">
        <v>5460</v>
      </c>
      <c r="H88" s="134" t="s">
        <v>5461</v>
      </c>
      <c r="I88" s="134" t="s">
        <v>14</v>
      </c>
      <c r="J88" s="113" t="s">
        <v>1852</v>
      </c>
      <c r="K88" s="153"/>
    </row>
    <row r="89" spans="1:11" ht="19.95" customHeight="1" x14ac:dyDescent="0.3">
      <c r="A89" s="111" t="s">
        <v>5434</v>
      </c>
      <c r="B89" s="112" t="s">
        <v>5446</v>
      </c>
      <c r="C89" s="134" t="s">
        <v>5463</v>
      </c>
      <c r="D89" s="112" t="s">
        <v>13</v>
      </c>
      <c r="E89" s="112" t="s">
        <v>3674</v>
      </c>
      <c r="F89" s="134" t="s">
        <v>5464</v>
      </c>
      <c r="G89" s="134" t="s">
        <v>5465</v>
      </c>
      <c r="H89" s="134" t="s">
        <v>5466</v>
      </c>
      <c r="I89" s="134" t="s">
        <v>14</v>
      </c>
      <c r="J89" s="113" t="s">
        <v>1852</v>
      </c>
      <c r="K89" s="153"/>
    </row>
    <row r="90" spans="1:11" ht="19.95" customHeight="1" x14ac:dyDescent="0.3">
      <c r="A90" s="111" t="s">
        <v>5440</v>
      </c>
      <c r="B90" s="112" t="s">
        <v>5446</v>
      </c>
      <c r="C90" s="134" t="s">
        <v>5468</v>
      </c>
      <c r="D90" s="112" t="s">
        <v>13</v>
      </c>
      <c r="E90" s="112" t="s">
        <v>3674</v>
      </c>
      <c r="F90" s="134" t="s">
        <v>5469</v>
      </c>
      <c r="G90" s="134" t="s">
        <v>5465</v>
      </c>
      <c r="H90" s="134" t="s">
        <v>5470</v>
      </c>
      <c r="I90" s="134" t="s">
        <v>14</v>
      </c>
      <c r="J90" s="113" t="s">
        <v>1852</v>
      </c>
      <c r="K90" s="153"/>
    </row>
    <row r="91" spans="1:11" ht="19.95" customHeight="1" x14ac:dyDescent="0.3">
      <c r="A91" s="111" t="s">
        <v>5445</v>
      </c>
      <c r="B91" s="112" t="s">
        <v>5446</v>
      </c>
      <c r="C91" s="134" t="s">
        <v>5472</v>
      </c>
      <c r="D91" s="112" t="s">
        <v>13</v>
      </c>
      <c r="E91" s="112" t="s">
        <v>3674</v>
      </c>
      <c r="F91" s="134" t="s">
        <v>5473</v>
      </c>
      <c r="G91" s="134" t="s">
        <v>5474</v>
      </c>
      <c r="H91" s="134" t="s">
        <v>5475</v>
      </c>
      <c r="I91" s="134" t="s">
        <v>14</v>
      </c>
      <c r="J91" s="113" t="s">
        <v>1868</v>
      </c>
      <c r="K91" s="153"/>
    </row>
    <row r="92" spans="1:11" ht="19.95" customHeight="1" x14ac:dyDescent="0.3">
      <c r="A92" s="111" t="s">
        <v>5449</v>
      </c>
      <c r="B92" s="112" t="s">
        <v>5446</v>
      </c>
      <c r="C92" s="134" t="s">
        <v>5477</v>
      </c>
      <c r="D92" s="112" t="s">
        <v>13</v>
      </c>
      <c r="E92" s="112" t="s">
        <v>221</v>
      </c>
      <c r="F92" s="134" t="s">
        <v>5478</v>
      </c>
      <c r="G92" s="134" t="s">
        <v>5129</v>
      </c>
      <c r="H92" s="134" t="s">
        <v>5479</v>
      </c>
      <c r="I92" s="134" t="s">
        <v>14</v>
      </c>
      <c r="J92" s="113" t="s">
        <v>1868</v>
      </c>
      <c r="K92" s="153"/>
    </row>
    <row r="93" spans="1:11" ht="19.95" customHeight="1" x14ac:dyDescent="0.3">
      <c r="A93" s="111" t="s">
        <v>5452</v>
      </c>
      <c r="B93" s="112" t="s">
        <v>5446</v>
      </c>
      <c r="C93" s="134" t="s">
        <v>5481</v>
      </c>
      <c r="D93" s="112" t="s">
        <v>13</v>
      </c>
      <c r="E93" s="112" t="s">
        <v>3674</v>
      </c>
      <c r="F93" s="134" t="s">
        <v>5177</v>
      </c>
      <c r="G93" s="134" t="s">
        <v>5482</v>
      </c>
      <c r="H93" s="134" t="s">
        <v>5483</v>
      </c>
      <c r="I93" s="134" t="s">
        <v>14</v>
      </c>
      <c r="J93" s="113" t="s">
        <v>1868</v>
      </c>
      <c r="K93" s="153"/>
    </row>
    <row r="94" spans="1:11" ht="19.95" customHeight="1" x14ac:dyDescent="0.3">
      <c r="A94" s="111" t="s">
        <v>5457</v>
      </c>
      <c r="B94" s="112" t="s">
        <v>5446</v>
      </c>
      <c r="C94" s="134" t="s">
        <v>5485</v>
      </c>
      <c r="D94" s="112" t="s">
        <v>13</v>
      </c>
      <c r="E94" s="112" t="s">
        <v>714</v>
      </c>
      <c r="F94" s="134" t="s">
        <v>5486</v>
      </c>
      <c r="G94" s="134" t="s">
        <v>5465</v>
      </c>
      <c r="H94" s="134" t="s">
        <v>5487</v>
      </c>
      <c r="I94" s="134" t="s">
        <v>14</v>
      </c>
      <c r="J94" s="113" t="s">
        <v>1868</v>
      </c>
      <c r="K94" s="153"/>
    </row>
    <row r="95" spans="1:11" ht="19.95" customHeight="1" x14ac:dyDescent="0.3">
      <c r="A95" s="111" t="s">
        <v>5462</v>
      </c>
      <c r="B95" s="112" t="s">
        <v>5446</v>
      </c>
      <c r="C95" s="134" t="s">
        <v>5489</v>
      </c>
      <c r="D95" s="112" t="s">
        <v>10</v>
      </c>
      <c r="E95" s="112" t="s">
        <v>3674</v>
      </c>
      <c r="F95" s="134" t="s">
        <v>5490</v>
      </c>
      <c r="G95" s="134" t="s">
        <v>5491</v>
      </c>
      <c r="H95" s="134" t="s">
        <v>5492</v>
      </c>
      <c r="I95" s="134" t="s">
        <v>5493</v>
      </c>
      <c r="J95" s="113" t="s">
        <v>1868</v>
      </c>
      <c r="K95" s="153"/>
    </row>
    <row r="96" spans="1:11" ht="19.95" customHeight="1" x14ac:dyDescent="0.3">
      <c r="A96" s="111" t="s">
        <v>5467</v>
      </c>
      <c r="B96" s="112" t="s">
        <v>5446</v>
      </c>
      <c r="C96" s="134" t="s">
        <v>5495</v>
      </c>
      <c r="D96" s="112" t="s">
        <v>13</v>
      </c>
      <c r="E96" s="112" t="s">
        <v>3674</v>
      </c>
      <c r="F96" s="134" t="s">
        <v>5216</v>
      </c>
      <c r="G96" s="134" t="s">
        <v>5496</v>
      </c>
      <c r="H96" s="134" t="s">
        <v>5497</v>
      </c>
      <c r="I96" s="134" t="s">
        <v>14</v>
      </c>
      <c r="J96" s="113" t="s">
        <v>1868</v>
      </c>
      <c r="K96" s="153"/>
    </row>
    <row r="97" spans="1:11" ht="19.95" customHeight="1" x14ac:dyDescent="0.3">
      <c r="A97" s="111" t="s">
        <v>5471</v>
      </c>
      <c r="B97" s="112" t="s">
        <v>5446</v>
      </c>
      <c r="C97" s="134" t="s">
        <v>5499</v>
      </c>
      <c r="D97" s="112" t="s">
        <v>10</v>
      </c>
      <c r="E97" s="112" t="s">
        <v>3674</v>
      </c>
      <c r="F97" s="134" t="s">
        <v>5500</v>
      </c>
      <c r="G97" s="134" t="s">
        <v>5491</v>
      </c>
      <c r="H97" s="134" t="s">
        <v>5501</v>
      </c>
      <c r="I97" s="134" t="s">
        <v>5502</v>
      </c>
      <c r="J97" s="113" t="s">
        <v>1852</v>
      </c>
      <c r="K97" s="153"/>
    </row>
    <row r="98" spans="1:11" ht="19.95" customHeight="1" x14ac:dyDescent="0.3">
      <c r="A98" s="111" t="s">
        <v>5476</v>
      </c>
      <c r="B98" s="112" t="s">
        <v>5446</v>
      </c>
      <c r="C98" s="134" t="s">
        <v>5504</v>
      </c>
      <c r="D98" s="112" t="s">
        <v>10</v>
      </c>
      <c r="E98" s="112" t="s">
        <v>3674</v>
      </c>
      <c r="F98" s="134" t="s">
        <v>5505</v>
      </c>
      <c r="G98" s="134" t="s">
        <v>5243</v>
      </c>
      <c r="H98" s="134" t="s">
        <v>5506</v>
      </c>
      <c r="I98" s="134" t="s">
        <v>5507</v>
      </c>
      <c r="J98" s="113" t="s">
        <v>1868</v>
      </c>
      <c r="K98" s="153"/>
    </row>
    <row r="99" spans="1:11" ht="19.95" customHeight="1" x14ac:dyDescent="0.3">
      <c r="A99" s="111" t="s">
        <v>5480</v>
      </c>
      <c r="B99" s="112" t="s">
        <v>5446</v>
      </c>
      <c r="C99" s="134" t="s">
        <v>5509</v>
      </c>
      <c r="D99" s="112" t="s">
        <v>13</v>
      </c>
      <c r="E99" s="112" t="s">
        <v>3674</v>
      </c>
      <c r="F99" s="134" t="s">
        <v>5510</v>
      </c>
      <c r="G99" s="134" t="s">
        <v>5511</v>
      </c>
      <c r="H99" s="134" t="s">
        <v>5512</v>
      </c>
      <c r="I99" s="134" t="s">
        <v>5513</v>
      </c>
      <c r="J99" s="113" t="s">
        <v>1868</v>
      </c>
      <c r="K99" s="153"/>
    </row>
    <row r="100" spans="1:11" ht="19.95" customHeight="1" x14ac:dyDescent="0.3">
      <c r="A100" s="111" t="s">
        <v>5484</v>
      </c>
      <c r="B100" s="112" t="s">
        <v>5446</v>
      </c>
      <c r="C100" s="134" t="s">
        <v>5515</v>
      </c>
      <c r="D100" s="112" t="s">
        <v>10</v>
      </c>
      <c r="E100" s="112" t="s">
        <v>3674</v>
      </c>
      <c r="F100" s="134" t="s">
        <v>5516</v>
      </c>
      <c r="G100" s="134" t="s">
        <v>5517</v>
      </c>
      <c r="H100" s="134" t="s">
        <v>5518</v>
      </c>
      <c r="I100" s="134" t="s">
        <v>5519</v>
      </c>
      <c r="J100" s="113" t="s">
        <v>1868</v>
      </c>
      <c r="K100" s="153"/>
    </row>
    <row r="101" spans="1:11" ht="19.95" customHeight="1" x14ac:dyDescent="0.3">
      <c r="A101" s="114" t="s">
        <v>5488</v>
      </c>
      <c r="B101" s="115" t="s">
        <v>5521</v>
      </c>
      <c r="C101" s="135" t="s">
        <v>5522</v>
      </c>
      <c r="D101" s="115" t="s">
        <v>10</v>
      </c>
      <c r="E101" s="115" t="s">
        <v>5264</v>
      </c>
      <c r="F101" s="135" t="s">
        <v>5523</v>
      </c>
      <c r="G101" s="135" t="s">
        <v>5491</v>
      </c>
      <c r="H101" s="135" t="s">
        <v>13752</v>
      </c>
      <c r="I101" s="135" t="s">
        <v>5524</v>
      </c>
      <c r="J101" s="116" t="s">
        <v>1852</v>
      </c>
      <c r="K101" s="159" t="s">
        <v>12856</v>
      </c>
    </row>
    <row r="102" spans="1:11" ht="19.95" customHeight="1" x14ac:dyDescent="0.3">
      <c r="A102" s="114" t="s">
        <v>5494</v>
      </c>
      <c r="B102" s="115" t="s">
        <v>5521</v>
      </c>
      <c r="C102" s="135" t="s">
        <v>5526</v>
      </c>
      <c r="D102" s="115" t="s">
        <v>10</v>
      </c>
      <c r="E102" s="115" t="s">
        <v>5264</v>
      </c>
      <c r="F102" s="135" t="s">
        <v>5527</v>
      </c>
      <c r="G102" s="135" t="s">
        <v>5491</v>
      </c>
      <c r="H102" s="135" t="s">
        <v>13752</v>
      </c>
      <c r="I102" s="135" t="s">
        <v>5528</v>
      </c>
      <c r="J102" s="116" t="s">
        <v>1852</v>
      </c>
      <c r="K102" s="153"/>
    </row>
    <row r="103" spans="1:11" ht="19.95" customHeight="1" x14ac:dyDescent="0.3">
      <c r="A103" s="114" t="s">
        <v>5498</v>
      </c>
      <c r="B103" s="115" t="s">
        <v>5521</v>
      </c>
      <c r="C103" s="135" t="s">
        <v>5530</v>
      </c>
      <c r="D103" s="115" t="s">
        <v>13</v>
      </c>
      <c r="E103" s="115" t="s">
        <v>5264</v>
      </c>
      <c r="F103" s="135" t="s">
        <v>5531</v>
      </c>
      <c r="G103" s="135" t="s">
        <v>5532</v>
      </c>
      <c r="H103" s="135" t="s">
        <v>5533</v>
      </c>
      <c r="I103" s="135" t="s">
        <v>14</v>
      </c>
      <c r="J103" s="116" t="s">
        <v>1868</v>
      </c>
      <c r="K103" s="153"/>
    </row>
    <row r="104" spans="1:11" ht="19.95" customHeight="1" x14ac:dyDescent="0.3">
      <c r="A104" s="114" t="s">
        <v>5503</v>
      </c>
      <c r="B104" s="115" t="s">
        <v>5521</v>
      </c>
      <c r="C104" s="135" t="s">
        <v>5535</v>
      </c>
      <c r="D104" s="115" t="s">
        <v>13</v>
      </c>
      <c r="E104" s="115" t="s">
        <v>5264</v>
      </c>
      <c r="F104" s="135" t="s">
        <v>5536</v>
      </c>
      <c r="G104" s="135" t="s">
        <v>5532</v>
      </c>
      <c r="H104" s="135" t="s">
        <v>5537</v>
      </c>
      <c r="I104" s="135" t="s">
        <v>14</v>
      </c>
      <c r="J104" s="116" t="s">
        <v>1868</v>
      </c>
      <c r="K104" s="153"/>
    </row>
    <row r="105" spans="1:11" ht="19.95" customHeight="1" x14ac:dyDescent="0.3">
      <c r="A105" s="114" t="s">
        <v>5508</v>
      </c>
      <c r="B105" s="115" t="s">
        <v>5521</v>
      </c>
      <c r="C105" s="135" t="s">
        <v>5539</v>
      </c>
      <c r="D105" s="115" t="s">
        <v>13</v>
      </c>
      <c r="E105" s="115" t="s">
        <v>1810</v>
      </c>
      <c r="F105" s="135" t="s">
        <v>5540</v>
      </c>
      <c r="G105" s="135" t="s">
        <v>5541</v>
      </c>
      <c r="H105" s="135" t="s">
        <v>5542</v>
      </c>
      <c r="I105" s="135" t="s">
        <v>14</v>
      </c>
      <c r="J105" s="116" t="s">
        <v>1852</v>
      </c>
      <c r="K105" s="153"/>
    </row>
    <row r="106" spans="1:11" ht="19.95" customHeight="1" x14ac:dyDescent="0.3">
      <c r="A106" s="114" t="s">
        <v>5514</v>
      </c>
      <c r="B106" s="115" t="s">
        <v>5521</v>
      </c>
      <c r="C106" s="135" t="s">
        <v>5544</v>
      </c>
      <c r="D106" s="115" t="s">
        <v>13</v>
      </c>
      <c r="E106" s="115" t="s">
        <v>1810</v>
      </c>
      <c r="F106" s="135" t="s">
        <v>5545</v>
      </c>
      <c r="G106" s="135" t="s">
        <v>5546</v>
      </c>
      <c r="H106" s="135" t="s">
        <v>5547</v>
      </c>
      <c r="I106" s="135" t="s">
        <v>14</v>
      </c>
      <c r="J106" s="116" t="s">
        <v>1852</v>
      </c>
      <c r="K106" s="153"/>
    </row>
    <row r="107" spans="1:11" ht="19.95" customHeight="1" x14ac:dyDescent="0.3">
      <c r="A107" s="114" t="s">
        <v>5520</v>
      </c>
      <c r="B107" s="115" t="s">
        <v>5521</v>
      </c>
      <c r="C107" s="135" t="s">
        <v>5549</v>
      </c>
      <c r="D107" s="115" t="s">
        <v>10</v>
      </c>
      <c r="E107" s="115" t="s">
        <v>1810</v>
      </c>
      <c r="F107" s="135" t="s">
        <v>5550</v>
      </c>
      <c r="G107" s="135" t="s">
        <v>5551</v>
      </c>
      <c r="H107" s="135" t="s">
        <v>13774</v>
      </c>
      <c r="I107" s="135" t="s">
        <v>5552</v>
      </c>
      <c r="J107" s="116" t="s">
        <v>1852</v>
      </c>
      <c r="K107" s="153"/>
    </row>
    <row r="108" spans="1:11" ht="19.95" customHeight="1" x14ac:dyDescent="0.3">
      <c r="A108" s="114" t="s">
        <v>5525</v>
      </c>
      <c r="B108" s="115" t="s">
        <v>5521</v>
      </c>
      <c r="C108" s="135" t="s">
        <v>5554</v>
      </c>
      <c r="D108" s="115" t="s">
        <v>10</v>
      </c>
      <c r="E108" s="115" t="s">
        <v>1810</v>
      </c>
      <c r="F108" s="135" t="s">
        <v>5555</v>
      </c>
      <c r="G108" s="135" t="s">
        <v>5551</v>
      </c>
      <c r="H108" s="135" t="s">
        <v>13775</v>
      </c>
      <c r="I108" s="135" t="s">
        <v>5556</v>
      </c>
      <c r="J108" s="116" t="s">
        <v>1852</v>
      </c>
      <c r="K108" s="153"/>
    </row>
    <row r="109" spans="1:11" ht="19.95" customHeight="1" x14ac:dyDescent="0.3">
      <c r="A109" s="114" t="s">
        <v>5529</v>
      </c>
      <c r="B109" s="115" t="s">
        <v>5521</v>
      </c>
      <c r="C109" s="135" t="s">
        <v>5558</v>
      </c>
      <c r="D109" s="115" t="s">
        <v>10</v>
      </c>
      <c r="E109" s="115" t="s">
        <v>1810</v>
      </c>
      <c r="F109" s="135" t="s">
        <v>5559</v>
      </c>
      <c r="G109" s="135" t="s">
        <v>5551</v>
      </c>
      <c r="H109" s="135" t="s">
        <v>13776</v>
      </c>
      <c r="I109" s="135" t="s">
        <v>5560</v>
      </c>
      <c r="J109" s="116" t="s">
        <v>1868</v>
      </c>
      <c r="K109" s="153"/>
    </row>
    <row r="110" spans="1:11" ht="19.95" customHeight="1" x14ac:dyDescent="0.3">
      <c r="A110" s="114" t="s">
        <v>5534</v>
      </c>
      <c r="B110" s="115" t="s">
        <v>5521</v>
      </c>
      <c r="C110" s="135" t="s">
        <v>5562</v>
      </c>
      <c r="D110" s="115" t="s">
        <v>13</v>
      </c>
      <c r="E110" s="115" t="s">
        <v>1810</v>
      </c>
      <c r="F110" s="135" t="s">
        <v>5563</v>
      </c>
      <c r="G110" s="135" t="s">
        <v>5564</v>
      </c>
      <c r="H110" s="135" t="s">
        <v>5565</v>
      </c>
      <c r="I110" s="135" t="s">
        <v>14</v>
      </c>
      <c r="J110" s="116" t="s">
        <v>1852</v>
      </c>
      <c r="K110" s="153"/>
    </row>
    <row r="111" spans="1:11" ht="19.95" customHeight="1" x14ac:dyDescent="0.3">
      <c r="A111" s="114" t="s">
        <v>5538</v>
      </c>
      <c r="B111" s="115" t="s">
        <v>5521</v>
      </c>
      <c r="C111" s="135" t="s">
        <v>5567</v>
      </c>
      <c r="D111" s="115" t="s">
        <v>10</v>
      </c>
      <c r="E111" s="115" t="s">
        <v>1810</v>
      </c>
      <c r="F111" s="135" t="s">
        <v>5568</v>
      </c>
      <c r="G111" s="135" t="s">
        <v>5569</v>
      </c>
      <c r="H111" s="135" t="s">
        <v>5570</v>
      </c>
      <c r="I111" s="135" t="s">
        <v>5571</v>
      </c>
      <c r="J111" s="116" t="s">
        <v>1852</v>
      </c>
      <c r="K111" s="153"/>
    </row>
    <row r="112" spans="1:11" ht="19.95" customHeight="1" x14ac:dyDescent="0.3">
      <c r="A112" s="114" t="s">
        <v>5543</v>
      </c>
      <c r="B112" s="115" t="s">
        <v>5521</v>
      </c>
      <c r="C112" s="135" t="s">
        <v>5573</v>
      </c>
      <c r="D112" s="115" t="s">
        <v>10</v>
      </c>
      <c r="E112" s="115" t="s">
        <v>1810</v>
      </c>
      <c r="F112" s="135" t="s">
        <v>5574</v>
      </c>
      <c r="G112" s="135" t="s">
        <v>5575</v>
      </c>
      <c r="H112" s="135" t="s">
        <v>13777</v>
      </c>
      <c r="I112" s="135" t="s">
        <v>5576</v>
      </c>
      <c r="J112" s="116" t="s">
        <v>1852</v>
      </c>
      <c r="K112" s="153"/>
    </row>
    <row r="113" spans="1:11" ht="19.95" customHeight="1" x14ac:dyDescent="0.3">
      <c r="A113" s="114" t="s">
        <v>5548</v>
      </c>
      <c r="B113" s="115" t="s">
        <v>5521</v>
      </c>
      <c r="C113" s="135" t="s">
        <v>5578</v>
      </c>
      <c r="D113" s="115" t="s">
        <v>13</v>
      </c>
      <c r="E113" s="115" t="s">
        <v>1810</v>
      </c>
      <c r="F113" s="135" t="s">
        <v>5579</v>
      </c>
      <c r="G113" s="135" t="s">
        <v>5580</v>
      </c>
      <c r="H113" s="135" t="s">
        <v>5581</v>
      </c>
      <c r="I113" s="135" t="s">
        <v>14</v>
      </c>
      <c r="J113" s="116" t="s">
        <v>1852</v>
      </c>
      <c r="K113" s="153"/>
    </row>
    <row r="114" spans="1:11" ht="19.95" customHeight="1" x14ac:dyDescent="0.3">
      <c r="A114" s="114" t="s">
        <v>5553</v>
      </c>
      <c r="B114" s="115" t="s">
        <v>5521</v>
      </c>
      <c r="C114" s="135" t="s">
        <v>5583</v>
      </c>
      <c r="D114" s="115" t="s">
        <v>13</v>
      </c>
      <c r="E114" s="115" t="s">
        <v>1810</v>
      </c>
      <c r="F114" s="135" t="s">
        <v>5584</v>
      </c>
      <c r="G114" s="135" t="s">
        <v>5585</v>
      </c>
      <c r="H114" s="135" t="s">
        <v>5586</v>
      </c>
      <c r="I114" s="135" t="s">
        <v>14</v>
      </c>
      <c r="J114" s="116" t="s">
        <v>1868</v>
      </c>
      <c r="K114" s="153"/>
    </row>
    <row r="115" spans="1:11" ht="19.95" customHeight="1" x14ac:dyDescent="0.3">
      <c r="A115" s="114" t="s">
        <v>5557</v>
      </c>
      <c r="B115" s="115" t="s">
        <v>5521</v>
      </c>
      <c r="C115" s="135" t="s">
        <v>5588</v>
      </c>
      <c r="D115" s="115" t="s">
        <v>13</v>
      </c>
      <c r="E115" s="115" t="s">
        <v>1810</v>
      </c>
      <c r="F115" s="135" t="s">
        <v>5589</v>
      </c>
      <c r="G115" s="135" t="s">
        <v>5590</v>
      </c>
      <c r="H115" s="135" t="s">
        <v>5591</v>
      </c>
      <c r="I115" s="135" t="s">
        <v>14</v>
      </c>
      <c r="J115" s="116" t="s">
        <v>1868</v>
      </c>
      <c r="K115" s="153"/>
    </row>
    <row r="116" spans="1:11" ht="19.95" customHeight="1" x14ac:dyDescent="0.3">
      <c r="A116" s="114" t="s">
        <v>5561</v>
      </c>
      <c r="B116" s="115" t="s">
        <v>5521</v>
      </c>
      <c r="C116" s="135" t="s">
        <v>5593</v>
      </c>
      <c r="D116" s="115" t="s">
        <v>13</v>
      </c>
      <c r="E116" s="115" t="s">
        <v>684</v>
      </c>
      <c r="F116" s="135" t="s">
        <v>5594</v>
      </c>
      <c r="G116" s="135" t="s">
        <v>5595</v>
      </c>
      <c r="H116" s="135" t="s">
        <v>5596</v>
      </c>
      <c r="I116" s="135" t="s">
        <v>5597</v>
      </c>
      <c r="J116" s="116" t="s">
        <v>1868</v>
      </c>
      <c r="K116" s="153"/>
    </row>
    <row r="117" spans="1:11" ht="19.95" customHeight="1" x14ac:dyDescent="0.3">
      <c r="A117" s="117" t="s">
        <v>5566</v>
      </c>
      <c r="B117" s="118" t="s">
        <v>5599</v>
      </c>
      <c r="C117" s="136" t="s">
        <v>5600</v>
      </c>
      <c r="D117" s="118" t="s">
        <v>13</v>
      </c>
      <c r="E117" s="118" t="s">
        <v>372</v>
      </c>
      <c r="F117" s="136" t="s">
        <v>5601</v>
      </c>
      <c r="G117" s="136" t="s">
        <v>5092</v>
      </c>
      <c r="H117" s="136" t="s">
        <v>5602</v>
      </c>
      <c r="I117" s="136" t="s">
        <v>5603</v>
      </c>
      <c r="J117" s="119" t="s">
        <v>1852</v>
      </c>
      <c r="K117" s="153"/>
    </row>
    <row r="118" spans="1:11" ht="19.95" customHeight="1" x14ac:dyDescent="0.3">
      <c r="A118" s="117" t="s">
        <v>5572</v>
      </c>
      <c r="B118" s="118" t="s">
        <v>5599</v>
      </c>
      <c r="C118" s="136" t="s">
        <v>5605</v>
      </c>
      <c r="D118" s="118" t="s">
        <v>21</v>
      </c>
      <c r="E118" s="118" t="s">
        <v>372</v>
      </c>
      <c r="F118" s="136" t="s">
        <v>5606</v>
      </c>
      <c r="G118" s="136" t="s">
        <v>5092</v>
      </c>
      <c r="H118" s="136" t="s">
        <v>5607</v>
      </c>
      <c r="I118" s="136" t="s">
        <v>5608</v>
      </c>
      <c r="J118" s="119" t="s">
        <v>1852</v>
      </c>
      <c r="K118" s="153"/>
    </row>
    <row r="119" spans="1:11" ht="19.95" customHeight="1" x14ac:dyDescent="0.3">
      <c r="A119" s="117" t="s">
        <v>5577</v>
      </c>
      <c r="B119" s="118" t="s">
        <v>5599</v>
      </c>
      <c r="C119" s="136" t="s">
        <v>5610</v>
      </c>
      <c r="D119" s="118" t="s">
        <v>13</v>
      </c>
      <c r="E119" s="118" t="s">
        <v>221</v>
      </c>
      <c r="F119" s="136" t="s">
        <v>5611</v>
      </c>
      <c r="G119" s="136" t="s">
        <v>5612</v>
      </c>
      <c r="H119" s="136" t="s">
        <v>5613</v>
      </c>
      <c r="I119" s="136" t="s">
        <v>5614</v>
      </c>
      <c r="J119" s="119" t="s">
        <v>1852</v>
      </c>
      <c r="K119" s="153"/>
    </row>
    <row r="120" spans="1:11" ht="19.95" customHeight="1" x14ac:dyDescent="0.3">
      <c r="A120" s="117" t="s">
        <v>5582</v>
      </c>
      <c r="B120" s="118" t="s">
        <v>5599</v>
      </c>
      <c r="C120" s="136" t="s">
        <v>5616</v>
      </c>
      <c r="D120" s="118" t="s">
        <v>21</v>
      </c>
      <c r="E120" s="118" t="s">
        <v>372</v>
      </c>
      <c r="F120" s="136" t="s">
        <v>5617</v>
      </c>
      <c r="G120" s="136" t="s">
        <v>5618</v>
      </c>
      <c r="H120" s="136" t="s">
        <v>5619</v>
      </c>
      <c r="I120" s="136" t="s">
        <v>5620</v>
      </c>
      <c r="J120" s="119" t="s">
        <v>1852</v>
      </c>
      <c r="K120" s="153"/>
    </row>
    <row r="121" spans="1:11" ht="19.95" customHeight="1" x14ac:dyDescent="0.3">
      <c r="A121" s="117" t="s">
        <v>5587</v>
      </c>
      <c r="B121" s="118" t="s">
        <v>5599</v>
      </c>
      <c r="C121" s="136" t="s">
        <v>5622</v>
      </c>
      <c r="D121" s="118" t="s">
        <v>13</v>
      </c>
      <c r="E121" s="118" t="s">
        <v>54</v>
      </c>
      <c r="F121" s="136" t="s">
        <v>5623</v>
      </c>
      <c r="G121" s="136" t="s">
        <v>5624</v>
      </c>
      <c r="H121" s="136" t="s">
        <v>5625</v>
      </c>
      <c r="I121" s="136" t="s">
        <v>5626</v>
      </c>
      <c r="J121" s="119" t="s">
        <v>1852</v>
      </c>
      <c r="K121" s="153"/>
    </row>
    <row r="122" spans="1:11" ht="19.95" customHeight="1" x14ac:dyDescent="0.3">
      <c r="A122" s="117" t="s">
        <v>5592</v>
      </c>
      <c r="B122" s="118" t="s">
        <v>5599</v>
      </c>
      <c r="C122" s="136" t="s">
        <v>5628</v>
      </c>
      <c r="D122" s="118" t="s">
        <v>13</v>
      </c>
      <c r="E122" s="118" t="s">
        <v>221</v>
      </c>
      <c r="F122" s="136" t="s">
        <v>5629</v>
      </c>
      <c r="G122" s="136" t="s">
        <v>5630</v>
      </c>
      <c r="H122" s="136" t="s">
        <v>5631</v>
      </c>
      <c r="I122" s="136" t="s">
        <v>14</v>
      </c>
      <c r="J122" s="119" t="s">
        <v>1868</v>
      </c>
      <c r="K122" s="153"/>
    </row>
    <row r="123" spans="1:11" ht="19.95" customHeight="1" x14ac:dyDescent="0.3">
      <c r="A123" s="117" t="s">
        <v>5598</v>
      </c>
      <c r="B123" s="118" t="s">
        <v>5599</v>
      </c>
      <c r="C123" s="136" t="s">
        <v>5633</v>
      </c>
      <c r="D123" s="118" t="s">
        <v>13</v>
      </c>
      <c r="E123" s="118" t="s">
        <v>372</v>
      </c>
      <c r="F123" s="136" t="s">
        <v>5634</v>
      </c>
      <c r="G123" s="136" t="s">
        <v>5635</v>
      </c>
      <c r="H123" s="136" t="s">
        <v>5636</v>
      </c>
      <c r="I123" s="136" t="s">
        <v>5637</v>
      </c>
      <c r="J123" s="119" t="s">
        <v>1852</v>
      </c>
      <c r="K123" s="159" t="s">
        <v>12857</v>
      </c>
    </row>
    <row r="124" spans="1:11" ht="19.95" customHeight="1" x14ac:dyDescent="0.3">
      <c r="A124" s="117" t="s">
        <v>5604</v>
      </c>
      <c r="B124" s="118" t="s">
        <v>5599</v>
      </c>
      <c r="C124" s="136" t="s">
        <v>5639</v>
      </c>
      <c r="D124" s="118" t="s">
        <v>21</v>
      </c>
      <c r="E124" s="118" t="s">
        <v>372</v>
      </c>
      <c r="F124" s="136" t="s">
        <v>5640</v>
      </c>
      <c r="G124" s="136" t="s">
        <v>5641</v>
      </c>
      <c r="H124" s="136" t="s">
        <v>5642</v>
      </c>
      <c r="I124" s="136" t="s">
        <v>5643</v>
      </c>
      <c r="J124" s="119" t="s">
        <v>1852</v>
      </c>
      <c r="K124" s="153"/>
    </row>
    <row r="125" spans="1:11" ht="19.95" customHeight="1" x14ac:dyDescent="0.3">
      <c r="A125" s="117" t="s">
        <v>5609</v>
      </c>
      <c r="B125" s="118" t="s">
        <v>5599</v>
      </c>
      <c r="C125" s="136" t="s">
        <v>5645</v>
      </c>
      <c r="D125" s="118" t="s">
        <v>13</v>
      </c>
      <c r="E125" s="118" t="s">
        <v>221</v>
      </c>
      <c r="F125" s="136" t="s">
        <v>5646</v>
      </c>
      <c r="G125" s="136" t="s">
        <v>78</v>
      </c>
      <c r="H125" s="136" t="s">
        <v>5647</v>
      </c>
      <c r="I125" s="136" t="s">
        <v>5648</v>
      </c>
      <c r="J125" s="119" t="s">
        <v>1852</v>
      </c>
      <c r="K125" s="153"/>
    </row>
    <row r="126" spans="1:11" ht="19.95" customHeight="1" x14ac:dyDescent="0.3">
      <c r="A126" s="117" t="s">
        <v>5615</v>
      </c>
      <c r="B126" s="118" t="s">
        <v>5599</v>
      </c>
      <c r="C126" s="136" t="s">
        <v>5650</v>
      </c>
      <c r="D126" s="118" t="s">
        <v>21</v>
      </c>
      <c r="E126" s="118" t="s">
        <v>3674</v>
      </c>
      <c r="F126" s="136" t="s">
        <v>5540</v>
      </c>
      <c r="G126" s="136" t="s">
        <v>5158</v>
      </c>
      <c r="H126" s="136" t="s">
        <v>5651</v>
      </c>
      <c r="I126" s="136" t="s">
        <v>5652</v>
      </c>
      <c r="J126" s="119" t="s">
        <v>1852</v>
      </c>
      <c r="K126" s="153"/>
    </row>
    <row r="127" spans="1:11" ht="19.95" customHeight="1" x14ac:dyDescent="0.3">
      <c r="A127" s="117" t="s">
        <v>5621</v>
      </c>
      <c r="B127" s="118" t="s">
        <v>5599</v>
      </c>
      <c r="C127" s="136" t="s">
        <v>5654</v>
      </c>
      <c r="D127" s="118" t="s">
        <v>21</v>
      </c>
      <c r="E127" s="118" t="s">
        <v>5655</v>
      </c>
      <c r="F127" s="136" t="s">
        <v>5656</v>
      </c>
      <c r="G127" s="136" t="s">
        <v>5657</v>
      </c>
      <c r="H127" s="136" t="s">
        <v>3366</v>
      </c>
      <c r="I127" s="136" t="s">
        <v>5658</v>
      </c>
      <c r="J127" s="119" t="s">
        <v>1852</v>
      </c>
      <c r="K127" s="160" t="s">
        <v>12858</v>
      </c>
    </row>
    <row r="128" spans="1:11" ht="19.95" customHeight="1" x14ac:dyDescent="0.3">
      <c r="A128" s="117" t="s">
        <v>5627</v>
      </c>
      <c r="B128" s="118" t="s">
        <v>5599</v>
      </c>
      <c r="C128" s="136" t="s">
        <v>5660</v>
      </c>
      <c r="D128" s="118" t="s">
        <v>21</v>
      </c>
      <c r="E128" s="118" t="s">
        <v>5655</v>
      </c>
      <c r="F128" s="136" t="s">
        <v>5661</v>
      </c>
      <c r="G128" s="136" t="s">
        <v>5657</v>
      </c>
      <c r="H128" s="136" t="s">
        <v>5662</v>
      </c>
      <c r="I128" s="136" t="s">
        <v>5663</v>
      </c>
      <c r="J128" s="119" t="s">
        <v>1852</v>
      </c>
      <c r="K128" s="153"/>
    </row>
    <row r="129" spans="1:11" ht="19.95" customHeight="1" x14ac:dyDescent="0.3">
      <c r="A129" s="117" t="s">
        <v>5632</v>
      </c>
      <c r="B129" s="118" t="s">
        <v>5599</v>
      </c>
      <c r="C129" s="136" t="s">
        <v>5665</v>
      </c>
      <c r="D129" s="118" t="s">
        <v>13</v>
      </c>
      <c r="E129" s="118" t="s">
        <v>221</v>
      </c>
      <c r="F129" s="136" t="s">
        <v>5666</v>
      </c>
      <c r="G129" s="136" t="s">
        <v>5667</v>
      </c>
      <c r="H129" s="136" t="s">
        <v>5668</v>
      </c>
      <c r="I129" s="136" t="s">
        <v>5669</v>
      </c>
      <c r="J129" s="119" t="s">
        <v>1868</v>
      </c>
      <c r="K129" s="153"/>
    </row>
    <row r="130" spans="1:11" ht="19.95" customHeight="1" x14ac:dyDescent="0.3">
      <c r="A130" s="117" t="s">
        <v>5638</v>
      </c>
      <c r="B130" s="118" t="s">
        <v>5599</v>
      </c>
      <c r="C130" s="136" t="s">
        <v>5671</v>
      </c>
      <c r="D130" s="118" t="s">
        <v>13</v>
      </c>
      <c r="E130" s="118" t="s">
        <v>221</v>
      </c>
      <c r="F130" s="136" t="s">
        <v>5672</v>
      </c>
      <c r="G130" s="136" t="s">
        <v>5673</v>
      </c>
      <c r="H130" s="136" t="s">
        <v>5674</v>
      </c>
      <c r="I130" s="136" t="s">
        <v>5675</v>
      </c>
      <c r="J130" s="119" t="s">
        <v>1868</v>
      </c>
      <c r="K130" s="153"/>
    </row>
    <row r="131" spans="1:11" ht="19.95" customHeight="1" x14ac:dyDescent="0.3">
      <c r="A131" s="117" t="s">
        <v>5644</v>
      </c>
      <c r="B131" s="118" t="s">
        <v>5599</v>
      </c>
      <c r="C131" s="136" t="s">
        <v>5677</v>
      </c>
      <c r="D131" s="118" t="s">
        <v>13</v>
      </c>
      <c r="E131" s="118" t="s">
        <v>221</v>
      </c>
      <c r="F131" s="136" t="s">
        <v>5678</v>
      </c>
      <c r="G131" s="136" t="s">
        <v>5679</v>
      </c>
      <c r="H131" s="136" t="s">
        <v>5680</v>
      </c>
      <c r="I131" s="136" t="s">
        <v>14</v>
      </c>
      <c r="J131" s="119" t="s">
        <v>1868</v>
      </c>
      <c r="K131" s="153"/>
    </row>
    <row r="132" spans="1:11" ht="19.95" customHeight="1" x14ac:dyDescent="0.3">
      <c r="A132" s="117" t="s">
        <v>5649</v>
      </c>
      <c r="B132" s="118" t="s">
        <v>5599</v>
      </c>
      <c r="C132" s="136" t="s">
        <v>5682</v>
      </c>
      <c r="D132" s="118" t="s">
        <v>13</v>
      </c>
      <c r="E132" s="118" t="s">
        <v>221</v>
      </c>
      <c r="F132" s="136" t="s">
        <v>5683</v>
      </c>
      <c r="G132" s="136" t="s">
        <v>5684</v>
      </c>
      <c r="H132" s="136" t="s">
        <v>5685</v>
      </c>
      <c r="I132" s="136" t="s">
        <v>5686</v>
      </c>
      <c r="J132" s="119" t="s">
        <v>1868</v>
      </c>
      <c r="K132" s="153"/>
    </row>
    <row r="133" spans="1:11" ht="19.95" customHeight="1" x14ac:dyDescent="0.3">
      <c r="A133" s="120" t="s">
        <v>5653</v>
      </c>
      <c r="B133" s="121" t="s">
        <v>5688</v>
      </c>
      <c r="C133" s="137" t="s">
        <v>5689</v>
      </c>
      <c r="D133" s="121" t="s">
        <v>13</v>
      </c>
      <c r="E133" s="121" t="s">
        <v>684</v>
      </c>
      <c r="F133" s="137" t="s">
        <v>5690</v>
      </c>
      <c r="G133" s="137" t="s">
        <v>5691</v>
      </c>
      <c r="H133" s="137" t="s">
        <v>5047</v>
      </c>
      <c r="I133" s="137" t="s">
        <v>14</v>
      </c>
      <c r="J133" s="122" t="s">
        <v>1852</v>
      </c>
      <c r="K133" s="153"/>
    </row>
    <row r="134" spans="1:11" ht="19.95" customHeight="1" x14ac:dyDescent="0.3">
      <c r="A134" s="120" t="s">
        <v>5659</v>
      </c>
      <c r="B134" s="121" t="s">
        <v>5688</v>
      </c>
      <c r="C134" s="137" t="s">
        <v>5693</v>
      </c>
      <c r="D134" s="121" t="s">
        <v>13</v>
      </c>
      <c r="E134" s="121" t="s">
        <v>684</v>
      </c>
      <c r="F134" s="137" t="s">
        <v>5694</v>
      </c>
      <c r="G134" s="137" t="s">
        <v>5691</v>
      </c>
      <c r="H134" s="137" t="s">
        <v>5047</v>
      </c>
      <c r="I134" s="137" t="s">
        <v>14</v>
      </c>
      <c r="J134" s="122" t="s">
        <v>1852</v>
      </c>
      <c r="K134" s="153"/>
    </row>
    <row r="135" spans="1:11" ht="19.95" customHeight="1" x14ac:dyDescent="0.3">
      <c r="A135" s="120" t="s">
        <v>5664</v>
      </c>
      <c r="B135" s="121" t="s">
        <v>5688</v>
      </c>
      <c r="C135" s="137" t="s">
        <v>5696</v>
      </c>
      <c r="D135" s="121" t="s">
        <v>10</v>
      </c>
      <c r="E135" s="121" t="s">
        <v>684</v>
      </c>
      <c r="F135" s="137" t="s">
        <v>5697</v>
      </c>
      <c r="G135" s="137" t="s">
        <v>5698</v>
      </c>
      <c r="H135" s="137" t="s">
        <v>5255</v>
      </c>
      <c r="I135" s="137" t="s">
        <v>5699</v>
      </c>
      <c r="J135" s="122" t="s">
        <v>1852</v>
      </c>
      <c r="K135" s="153"/>
    </row>
    <row r="136" spans="1:11" ht="19.95" customHeight="1" x14ac:dyDescent="0.3">
      <c r="A136" s="120" t="s">
        <v>5670</v>
      </c>
      <c r="B136" s="121" t="s">
        <v>5688</v>
      </c>
      <c r="C136" s="137" t="s">
        <v>5701</v>
      </c>
      <c r="D136" s="121" t="s">
        <v>13</v>
      </c>
      <c r="E136" s="121" t="s">
        <v>684</v>
      </c>
      <c r="F136" s="137" t="s">
        <v>5702</v>
      </c>
      <c r="G136" s="137" t="s">
        <v>5703</v>
      </c>
      <c r="H136" s="137" t="s">
        <v>5704</v>
      </c>
      <c r="I136" s="137" t="s">
        <v>14</v>
      </c>
      <c r="J136" s="122" t="s">
        <v>1852</v>
      </c>
      <c r="K136" s="153"/>
    </row>
    <row r="137" spans="1:11" ht="19.95" customHeight="1" x14ac:dyDescent="0.3">
      <c r="A137" s="120" t="s">
        <v>5676</v>
      </c>
      <c r="B137" s="121" t="s">
        <v>5688</v>
      </c>
      <c r="C137" s="137" t="s">
        <v>5706</v>
      </c>
      <c r="D137" s="121" t="s">
        <v>10</v>
      </c>
      <c r="E137" s="121" t="s">
        <v>684</v>
      </c>
      <c r="F137" s="137" t="s">
        <v>5707</v>
      </c>
      <c r="G137" s="137" t="s">
        <v>5708</v>
      </c>
      <c r="H137" s="137" t="s">
        <v>5709</v>
      </c>
      <c r="I137" s="137" t="s">
        <v>5710</v>
      </c>
      <c r="J137" s="122" t="s">
        <v>1852</v>
      </c>
      <c r="K137" s="153"/>
    </row>
    <row r="138" spans="1:11" ht="19.95" customHeight="1" x14ac:dyDescent="0.3">
      <c r="A138" s="120" t="s">
        <v>5681</v>
      </c>
      <c r="B138" s="121" t="s">
        <v>5688</v>
      </c>
      <c r="C138" s="137" t="s">
        <v>5712</v>
      </c>
      <c r="D138" s="121" t="s">
        <v>13</v>
      </c>
      <c r="E138" s="121" t="s">
        <v>684</v>
      </c>
      <c r="F138" s="137" t="s">
        <v>5690</v>
      </c>
      <c r="G138" s="137" t="s">
        <v>5713</v>
      </c>
      <c r="H138" s="137" t="s">
        <v>5704</v>
      </c>
      <c r="I138" s="137" t="s">
        <v>14</v>
      </c>
      <c r="J138" s="122" t="s">
        <v>1852</v>
      </c>
      <c r="K138" s="153"/>
    </row>
    <row r="139" spans="1:11" ht="19.95" customHeight="1" x14ac:dyDescent="0.3">
      <c r="A139" s="120" t="s">
        <v>5687</v>
      </c>
      <c r="B139" s="121" t="s">
        <v>5688</v>
      </c>
      <c r="C139" s="137" t="s">
        <v>5715</v>
      </c>
      <c r="D139" s="121" t="s">
        <v>10</v>
      </c>
      <c r="E139" s="121" t="s">
        <v>684</v>
      </c>
      <c r="F139" s="137" t="s">
        <v>5716</v>
      </c>
      <c r="G139" s="137" t="s">
        <v>5717</v>
      </c>
      <c r="H139" s="137" t="s">
        <v>5255</v>
      </c>
      <c r="I139" s="137" t="s">
        <v>5301</v>
      </c>
      <c r="J139" s="122" t="s">
        <v>1852</v>
      </c>
      <c r="K139" s="153"/>
    </row>
    <row r="140" spans="1:11" ht="19.95" customHeight="1" x14ac:dyDescent="0.3">
      <c r="A140" s="120" t="s">
        <v>5692</v>
      </c>
      <c r="B140" s="121" t="s">
        <v>5688</v>
      </c>
      <c r="C140" s="137" t="s">
        <v>5719</v>
      </c>
      <c r="D140" s="121" t="s">
        <v>13</v>
      </c>
      <c r="E140" s="121" t="s">
        <v>684</v>
      </c>
      <c r="F140" s="137" t="s">
        <v>5720</v>
      </c>
      <c r="G140" s="137" t="s">
        <v>5721</v>
      </c>
      <c r="H140" s="137" t="s">
        <v>5292</v>
      </c>
      <c r="I140" s="137" t="s">
        <v>14</v>
      </c>
      <c r="J140" s="122" t="s">
        <v>1852</v>
      </c>
      <c r="K140" s="153"/>
    </row>
    <row r="141" spans="1:11" ht="19.95" customHeight="1" x14ac:dyDescent="0.3">
      <c r="A141" s="120" t="s">
        <v>5695</v>
      </c>
      <c r="B141" s="121" t="s">
        <v>5688</v>
      </c>
      <c r="C141" s="137" t="s">
        <v>5723</v>
      </c>
      <c r="D141" s="121" t="s">
        <v>13</v>
      </c>
      <c r="E141" s="121" t="s">
        <v>684</v>
      </c>
      <c r="F141" s="137" t="s">
        <v>5724</v>
      </c>
      <c r="G141" s="137" t="s">
        <v>5725</v>
      </c>
      <c r="H141" s="137" t="s">
        <v>5726</v>
      </c>
      <c r="I141" s="137" t="s">
        <v>14</v>
      </c>
      <c r="J141" s="122" t="s">
        <v>1852</v>
      </c>
      <c r="K141" s="153"/>
    </row>
    <row r="142" spans="1:11" ht="19.95" customHeight="1" x14ac:dyDescent="0.3">
      <c r="A142" s="120" t="s">
        <v>5700</v>
      </c>
      <c r="B142" s="121" t="s">
        <v>5688</v>
      </c>
      <c r="C142" s="137" t="s">
        <v>5728</v>
      </c>
      <c r="D142" s="121" t="s">
        <v>10</v>
      </c>
      <c r="E142" s="121" t="s">
        <v>684</v>
      </c>
      <c r="F142" s="137" t="s">
        <v>5729</v>
      </c>
      <c r="G142" s="137" t="s">
        <v>5730</v>
      </c>
      <c r="H142" s="137" t="s">
        <v>5731</v>
      </c>
      <c r="I142" s="137" t="s">
        <v>5732</v>
      </c>
      <c r="J142" s="122" t="s">
        <v>1852</v>
      </c>
      <c r="K142" s="153"/>
    </row>
    <row r="143" spans="1:11" ht="19.95" customHeight="1" x14ac:dyDescent="0.3">
      <c r="A143" s="120" t="s">
        <v>5705</v>
      </c>
      <c r="B143" s="121" t="s">
        <v>5688</v>
      </c>
      <c r="C143" s="137" t="s">
        <v>5734</v>
      </c>
      <c r="D143" s="121" t="s">
        <v>10</v>
      </c>
      <c r="E143" s="121" t="s">
        <v>684</v>
      </c>
      <c r="F143" s="137" t="s">
        <v>5735</v>
      </c>
      <c r="G143" s="137" t="s">
        <v>5736</v>
      </c>
      <c r="H143" s="137" t="s">
        <v>5731</v>
      </c>
      <c r="I143" s="137" t="s">
        <v>5737</v>
      </c>
      <c r="J143" s="122" t="s">
        <v>1852</v>
      </c>
      <c r="K143" s="153"/>
    </row>
    <row r="144" spans="1:11" ht="19.95" customHeight="1" x14ac:dyDescent="0.3">
      <c r="A144" s="120" t="s">
        <v>5711</v>
      </c>
      <c r="B144" s="121" t="s">
        <v>5688</v>
      </c>
      <c r="C144" s="137" t="s">
        <v>5739</v>
      </c>
      <c r="D144" s="121" t="s">
        <v>13</v>
      </c>
      <c r="E144" s="121" t="s">
        <v>684</v>
      </c>
      <c r="F144" s="137" t="s">
        <v>5724</v>
      </c>
      <c r="G144" s="137" t="s">
        <v>5740</v>
      </c>
      <c r="H144" s="137" t="s">
        <v>5741</v>
      </c>
      <c r="I144" s="137" t="s">
        <v>14</v>
      </c>
      <c r="J144" s="122" t="s">
        <v>1852</v>
      </c>
      <c r="K144" s="153"/>
    </row>
    <row r="145" spans="1:11" ht="19.95" customHeight="1" x14ac:dyDescent="0.3">
      <c r="A145" s="120" t="s">
        <v>5714</v>
      </c>
      <c r="B145" s="121" t="s">
        <v>5688</v>
      </c>
      <c r="C145" s="137" t="s">
        <v>5743</v>
      </c>
      <c r="D145" s="121" t="s">
        <v>10</v>
      </c>
      <c r="E145" s="121" t="s">
        <v>721</v>
      </c>
      <c r="F145" s="137" t="s">
        <v>5744</v>
      </c>
      <c r="G145" s="137" t="s">
        <v>5745</v>
      </c>
      <c r="H145" s="137" t="s">
        <v>5746</v>
      </c>
      <c r="I145" s="137" t="s">
        <v>5261</v>
      </c>
      <c r="J145" s="122" t="s">
        <v>1868</v>
      </c>
      <c r="K145" s="153"/>
    </row>
    <row r="146" spans="1:11" ht="19.95" customHeight="1" x14ac:dyDescent="0.3">
      <c r="A146" s="120" t="s">
        <v>5718</v>
      </c>
      <c r="B146" s="121" t="s">
        <v>5688</v>
      </c>
      <c r="C146" s="137" t="s">
        <v>5748</v>
      </c>
      <c r="D146" s="121" t="s">
        <v>10</v>
      </c>
      <c r="E146" s="121" t="s">
        <v>1810</v>
      </c>
      <c r="F146" s="137" t="s">
        <v>5749</v>
      </c>
      <c r="G146" s="137" t="s">
        <v>5750</v>
      </c>
      <c r="H146" s="137" t="s">
        <v>13778</v>
      </c>
      <c r="I146" s="137" t="s">
        <v>5751</v>
      </c>
      <c r="J146" s="122" t="s">
        <v>1868</v>
      </c>
      <c r="K146" s="153"/>
    </row>
    <row r="147" spans="1:11" ht="19.95" customHeight="1" x14ac:dyDescent="0.3">
      <c r="A147" s="120" t="s">
        <v>5722</v>
      </c>
      <c r="B147" s="121" t="s">
        <v>5688</v>
      </c>
      <c r="C147" s="137" t="s">
        <v>5753</v>
      </c>
      <c r="D147" s="121" t="s">
        <v>13</v>
      </c>
      <c r="E147" s="121" t="s">
        <v>684</v>
      </c>
      <c r="F147" s="137" t="s">
        <v>5754</v>
      </c>
      <c r="G147" s="137" t="s">
        <v>5755</v>
      </c>
      <c r="H147" s="137" t="s">
        <v>5756</v>
      </c>
      <c r="I147" s="137" t="s">
        <v>14</v>
      </c>
      <c r="J147" s="122" t="s">
        <v>1868</v>
      </c>
      <c r="K147" s="153"/>
    </row>
    <row r="148" spans="1:11" ht="19.95" customHeight="1" x14ac:dyDescent="0.3">
      <c r="A148" s="120" t="s">
        <v>5727</v>
      </c>
      <c r="B148" s="121" t="s">
        <v>5688</v>
      </c>
      <c r="C148" s="137" t="s">
        <v>5758</v>
      </c>
      <c r="D148" s="121" t="s">
        <v>13</v>
      </c>
      <c r="E148" s="121" t="s">
        <v>684</v>
      </c>
      <c r="F148" s="137" t="s">
        <v>5759</v>
      </c>
      <c r="G148" s="137" t="s">
        <v>5760</v>
      </c>
      <c r="H148" s="137" t="s">
        <v>4306</v>
      </c>
      <c r="I148" s="137" t="s">
        <v>5761</v>
      </c>
      <c r="J148" s="122" t="s">
        <v>1868</v>
      </c>
      <c r="K148" s="153"/>
    </row>
    <row r="149" spans="1:11" ht="19.95" customHeight="1" x14ac:dyDescent="0.3">
      <c r="A149" s="123" t="s">
        <v>5733</v>
      </c>
      <c r="B149" s="124" t="s">
        <v>5763</v>
      </c>
      <c r="C149" s="138" t="s">
        <v>5764</v>
      </c>
      <c r="D149" s="124" t="s">
        <v>21</v>
      </c>
      <c r="E149" s="124" t="s">
        <v>86</v>
      </c>
      <c r="F149" s="138" t="s">
        <v>5765</v>
      </c>
      <c r="G149" s="138" t="s">
        <v>5766</v>
      </c>
      <c r="H149" s="138" t="s">
        <v>5767</v>
      </c>
      <c r="I149" s="138" t="s">
        <v>4225</v>
      </c>
      <c r="J149" s="125" t="s">
        <v>1852</v>
      </c>
      <c r="K149" s="153"/>
    </row>
    <row r="150" spans="1:11" ht="19.95" customHeight="1" x14ac:dyDescent="0.3">
      <c r="A150" s="123" t="s">
        <v>5738</v>
      </c>
      <c r="B150" s="124" t="s">
        <v>5763</v>
      </c>
      <c r="C150" s="138" t="s">
        <v>5769</v>
      </c>
      <c r="D150" s="124" t="s">
        <v>21</v>
      </c>
      <c r="E150" s="124" t="s">
        <v>86</v>
      </c>
      <c r="F150" s="138" t="s">
        <v>5770</v>
      </c>
      <c r="G150" s="138" t="s">
        <v>5771</v>
      </c>
      <c r="H150" s="138" t="s">
        <v>5772</v>
      </c>
      <c r="I150" s="138" t="s">
        <v>5773</v>
      </c>
      <c r="J150" s="125" t="s">
        <v>1852</v>
      </c>
      <c r="K150" s="153"/>
    </row>
    <row r="151" spans="1:11" ht="19.95" customHeight="1" x14ac:dyDescent="0.3">
      <c r="A151" s="123" t="s">
        <v>5742</v>
      </c>
      <c r="B151" s="124" t="s">
        <v>5763</v>
      </c>
      <c r="C151" s="138" t="s">
        <v>5775</v>
      </c>
      <c r="D151" s="124" t="s">
        <v>21</v>
      </c>
      <c r="E151" s="124" t="s">
        <v>5655</v>
      </c>
      <c r="F151" s="138" t="s">
        <v>5776</v>
      </c>
      <c r="G151" s="138" t="s">
        <v>5777</v>
      </c>
      <c r="H151" s="138" t="s">
        <v>5778</v>
      </c>
      <c r="I151" s="138" t="s">
        <v>14</v>
      </c>
      <c r="J151" s="125" t="s">
        <v>1868</v>
      </c>
      <c r="K151" s="153"/>
    </row>
    <row r="152" spans="1:11" ht="19.95" customHeight="1" x14ac:dyDescent="0.3">
      <c r="A152" s="123" t="s">
        <v>5747</v>
      </c>
      <c r="B152" s="124" t="s">
        <v>5763</v>
      </c>
      <c r="C152" s="138" t="s">
        <v>5780</v>
      </c>
      <c r="D152" s="124" t="s">
        <v>21</v>
      </c>
      <c r="E152" s="124" t="s">
        <v>5655</v>
      </c>
      <c r="F152" s="138" t="s">
        <v>5776</v>
      </c>
      <c r="G152" s="138" t="s">
        <v>5781</v>
      </c>
      <c r="H152" s="138" t="s">
        <v>5782</v>
      </c>
      <c r="I152" s="138" t="s">
        <v>5783</v>
      </c>
      <c r="J152" s="125" t="s">
        <v>1868</v>
      </c>
      <c r="K152" s="153"/>
    </row>
    <row r="153" spans="1:11" ht="19.95" customHeight="1" x14ac:dyDescent="0.3">
      <c r="A153" s="123" t="s">
        <v>5752</v>
      </c>
      <c r="B153" s="124" t="s">
        <v>5763</v>
      </c>
      <c r="C153" s="138" t="s">
        <v>5785</v>
      </c>
      <c r="D153" s="124" t="s">
        <v>21</v>
      </c>
      <c r="E153" s="124" t="s">
        <v>106</v>
      </c>
      <c r="F153" s="138" t="s">
        <v>5786</v>
      </c>
      <c r="G153" s="138" t="s">
        <v>5787</v>
      </c>
      <c r="H153" s="138" t="s">
        <v>5788</v>
      </c>
      <c r="I153" s="138" t="s">
        <v>14</v>
      </c>
      <c r="J153" s="125" t="s">
        <v>1868</v>
      </c>
      <c r="K153" s="153"/>
    </row>
    <row r="154" spans="1:11" ht="19.95" customHeight="1" x14ac:dyDescent="0.3">
      <c r="A154" s="123" t="s">
        <v>5757</v>
      </c>
      <c r="B154" s="124" t="s">
        <v>5763</v>
      </c>
      <c r="C154" s="138" t="s">
        <v>5790</v>
      </c>
      <c r="D154" s="124" t="s">
        <v>21</v>
      </c>
      <c r="E154" s="124" t="s">
        <v>122</v>
      </c>
      <c r="F154" s="138" t="s">
        <v>5791</v>
      </c>
      <c r="G154" s="138" t="s">
        <v>5792</v>
      </c>
      <c r="H154" s="138" t="s">
        <v>5793</v>
      </c>
      <c r="I154" s="138" t="s">
        <v>14</v>
      </c>
      <c r="J154" s="125" t="s">
        <v>1868</v>
      </c>
      <c r="K154" s="153"/>
    </row>
    <row r="155" spans="1:11" ht="19.95" customHeight="1" x14ac:dyDescent="0.3">
      <c r="A155" s="123" t="s">
        <v>5762</v>
      </c>
      <c r="B155" s="124" t="s">
        <v>5763</v>
      </c>
      <c r="C155" s="138" t="s">
        <v>5795</v>
      </c>
      <c r="D155" s="124" t="s">
        <v>21</v>
      </c>
      <c r="E155" s="124" t="s">
        <v>3674</v>
      </c>
      <c r="F155" s="138" t="s">
        <v>5796</v>
      </c>
      <c r="G155" s="138" t="s">
        <v>5797</v>
      </c>
      <c r="H155" s="138" t="s">
        <v>5798</v>
      </c>
      <c r="I155" s="138" t="s">
        <v>14</v>
      </c>
      <c r="J155" s="125" t="s">
        <v>1868</v>
      </c>
      <c r="K155" s="153"/>
    </row>
    <row r="156" spans="1:11" ht="19.95" customHeight="1" x14ac:dyDescent="0.3">
      <c r="A156" s="123" t="s">
        <v>5768</v>
      </c>
      <c r="B156" s="124" t="s">
        <v>5763</v>
      </c>
      <c r="C156" s="138" t="s">
        <v>5800</v>
      </c>
      <c r="D156" s="124" t="s">
        <v>21</v>
      </c>
      <c r="E156" s="124" t="s">
        <v>195</v>
      </c>
      <c r="F156" s="138" t="s">
        <v>5801</v>
      </c>
      <c r="G156" s="138" t="s">
        <v>5802</v>
      </c>
      <c r="H156" s="138" t="s">
        <v>5803</v>
      </c>
      <c r="I156" s="138" t="s">
        <v>14</v>
      </c>
      <c r="J156" s="125" t="s">
        <v>1868</v>
      </c>
      <c r="K156" s="153"/>
    </row>
    <row r="157" spans="1:11" ht="19.95" customHeight="1" x14ac:dyDescent="0.3">
      <c r="A157" s="123" t="s">
        <v>5774</v>
      </c>
      <c r="B157" s="124" t="s">
        <v>5763</v>
      </c>
      <c r="C157" s="138" t="s">
        <v>5805</v>
      </c>
      <c r="D157" s="124" t="s">
        <v>10</v>
      </c>
      <c r="E157" s="124" t="s">
        <v>152</v>
      </c>
      <c r="F157" s="138" t="s">
        <v>5806</v>
      </c>
      <c r="G157" s="138" t="s">
        <v>5807</v>
      </c>
      <c r="H157" s="138" t="s">
        <v>5808</v>
      </c>
      <c r="I157" s="138" t="s">
        <v>14</v>
      </c>
      <c r="J157" s="125" t="s">
        <v>1852</v>
      </c>
      <c r="K157" s="153"/>
    </row>
    <row r="158" spans="1:11" ht="19.95" customHeight="1" x14ac:dyDescent="0.3">
      <c r="A158" s="123" t="s">
        <v>5779</v>
      </c>
      <c r="B158" s="124" t="s">
        <v>5763</v>
      </c>
      <c r="C158" s="138" t="s">
        <v>5809</v>
      </c>
      <c r="D158" s="124" t="s">
        <v>10</v>
      </c>
      <c r="E158" s="124" t="s">
        <v>152</v>
      </c>
      <c r="F158" s="138" t="s">
        <v>5806</v>
      </c>
      <c r="G158" s="138" t="s">
        <v>172</v>
      </c>
      <c r="H158" s="138" t="s">
        <v>5810</v>
      </c>
      <c r="I158" s="138" t="s">
        <v>14</v>
      </c>
      <c r="J158" s="125" t="s">
        <v>1852</v>
      </c>
      <c r="K158" s="153"/>
    </row>
    <row r="159" spans="1:11" ht="19.95" customHeight="1" x14ac:dyDescent="0.3">
      <c r="A159" s="123" t="s">
        <v>5784</v>
      </c>
      <c r="B159" s="124" t="s">
        <v>5763</v>
      </c>
      <c r="C159" s="138" t="s">
        <v>5812</v>
      </c>
      <c r="D159" s="124" t="s">
        <v>21</v>
      </c>
      <c r="E159" s="124" t="s">
        <v>152</v>
      </c>
      <c r="F159" s="138" t="s">
        <v>5813</v>
      </c>
      <c r="G159" s="138" t="s">
        <v>5814</v>
      </c>
      <c r="H159" s="138" t="s">
        <v>3571</v>
      </c>
      <c r="I159" s="138" t="s">
        <v>5815</v>
      </c>
      <c r="J159" s="125" t="s">
        <v>1852</v>
      </c>
      <c r="K159" s="153"/>
    </row>
    <row r="160" spans="1:11" ht="19.95" customHeight="1" x14ac:dyDescent="0.3">
      <c r="A160" s="123" t="s">
        <v>5789</v>
      </c>
      <c r="B160" s="124" t="s">
        <v>5763</v>
      </c>
      <c r="C160" s="138" t="s">
        <v>5817</v>
      </c>
      <c r="D160" s="124" t="s">
        <v>21</v>
      </c>
      <c r="E160" s="124" t="s">
        <v>152</v>
      </c>
      <c r="F160" s="138" t="s">
        <v>5818</v>
      </c>
      <c r="G160" s="138" t="s">
        <v>5819</v>
      </c>
      <c r="H160" s="138" t="s">
        <v>5820</v>
      </c>
      <c r="I160" s="138" t="s">
        <v>5821</v>
      </c>
      <c r="J160" s="125" t="s">
        <v>1852</v>
      </c>
      <c r="K160" s="153"/>
    </row>
    <row r="161" spans="1:11" ht="19.95" customHeight="1" x14ac:dyDescent="0.3">
      <c r="A161" s="123" t="s">
        <v>5794</v>
      </c>
      <c r="B161" s="124" t="s">
        <v>5763</v>
      </c>
      <c r="C161" s="138" t="s">
        <v>5823</v>
      </c>
      <c r="D161" s="124" t="s">
        <v>21</v>
      </c>
      <c r="E161" s="124" t="s">
        <v>721</v>
      </c>
      <c r="F161" s="138" t="s">
        <v>5824</v>
      </c>
      <c r="G161" s="138" t="s">
        <v>5825</v>
      </c>
      <c r="H161" s="138" t="s">
        <v>5826</v>
      </c>
      <c r="I161" s="138" t="s">
        <v>5827</v>
      </c>
      <c r="J161" s="125" t="s">
        <v>1852</v>
      </c>
      <c r="K161" s="153"/>
    </row>
    <row r="162" spans="1:11" ht="19.95" customHeight="1" x14ac:dyDescent="0.3">
      <c r="A162" s="123" t="s">
        <v>5799</v>
      </c>
      <c r="B162" s="124" t="s">
        <v>5763</v>
      </c>
      <c r="C162" s="138" t="s">
        <v>5829</v>
      </c>
      <c r="D162" s="124" t="s">
        <v>21</v>
      </c>
      <c r="E162" s="124" t="s">
        <v>5830</v>
      </c>
      <c r="F162" s="138" t="s">
        <v>5332</v>
      </c>
      <c r="G162" s="138" t="s">
        <v>5831</v>
      </c>
      <c r="H162" s="138" t="s">
        <v>3918</v>
      </c>
      <c r="I162" s="138" t="s">
        <v>14</v>
      </c>
      <c r="J162" s="125" t="s">
        <v>1868</v>
      </c>
      <c r="K162" s="153"/>
    </row>
    <row r="163" spans="1:11" ht="19.95" customHeight="1" x14ac:dyDescent="0.3">
      <c r="A163" s="123" t="s">
        <v>5804</v>
      </c>
      <c r="B163" s="124" t="s">
        <v>5763</v>
      </c>
      <c r="C163" s="138" t="s">
        <v>5833</v>
      </c>
      <c r="D163" s="124" t="s">
        <v>10</v>
      </c>
      <c r="E163" s="124" t="s">
        <v>5830</v>
      </c>
      <c r="F163" s="138" t="s">
        <v>5332</v>
      </c>
      <c r="G163" s="138" t="s">
        <v>5834</v>
      </c>
      <c r="H163" s="138" t="s">
        <v>3922</v>
      </c>
      <c r="I163" s="138" t="s">
        <v>5835</v>
      </c>
      <c r="J163" s="125" t="s">
        <v>1868</v>
      </c>
      <c r="K163" s="153"/>
    </row>
    <row r="164" spans="1:11" ht="19.95" customHeight="1" x14ac:dyDescent="0.3">
      <c r="A164" s="123" t="s">
        <v>5811</v>
      </c>
      <c r="B164" s="124" t="s">
        <v>5763</v>
      </c>
      <c r="C164" s="138" t="s">
        <v>5838</v>
      </c>
      <c r="D164" s="124" t="s">
        <v>21</v>
      </c>
      <c r="E164" s="124" t="s">
        <v>3674</v>
      </c>
      <c r="F164" s="138" t="s">
        <v>5106</v>
      </c>
      <c r="G164" s="138" t="s">
        <v>5839</v>
      </c>
      <c r="H164" s="138" t="s">
        <v>5840</v>
      </c>
      <c r="I164" s="138" t="s">
        <v>14</v>
      </c>
      <c r="J164" s="125" t="s">
        <v>1868</v>
      </c>
      <c r="K164" s="153" t="s">
        <v>13423</v>
      </c>
    </row>
    <row r="165" spans="1:11" ht="19.95" customHeight="1" x14ac:dyDescent="0.3">
      <c r="A165" s="123" t="s">
        <v>5816</v>
      </c>
      <c r="B165" s="124" t="s">
        <v>5763</v>
      </c>
      <c r="C165" s="138" t="s">
        <v>5842</v>
      </c>
      <c r="D165" s="124" t="s">
        <v>21</v>
      </c>
      <c r="E165" s="124" t="s">
        <v>134</v>
      </c>
      <c r="F165" s="138" t="s">
        <v>5843</v>
      </c>
      <c r="G165" s="138" t="s">
        <v>4310</v>
      </c>
      <c r="H165" s="138" t="s">
        <v>4311</v>
      </c>
      <c r="I165" s="138" t="s">
        <v>5844</v>
      </c>
      <c r="J165" s="125" t="s">
        <v>1852</v>
      </c>
      <c r="K165" s="153"/>
    </row>
    <row r="166" spans="1:11" ht="19.95" customHeight="1" x14ac:dyDescent="0.3">
      <c r="A166" s="123" t="s">
        <v>5822</v>
      </c>
      <c r="B166" s="124" t="s">
        <v>5763</v>
      </c>
      <c r="C166" s="138" t="s">
        <v>5846</v>
      </c>
      <c r="D166" s="124" t="s">
        <v>21</v>
      </c>
      <c r="E166" s="124" t="s">
        <v>134</v>
      </c>
      <c r="F166" s="138" t="s">
        <v>5847</v>
      </c>
      <c r="G166" s="138" t="s">
        <v>4315</v>
      </c>
      <c r="H166" s="138" t="s">
        <v>4316</v>
      </c>
      <c r="I166" s="138" t="s">
        <v>14</v>
      </c>
      <c r="J166" s="125" t="s">
        <v>1868</v>
      </c>
      <c r="K166" s="153"/>
    </row>
    <row r="167" spans="1:11" ht="19.95" customHeight="1" x14ac:dyDescent="0.3">
      <c r="A167" s="123" t="s">
        <v>5828</v>
      </c>
      <c r="B167" s="124" t="s">
        <v>5763</v>
      </c>
      <c r="C167" s="138" t="s">
        <v>5849</v>
      </c>
      <c r="D167" s="124" t="s">
        <v>21</v>
      </c>
      <c r="E167" s="124" t="s">
        <v>195</v>
      </c>
      <c r="F167" s="138" t="s">
        <v>5850</v>
      </c>
      <c r="G167" s="138" t="s">
        <v>5851</v>
      </c>
      <c r="H167" s="138" t="s">
        <v>5852</v>
      </c>
      <c r="I167" s="138" t="s">
        <v>14</v>
      </c>
      <c r="J167" s="125" t="s">
        <v>1868</v>
      </c>
      <c r="K167" s="153"/>
    </row>
    <row r="168" spans="1:11" ht="19.95" customHeight="1" x14ac:dyDescent="0.3">
      <c r="A168" s="123" t="s">
        <v>5832</v>
      </c>
      <c r="B168" s="124" t="s">
        <v>5763</v>
      </c>
      <c r="C168" s="138" t="s">
        <v>5853</v>
      </c>
      <c r="D168" s="124" t="s">
        <v>21</v>
      </c>
      <c r="E168" s="124" t="s">
        <v>5854</v>
      </c>
      <c r="F168" s="138" t="s">
        <v>5855</v>
      </c>
      <c r="G168" s="138" t="s">
        <v>5856</v>
      </c>
      <c r="H168" s="138" t="s">
        <v>5857</v>
      </c>
      <c r="I168" s="138" t="s">
        <v>14</v>
      </c>
      <c r="J168" s="125" t="s">
        <v>1868</v>
      </c>
      <c r="K168" s="153"/>
    </row>
    <row r="169" spans="1:11" ht="19.95" customHeight="1" x14ac:dyDescent="0.3">
      <c r="A169" s="123" t="s">
        <v>5836</v>
      </c>
      <c r="B169" s="124" t="s">
        <v>5763</v>
      </c>
      <c r="C169" s="138" t="s">
        <v>5858</v>
      </c>
      <c r="D169" s="124" t="s">
        <v>10</v>
      </c>
      <c r="E169" s="124" t="s">
        <v>176</v>
      </c>
      <c r="F169" s="138" t="s">
        <v>5859</v>
      </c>
      <c r="G169" s="138" t="s">
        <v>5860</v>
      </c>
      <c r="H169" s="138" t="s">
        <v>5861</v>
      </c>
      <c r="I169" s="138" t="s">
        <v>5862</v>
      </c>
      <c r="J169" s="125" t="s">
        <v>1868</v>
      </c>
      <c r="K169" s="153"/>
    </row>
    <row r="170" spans="1:11" ht="19.95" customHeight="1" x14ac:dyDescent="0.3">
      <c r="A170" s="123" t="s">
        <v>5837</v>
      </c>
      <c r="B170" s="124" t="s">
        <v>5763</v>
      </c>
      <c r="C170" s="138" t="s">
        <v>5863</v>
      </c>
      <c r="D170" s="124" t="s">
        <v>10</v>
      </c>
      <c r="E170" s="124" t="s">
        <v>5864</v>
      </c>
      <c r="F170" s="138" t="s">
        <v>5865</v>
      </c>
      <c r="G170" s="138" t="s">
        <v>5866</v>
      </c>
      <c r="H170" s="138" t="s">
        <v>5867</v>
      </c>
      <c r="I170" s="138" t="s">
        <v>5868</v>
      </c>
      <c r="J170" s="125" t="s">
        <v>1868</v>
      </c>
      <c r="K170" s="153"/>
    </row>
    <row r="171" spans="1:11" ht="19.95" customHeight="1" x14ac:dyDescent="0.3">
      <c r="A171" s="123" t="s">
        <v>5841</v>
      </c>
      <c r="B171" s="124" t="s">
        <v>5763</v>
      </c>
      <c r="C171" s="138" t="s">
        <v>5869</v>
      </c>
      <c r="D171" s="124" t="s">
        <v>13</v>
      </c>
      <c r="E171" s="124" t="s">
        <v>5870</v>
      </c>
      <c r="F171" s="138" t="s">
        <v>5332</v>
      </c>
      <c r="G171" s="138" t="s">
        <v>5871</v>
      </c>
      <c r="H171" s="138" t="s">
        <v>5872</v>
      </c>
      <c r="I171" s="138" t="s">
        <v>14</v>
      </c>
      <c r="J171" s="125" t="s">
        <v>1868</v>
      </c>
      <c r="K171" s="153"/>
    </row>
    <row r="172" spans="1:11" ht="19.95" customHeight="1" x14ac:dyDescent="0.3">
      <c r="A172" s="123" t="s">
        <v>5845</v>
      </c>
      <c r="B172" s="124" t="s">
        <v>5763</v>
      </c>
      <c r="C172" s="138" t="s">
        <v>5873</v>
      </c>
      <c r="D172" s="124" t="s">
        <v>21</v>
      </c>
      <c r="E172" s="124" t="s">
        <v>258</v>
      </c>
      <c r="F172" s="138" t="s">
        <v>5874</v>
      </c>
      <c r="G172" s="138" t="s">
        <v>5875</v>
      </c>
      <c r="H172" s="138" t="s">
        <v>5876</v>
      </c>
      <c r="I172" s="138" t="s">
        <v>5877</v>
      </c>
      <c r="J172" s="125" t="s">
        <v>1868</v>
      </c>
      <c r="K172" s="153"/>
    </row>
    <row r="173" spans="1:11" ht="19.95" customHeight="1" x14ac:dyDescent="0.3">
      <c r="A173" s="126" t="s">
        <v>5848</v>
      </c>
      <c r="B173" s="127" t="s">
        <v>5763</v>
      </c>
      <c r="C173" s="139" t="s">
        <v>5878</v>
      </c>
      <c r="D173" s="127" t="s">
        <v>21</v>
      </c>
      <c r="E173" s="127" t="s">
        <v>195</v>
      </c>
      <c r="F173" s="139" t="s">
        <v>5879</v>
      </c>
      <c r="G173" s="139" t="s">
        <v>5880</v>
      </c>
      <c r="H173" s="139" t="s">
        <v>5881</v>
      </c>
      <c r="I173" s="139" t="s">
        <v>14</v>
      </c>
      <c r="J173" s="128" t="s">
        <v>1868</v>
      </c>
      <c r="K173" s="153"/>
    </row>
    <row r="174" spans="1:11" x14ac:dyDescent="0.3">
      <c r="K174" s="153"/>
    </row>
    <row r="175" spans="1:11" ht="18" x14ac:dyDescent="0.35">
      <c r="A175" s="145" t="s">
        <v>5882</v>
      </c>
      <c r="C175"/>
      <c r="F175"/>
      <c r="G175"/>
      <c r="H175"/>
      <c r="I175"/>
      <c r="K175" s="153"/>
    </row>
    <row r="176" spans="1:11" x14ac:dyDescent="0.3">
      <c r="C176"/>
      <c r="F176"/>
      <c r="G176"/>
      <c r="H176"/>
      <c r="I176"/>
      <c r="K176" s="153"/>
    </row>
    <row r="177" spans="1:11" x14ac:dyDescent="0.3">
      <c r="A177" s="16" t="s">
        <v>5883</v>
      </c>
      <c r="B177">
        <f>COUNTIF(A2:A173,"INC-TC-*")</f>
        <v>172</v>
      </c>
      <c r="C177"/>
      <c r="F177"/>
      <c r="G177"/>
      <c r="H177"/>
      <c r="I177"/>
      <c r="K177" s="153"/>
    </row>
    <row r="178" spans="1:11" x14ac:dyDescent="0.3">
      <c r="C178"/>
      <c r="F178"/>
      <c r="G178"/>
      <c r="H178"/>
      <c r="I178"/>
      <c r="K178" s="153"/>
    </row>
    <row r="179" spans="1:11" x14ac:dyDescent="0.3">
      <c r="A179" s="16" t="s">
        <v>5884</v>
      </c>
      <c r="C179"/>
      <c r="F179"/>
      <c r="G179"/>
      <c r="H179"/>
      <c r="I179"/>
      <c r="K179" s="153"/>
    </row>
    <row r="180" spans="1:11" x14ac:dyDescent="0.3">
      <c r="A180" t="s">
        <v>5885</v>
      </c>
      <c r="B180">
        <f>COUNTIF(D2:D173,"P")</f>
        <v>90</v>
      </c>
      <c r="C180"/>
      <c r="F180"/>
      <c r="G180"/>
      <c r="H180"/>
      <c r="I180"/>
      <c r="K180" s="153"/>
    </row>
    <row r="181" spans="1:11" x14ac:dyDescent="0.3">
      <c r="A181" t="s">
        <v>5886</v>
      </c>
      <c r="B181">
        <f>COUNTIF(D2:D173,"N")</f>
        <v>53</v>
      </c>
      <c r="C181"/>
      <c r="F181"/>
      <c r="G181"/>
      <c r="H181"/>
      <c r="I181"/>
      <c r="K181" s="153"/>
    </row>
    <row r="182" spans="1:11" x14ac:dyDescent="0.3">
      <c r="A182" t="s">
        <v>5887</v>
      </c>
      <c r="B182">
        <f>COUNTIF(D2:D173,"E")</f>
        <v>29</v>
      </c>
      <c r="C182"/>
      <c r="F182"/>
      <c r="G182"/>
      <c r="H182"/>
      <c r="I182"/>
      <c r="K182" s="153"/>
    </row>
    <row r="183" spans="1:11" x14ac:dyDescent="0.3">
      <c r="C183"/>
      <c r="F183"/>
      <c r="G183"/>
      <c r="H183"/>
      <c r="I183"/>
      <c r="K183" s="153"/>
    </row>
    <row r="184" spans="1:11" x14ac:dyDescent="0.3">
      <c r="A184" s="16" t="s">
        <v>5888</v>
      </c>
      <c r="C184"/>
      <c r="F184"/>
      <c r="G184"/>
      <c r="H184"/>
      <c r="I184"/>
      <c r="K184" s="153"/>
    </row>
    <row r="185" spans="1:11" x14ac:dyDescent="0.3">
      <c r="A185" t="s">
        <v>5889</v>
      </c>
      <c r="B185">
        <f>COUNTIF(J2:J173,"P1")</f>
        <v>99</v>
      </c>
      <c r="C185"/>
      <c r="F185"/>
      <c r="G185"/>
      <c r="H185"/>
      <c r="I185"/>
      <c r="K185" s="153"/>
    </row>
    <row r="186" spans="1:11" x14ac:dyDescent="0.3">
      <c r="A186" t="s">
        <v>5890</v>
      </c>
      <c r="B186">
        <f>COUNTIF(J2:J173,"P2")</f>
        <v>73</v>
      </c>
      <c r="C186"/>
      <c r="F186"/>
      <c r="G186"/>
      <c r="H186"/>
      <c r="I186"/>
      <c r="K186" s="153"/>
    </row>
    <row r="187" spans="1:11" x14ac:dyDescent="0.3">
      <c r="C187"/>
      <c r="F187"/>
      <c r="G187"/>
      <c r="H187"/>
      <c r="I187"/>
      <c r="K187" s="153"/>
    </row>
    <row r="188" spans="1:11" x14ac:dyDescent="0.3">
      <c r="A188" s="16" t="s">
        <v>5891</v>
      </c>
      <c r="C188"/>
      <c r="F188"/>
      <c r="G188"/>
      <c r="H188"/>
      <c r="I188"/>
      <c r="K188" s="153"/>
    </row>
    <row r="189" spans="1:11" x14ac:dyDescent="0.3">
      <c r="A189" t="s">
        <v>5043</v>
      </c>
      <c r="B189">
        <f>COUNTIF(B2:B173,"1. Incident Creation*")</f>
        <v>13</v>
      </c>
      <c r="C189"/>
      <c r="F189"/>
      <c r="G189"/>
      <c r="H189"/>
      <c r="I189"/>
      <c r="K189" s="153"/>
    </row>
    <row r="190" spans="1:11" x14ac:dyDescent="0.3">
      <c r="A190" t="s">
        <v>5104</v>
      </c>
      <c r="B190">
        <f>COUNTIF(B2:B173,"2. Incident Status*Happy*")</f>
        <v>16</v>
      </c>
      <c r="C190"/>
      <c r="F190"/>
      <c r="G190"/>
      <c r="H190"/>
      <c r="I190"/>
      <c r="K190" s="153"/>
    </row>
    <row r="191" spans="1:11" x14ac:dyDescent="0.3">
      <c r="A191" t="s">
        <v>5181</v>
      </c>
      <c r="B191">
        <f>COUNTIF(B2:B173,"3. Incident Status*Negative*")</f>
        <v>18</v>
      </c>
      <c r="C191"/>
      <c r="F191"/>
      <c r="G191"/>
      <c r="H191"/>
      <c r="I191"/>
      <c r="K191" s="153"/>
    </row>
    <row r="192" spans="1:11" x14ac:dyDescent="0.3">
      <c r="A192" t="s">
        <v>5275</v>
      </c>
      <c r="B192">
        <f>COUNTIF(B2:B173,"4. Incident Severity*")</f>
        <v>16</v>
      </c>
      <c r="C192"/>
      <c r="F192"/>
      <c r="G192"/>
      <c r="H192"/>
      <c r="I192"/>
      <c r="K192" s="153"/>
    </row>
    <row r="193" spans="1:11" x14ac:dyDescent="0.3">
      <c r="A193" t="s">
        <v>5352</v>
      </c>
      <c r="B193">
        <f>COUNTIF(B2:B173,"5. Incident-Release*")</f>
        <v>20</v>
      </c>
      <c r="C193"/>
      <c r="F193"/>
      <c r="G193"/>
      <c r="H193"/>
      <c r="I193"/>
      <c r="K193" s="153"/>
    </row>
    <row r="194" spans="1:11" x14ac:dyDescent="0.3">
      <c r="A194" t="s">
        <v>5446</v>
      </c>
      <c r="B194">
        <f>COUNTIF(B2:B173,"6. Incident Resolution*")</f>
        <v>16</v>
      </c>
      <c r="C194"/>
      <c r="F194"/>
      <c r="G194"/>
      <c r="H194"/>
      <c r="I194"/>
      <c r="K194" s="153"/>
    </row>
    <row r="195" spans="1:11" x14ac:dyDescent="0.3">
      <c r="A195" t="s">
        <v>5521</v>
      </c>
      <c r="B195">
        <f>COUNTIF(B2:B173,"7. Post-Incident*")</f>
        <v>16</v>
      </c>
      <c r="C195"/>
      <c r="F195"/>
      <c r="G195"/>
      <c r="H195"/>
      <c r="I195"/>
      <c r="K195" s="153"/>
    </row>
    <row r="196" spans="1:11" x14ac:dyDescent="0.3">
      <c r="A196" t="s">
        <v>5599</v>
      </c>
      <c r="B196">
        <f>COUNTIF(B2:B173,"8. Incident Notifications*")</f>
        <v>16</v>
      </c>
      <c r="C196"/>
      <c r="F196"/>
      <c r="G196"/>
      <c r="H196"/>
      <c r="I196"/>
      <c r="K196" s="153"/>
    </row>
    <row r="197" spans="1:11" x14ac:dyDescent="0.3">
      <c r="A197" t="s">
        <v>5688</v>
      </c>
      <c r="B197">
        <f>COUNTIF(B2:B173,"9. Incident Permissions*")</f>
        <v>16</v>
      </c>
      <c r="C197"/>
      <c r="F197"/>
      <c r="G197"/>
      <c r="H197"/>
      <c r="I197"/>
      <c r="K197" s="153"/>
    </row>
    <row r="198" spans="1:11" x14ac:dyDescent="0.3">
      <c r="A198" t="s">
        <v>5763</v>
      </c>
      <c r="B198">
        <f>COUNTIF(B2:B173,"10. Incident Edge*")</f>
        <v>25</v>
      </c>
      <c r="C198"/>
      <c r="F198"/>
      <c r="G198"/>
      <c r="H198"/>
      <c r="I198"/>
      <c r="K198" s="153"/>
    </row>
    <row r="199" spans="1:11" x14ac:dyDescent="0.3">
      <c r="C199"/>
      <c r="F199"/>
      <c r="G199"/>
      <c r="H199"/>
      <c r="I199"/>
      <c r="K199" s="153"/>
    </row>
    <row r="200" spans="1:11" x14ac:dyDescent="0.3">
      <c r="A200" s="16" t="s">
        <v>5892</v>
      </c>
      <c r="C200"/>
      <c r="F200"/>
      <c r="G200"/>
      <c r="H200"/>
      <c r="I200"/>
      <c r="K200" s="153"/>
    </row>
    <row r="201" spans="1:11" x14ac:dyDescent="0.3">
      <c r="A201" t="s">
        <v>5894</v>
      </c>
      <c r="B201" t="s">
        <v>5893</v>
      </c>
      <c r="C201"/>
      <c r="F201"/>
      <c r="G201"/>
      <c r="H201"/>
      <c r="I201"/>
      <c r="K201" s="153"/>
    </row>
    <row r="202" spans="1:11" x14ac:dyDescent="0.3">
      <c r="A202" t="s">
        <v>5895</v>
      </c>
      <c r="B202" t="s">
        <v>5893</v>
      </c>
      <c r="C202"/>
      <c r="F202"/>
      <c r="G202"/>
      <c r="H202"/>
      <c r="I202"/>
      <c r="K202" s="153"/>
    </row>
    <row r="203" spans="1:11" x14ac:dyDescent="0.3">
      <c r="A203" t="s">
        <v>5896</v>
      </c>
      <c r="B203" t="s">
        <v>5893</v>
      </c>
      <c r="C203"/>
      <c r="F203"/>
      <c r="G203"/>
      <c r="H203"/>
      <c r="I203"/>
      <c r="K203" s="153"/>
    </row>
    <row r="204" spans="1:11" x14ac:dyDescent="0.3">
      <c r="A204" t="s">
        <v>5897</v>
      </c>
      <c r="B204" t="s">
        <v>5893</v>
      </c>
      <c r="C204"/>
      <c r="F204"/>
      <c r="G204"/>
      <c r="H204"/>
      <c r="I204"/>
      <c r="K204" s="153"/>
    </row>
    <row r="205" spans="1:11" x14ac:dyDescent="0.3">
      <c r="A205" t="s">
        <v>5898</v>
      </c>
      <c r="B205" t="s">
        <v>5893</v>
      </c>
      <c r="C205"/>
      <c r="F205"/>
      <c r="G205"/>
      <c r="H205"/>
      <c r="I205"/>
      <c r="K205" s="153"/>
    </row>
    <row r="206" spans="1:11" x14ac:dyDescent="0.3">
      <c r="A206" t="s">
        <v>5899</v>
      </c>
      <c r="B206" t="s">
        <v>5893</v>
      </c>
      <c r="C206"/>
      <c r="F206"/>
      <c r="G206"/>
      <c r="H206"/>
      <c r="I206"/>
      <c r="K206" s="153"/>
    </row>
    <row r="207" spans="1:11" x14ac:dyDescent="0.3">
      <c r="A207" t="s">
        <v>5900</v>
      </c>
      <c r="B207" t="s">
        <v>5893</v>
      </c>
      <c r="C207"/>
      <c r="F207"/>
      <c r="G207"/>
      <c r="H207"/>
      <c r="I207"/>
      <c r="K207" s="153"/>
    </row>
    <row r="208" spans="1:11" x14ac:dyDescent="0.3">
      <c r="A208" t="s">
        <v>5901</v>
      </c>
      <c r="B208" t="s">
        <v>5893</v>
      </c>
      <c r="C208"/>
      <c r="F208"/>
      <c r="G208"/>
      <c r="H208"/>
      <c r="I208"/>
      <c r="K208" s="153"/>
    </row>
    <row r="209" customFormat="1" x14ac:dyDescent="0.3"/>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7784-3BC6-40F4-8B8C-93D62A2E2B03}">
  <dimension ref="A1:K263"/>
  <sheetViews>
    <sheetView workbookViewId="0">
      <pane ySplit="1" topLeftCell="A72" activePane="bottomLeft" state="frozen"/>
      <selection pane="bottomLeft" activeCell="G86" sqref="G86"/>
    </sheetView>
  </sheetViews>
  <sheetFormatPr defaultRowHeight="14.4" x14ac:dyDescent="0.3"/>
  <cols>
    <col min="1" max="1" width="100.21875" bestFit="1" customWidth="1"/>
    <col min="2" max="2" width="34.33203125" bestFit="1" customWidth="1"/>
    <col min="3" max="3" width="46" bestFit="1" customWidth="1"/>
    <col min="4" max="4" width="4.88671875" bestFit="1" customWidth="1"/>
    <col min="5" max="5" width="15.6640625" bestFit="1" customWidth="1"/>
    <col min="6" max="6" width="54.33203125" bestFit="1" customWidth="1"/>
    <col min="7" max="7" width="34.88671875" bestFit="1" customWidth="1"/>
    <col min="8" max="8" width="47.44140625" bestFit="1" customWidth="1"/>
    <col min="9" max="9" width="52.77734375" bestFit="1" customWidth="1"/>
    <col min="10" max="10" width="7.109375" bestFit="1" customWidth="1"/>
    <col min="11" max="11" width="55.5546875" customWidth="1"/>
  </cols>
  <sheetData>
    <row r="1" spans="1:11" ht="28.8" x14ac:dyDescent="0.3">
      <c r="A1" s="41" t="s">
        <v>0</v>
      </c>
      <c r="B1" s="41" t="s">
        <v>9</v>
      </c>
      <c r="C1" s="41" t="s">
        <v>1840</v>
      </c>
      <c r="D1" s="41" t="s">
        <v>2</v>
      </c>
      <c r="E1" s="41" t="s">
        <v>1841</v>
      </c>
      <c r="F1" s="41" t="s">
        <v>4</v>
      </c>
      <c r="G1" s="41" t="s">
        <v>1842</v>
      </c>
      <c r="H1" s="41" t="s">
        <v>6</v>
      </c>
      <c r="I1" s="41" t="s">
        <v>3581</v>
      </c>
      <c r="J1" s="41" t="s">
        <v>1131</v>
      </c>
      <c r="K1" s="157" t="s">
        <v>12827</v>
      </c>
    </row>
    <row r="2" spans="1:11" x14ac:dyDescent="0.3">
      <c r="A2" s="46" t="s">
        <v>5902</v>
      </c>
      <c r="B2" s="46" t="s">
        <v>5903</v>
      </c>
      <c r="C2" s="46" t="s">
        <v>5904</v>
      </c>
      <c r="D2" s="46" t="s">
        <v>13</v>
      </c>
      <c r="E2" s="46" t="s">
        <v>3674</v>
      </c>
      <c r="F2" s="46" t="s">
        <v>5905</v>
      </c>
      <c r="G2" s="46" t="s">
        <v>5906</v>
      </c>
      <c r="H2" s="46" t="s">
        <v>5907</v>
      </c>
      <c r="I2" s="46" t="s">
        <v>14</v>
      </c>
      <c r="J2" s="46" t="s">
        <v>1852</v>
      </c>
      <c r="K2" s="153"/>
    </row>
    <row r="3" spans="1:11" x14ac:dyDescent="0.3">
      <c r="A3" s="46" t="s">
        <v>5908</v>
      </c>
      <c r="B3" s="46" t="s">
        <v>5903</v>
      </c>
      <c r="C3" s="46" t="s">
        <v>5909</v>
      </c>
      <c r="D3" s="46" t="s">
        <v>13</v>
      </c>
      <c r="E3" s="46" t="s">
        <v>3674</v>
      </c>
      <c r="F3" s="46" t="s">
        <v>5910</v>
      </c>
      <c r="G3" s="46" t="s">
        <v>5911</v>
      </c>
      <c r="H3" s="46" t="s">
        <v>5912</v>
      </c>
      <c r="I3" s="46" t="s">
        <v>14</v>
      </c>
      <c r="J3" s="46" t="s">
        <v>1852</v>
      </c>
      <c r="K3" s="153"/>
    </row>
    <row r="4" spans="1:11" x14ac:dyDescent="0.3">
      <c r="A4" s="46" t="s">
        <v>5913</v>
      </c>
      <c r="B4" s="46" t="s">
        <v>5903</v>
      </c>
      <c r="C4" s="46" t="s">
        <v>5914</v>
      </c>
      <c r="D4" s="46" t="s">
        <v>13</v>
      </c>
      <c r="E4" s="46" t="s">
        <v>5915</v>
      </c>
      <c r="F4" s="46" t="s">
        <v>5916</v>
      </c>
      <c r="G4" s="46" t="s">
        <v>5917</v>
      </c>
      <c r="H4" s="46" t="s">
        <v>5918</v>
      </c>
      <c r="I4" s="46" t="s">
        <v>14</v>
      </c>
      <c r="J4" s="46" t="s">
        <v>1852</v>
      </c>
      <c r="K4" s="153"/>
    </row>
    <row r="5" spans="1:11" x14ac:dyDescent="0.3">
      <c r="A5" s="46" t="s">
        <v>5919</v>
      </c>
      <c r="B5" s="46" t="s">
        <v>5903</v>
      </c>
      <c r="C5" s="46" t="s">
        <v>5920</v>
      </c>
      <c r="D5" s="46" t="s">
        <v>13</v>
      </c>
      <c r="E5" s="46" t="s">
        <v>3674</v>
      </c>
      <c r="F5" s="46" t="s">
        <v>5921</v>
      </c>
      <c r="G5" s="46" t="s">
        <v>5922</v>
      </c>
      <c r="H5" s="46" t="s">
        <v>5923</v>
      </c>
      <c r="I5" s="46" t="s">
        <v>14</v>
      </c>
      <c r="J5" s="46" t="s">
        <v>1852</v>
      </c>
      <c r="K5" s="153"/>
    </row>
    <row r="6" spans="1:11" x14ac:dyDescent="0.3">
      <c r="A6" s="46" t="s">
        <v>5924</v>
      </c>
      <c r="B6" s="46" t="s">
        <v>5903</v>
      </c>
      <c r="C6" s="46" t="s">
        <v>5925</v>
      </c>
      <c r="D6" s="46" t="s">
        <v>13</v>
      </c>
      <c r="E6" s="46" t="s">
        <v>3674</v>
      </c>
      <c r="F6" s="46" t="s">
        <v>5921</v>
      </c>
      <c r="G6" s="46" t="s">
        <v>5926</v>
      </c>
      <c r="H6" s="46" t="s">
        <v>5927</v>
      </c>
      <c r="I6" s="46" t="s">
        <v>14</v>
      </c>
      <c r="J6" s="46" t="s">
        <v>1852</v>
      </c>
      <c r="K6" s="153"/>
    </row>
    <row r="7" spans="1:11" x14ac:dyDescent="0.3">
      <c r="A7" s="46" t="s">
        <v>5928</v>
      </c>
      <c r="B7" s="46" t="s">
        <v>5903</v>
      </c>
      <c r="C7" s="46" t="s">
        <v>5929</v>
      </c>
      <c r="D7" s="46" t="s">
        <v>21</v>
      </c>
      <c r="E7" s="46" t="s">
        <v>3674</v>
      </c>
      <c r="F7" s="46" t="s">
        <v>5930</v>
      </c>
      <c r="G7" s="46" t="s">
        <v>5931</v>
      </c>
      <c r="H7" s="46" t="s">
        <v>5932</v>
      </c>
      <c r="I7" s="46" t="s">
        <v>5933</v>
      </c>
      <c r="J7" s="46" t="s">
        <v>1852</v>
      </c>
      <c r="K7" s="153"/>
    </row>
    <row r="8" spans="1:11" x14ac:dyDescent="0.3">
      <c r="A8" s="46" t="s">
        <v>5934</v>
      </c>
      <c r="B8" s="46" t="s">
        <v>5903</v>
      </c>
      <c r="C8" s="46" t="s">
        <v>5935</v>
      </c>
      <c r="D8" s="46" t="s">
        <v>13</v>
      </c>
      <c r="E8" s="46" t="s">
        <v>3674</v>
      </c>
      <c r="F8" s="46" t="s">
        <v>5936</v>
      </c>
      <c r="G8" s="46" t="s">
        <v>5937</v>
      </c>
      <c r="H8" s="46" t="s">
        <v>5938</v>
      </c>
      <c r="I8" s="46" t="s">
        <v>14</v>
      </c>
      <c r="J8" s="46" t="s">
        <v>1852</v>
      </c>
      <c r="K8" s="153"/>
    </row>
    <row r="9" spans="1:11" x14ac:dyDescent="0.3">
      <c r="A9" s="46" t="s">
        <v>5939</v>
      </c>
      <c r="B9" s="46" t="s">
        <v>5903</v>
      </c>
      <c r="C9" s="46" t="s">
        <v>5940</v>
      </c>
      <c r="D9" s="46" t="s">
        <v>13</v>
      </c>
      <c r="E9" s="46" t="s">
        <v>3674</v>
      </c>
      <c r="F9" s="46" t="s">
        <v>5936</v>
      </c>
      <c r="G9" s="46" t="s">
        <v>5941</v>
      </c>
      <c r="H9" s="46" t="s">
        <v>5942</v>
      </c>
      <c r="I9" s="46" t="s">
        <v>14</v>
      </c>
      <c r="J9" s="46" t="s">
        <v>1852</v>
      </c>
      <c r="K9" s="153"/>
    </row>
    <row r="10" spans="1:11" x14ac:dyDescent="0.3">
      <c r="A10" s="46" t="s">
        <v>5943</v>
      </c>
      <c r="B10" s="46" t="s">
        <v>5903</v>
      </c>
      <c r="C10" s="46" t="s">
        <v>5944</v>
      </c>
      <c r="D10" s="46" t="s">
        <v>10</v>
      </c>
      <c r="E10" s="46" t="s">
        <v>3674</v>
      </c>
      <c r="F10" s="46" t="s">
        <v>5945</v>
      </c>
      <c r="G10" s="46" t="s">
        <v>5946</v>
      </c>
      <c r="H10" s="46" t="s">
        <v>5947</v>
      </c>
      <c r="I10" s="46" t="s">
        <v>5948</v>
      </c>
      <c r="J10" s="46" t="s">
        <v>1852</v>
      </c>
      <c r="K10" s="153"/>
    </row>
    <row r="11" spans="1:11" x14ac:dyDescent="0.3">
      <c r="A11" s="46" t="s">
        <v>5949</v>
      </c>
      <c r="B11" s="46" t="s">
        <v>5903</v>
      </c>
      <c r="C11" s="46" t="s">
        <v>5950</v>
      </c>
      <c r="D11" s="46" t="s">
        <v>13</v>
      </c>
      <c r="E11" s="46" t="s">
        <v>3674</v>
      </c>
      <c r="F11" s="46" t="s">
        <v>5921</v>
      </c>
      <c r="G11" s="46" t="s">
        <v>5951</v>
      </c>
      <c r="H11" s="46" t="s">
        <v>5952</v>
      </c>
      <c r="I11" s="46" t="s">
        <v>14</v>
      </c>
      <c r="J11" s="46" t="s">
        <v>1852</v>
      </c>
      <c r="K11" s="153"/>
    </row>
    <row r="12" spans="1:11" x14ac:dyDescent="0.3">
      <c r="A12" s="46" t="s">
        <v>5953</v>
      </c>
      <c r="B12" s="46" t="s">
        <v>5903</v>
      </c>
      <c r="C12" s="46" t="s">
        <v>5954</v>
      </c>
      <c r="D12" s="46" t="s">
        <v>10</v>
      </c>
      <c r="E12" s="46" t="s">
        <v>3674</v>
      </c>
      <c r="F12" s="46" t="s">
        <v>5955</v>
      </c>
      <c r="G12" s="46" t="s">
        <v>5956</v>
      </c>
      <c r="H12" s="46" t="s">
        <v>5957</v>
      </c>
      <c r="I12" s="46" t="s">
        <v>5958</v>
      </c>
      <c r="J12" s="46" t="s">
        <v>1852</v>
      </c>
      <c r="K12" s="153"/>
    </row>
    <row r="13" spans="1:11" x14ac:dyDescent="0.3">
      <c r="A13" s="46" t="s">
        <v>5959</v>
      </c>
      <c r="B13" s="46" t="s">
        <v>5903</v>
      </c>
      <c r="C13" s="46" t="s">
        <v>5960</v>
      </c>
      <c r="D13" s="46" t="s">
        <v>10</v>
      </c>
      <c r="E13" s="46" t="s">
        <v>3674</v>
      </c>
      <c r="F13" s="46" t="s">
        <v>5961</v>
      </c>
      <c r="G13" s="46" t="s">
        <v>5962</v>
      </c>
      <c r="H13" s="46" t="s">
        <v>5963</v>
      </c>
      <c r="I13" s="46" t="s">
        <v>5964</v>
      </c>
      <c r="J13" s="46" t="s">
        <v>1852</v>
      </c>
      <c r="K13" s="153"/>
    </row>
    <row r="14" spans="1:11" x14ac:dyDescent="0.3">
      <c r="A14" s="46" t="s">
        <v>5965</v>
      </c>
      <c r="B14" s="46" t="s">
        <v>5903</v>
      </c>
      <c r="C14" s="46" t="s">
        <v>5966</v>
      </c>
      <c r="D14" s="46" t="s">
        <v>10</v>
      </c>
      <c r="E14" s="46" t="s">
        <v>3674</v>
      </c>
      <c r="F14" s="46" t="s">
        <v>5967</v>
      </c>
      <c r="G14" s="46" t="s">
        <v>5968</v>
      </c>
      <c r="H14" s="46" t="s">
        <v>5969</v>
      </c>
      <c r="I14" s="46" t="s">
        <v>5970</v>
      </c>
      <c r="J14" s="46" t="s">
        <v>1852</v>
      </c>
      <c r="K14" s="153"/>
    </row>
    <row r="15" spans="1:11" x14ac:dyDescent="0.3">
      <c r="A15" s="46" t="s">
        <v>5971</v>
      </c>
      <c r="B15" s="46" t="s">
        <v>5903</v>
      </c>
      <c r="C15" s="46" t="s">
        <v>5972</v>
      </c>
      <c r="D15" s="46" t="s">
        <v>13</v>
      </c>
      <c r="E15" s="46" t="s">
        <v>5973</v>
      </c>
      <c r="F15" s="46" t="s">
        <v>5974</v>
      </c>
      <c r="G15" s="46" t="s">
        <v>5975</v>
      </c>
      <c r="H15" s="46" t="s">
        <v>5976</v>
      </c>
      <c r="I15" s="46" t="s">
        <v>14</v>
      </c>
      <c r="J15" s="46" t="s">
        <v>1852</v>
      </c>
      <c r="K15" s="153"/>
    </row>
    <row r="16" spans="1:11" x14ac:dyDescent="0.3">
      <c r="A16" s="46" t="s">
        <v>5977</v>
      </c>
      <c r="B16" s="46" t="s">
        <v>5903</v>
      </c>
      <c r="C16" s="46" t="s">
        <v>5978</v>
      </c>
      <c r="D16" s="46" t="s">
        <v>13</v>
      </c>
      <c r="E16" s="46" t="s">
        <v>5973</v>
      </c>
      <c r="F16" s="46" t="s">
        <v>5979</v>
      </c>
      <c r="G16" s="46" t="s">
        <v>5980</v>
      </c>
      <c r="H16" s="46" t="s">
        <v>5981</v>
      </c>
      <c r="I16" s="46" t="s">
        <v>14</v>
      </c>
      <c r="J16" s="46" t="s">
        <v>1852</v>
      </c>
      <c r="K16" s="153"/>
    </row>
    <row r="17" spans="1:11" x14ac:dyDescent="0.3">
      <c r="A17" s="46" t="s">
        <v>5982</v>
      </c>
      <c r="B17" s="46" t="s">
        <v>5903</v>
      </c>
      <c r="C17" s="46" t="s">
        <v>5983</v>
      </c>
      <c r="D17" s="46" t="s">
        <v>13</v>
      </c>
      <c r="E17" s="46" t="s">
        <v>5973</v>
      </c>
      <c r="F17" s="46" t="s">
        <v>5984</v>
      </c>
      <c r="G17" s="46" t="s">
        <v>5985</v>
      </c>
      <c r="H17" s="46" t="s">
        <v>5986</v>
      </c>
      <c r="I17" s="46" t="s">
        <v>14</v>
      </c>
      <c r="J17" s="46" t="s">
        <v>1852</v>
      </c>
      <c r="K17" s="153"/>
    </row>
    <row r="18" spans="1:11" x14ac:dyDescent="0.3">
      <c r="A18" s="46" t="s">
        <v>5987</v>
      </c>
      <c r="B18" s="46" t="s">
        <v>5903</v>
      </c>
      <c r="C18" s="46" t="s">
        <v>5988</v>
      </c>
      <c r="D18" s="46" t="s">
        <v>10</v>
      </c>
      <c r="E18" s="46" t="s">
        <v>3674</v>
      </c>
      <c r="F18" s="46" t="s">
        <v>5921</v>
      </c>
      <c r="G18" s="46" t="s">
        <v>5989</v>
      </c>
      <c r="H18" s="46" t="s">
        <v>5990</v>
      </c>
      <c r="I18" s="46" t="s">
        <v>5991</v>
      </c>
      <c r="J18" s="46" t="s">
        <v>1868</v>
      </c>
      <c r="K18" s="153"/>
    </row>
    <row r="19" spans="1:11" x14ac:dyDescent="0.3">
      <c r="A19" s="46" t="s">
        <v>5992</v>
      </c>
      <c r="B19" s="46" t="s">
        <v>5903</v>
      </c>
      <c r="C19" s="46" t="s">
        <v>5993</v>
      </c>
      <c r="D19" s="46" t="s">
        <v>10</v>
      </c>
      <c r="E19" s="46" t="s">
        <v>3674</v>
      </c>
      <c r="F19" s="46" t="s">
        <v>5967</v>
      </c>
      <c r="G19" s="46" t="s">
        <v>5994</v>
      </c>
      <c r="H19" s="46" t="s">
        <v>5969</v>
      </c>
      <c r="I19" s="46" t="s">
        <v>5995</v>
      </c>
      <c r="J19" s="46" t="s">
        <v>1868</v>
      </c>
      <c r="K19" s="153"/>
    </row>
    <row r="20" spans="1:11" x14ac:dyDescent="0.3">
      <c r="A20" s="46" t="s">
        <v>5996</v>
      </c>
      <c r="B20" s="46" t="s">
        <v>5903</v>
      </c>
      <c r="C20" s="46" t="s">
        <v>5997</v>
      </c>
      <c r="D20" s="46" t="s">
        <v>13</v>
      </c>
      <c r="E20" s="46" t="s">
        <v>5973</v>
      </c>
      <c r="F20" s="46" t="s">
        <v>5998</v>
      </c>
      <c r="G20" s="46" t="s">
        <v>5999</v>
      </c>
      <c r="H20" s="46" t="s">
        <v>6000</v>
      </c>
      <c r="I20" s="46" t="s">
        <v>14</v>
      </c>
      <c r="J20" s="46" t="s">
        <v>1868</v>
      </c>
      <c r="K20" s="153"/>
    </row>
    <row r="21" spans="1:11" x14ac:dyDescent="0.3">
      <c r="A21" s="46" t="s">
        <v>6001</v>
      </c>
      <c r="B21" s="46" t="s">
        <v>5903</v>
      </c>
      <c r="C21" s="46" t="s">
        <v>6002</v>
      </c>
      <c r="D21" s="46" t="s">
        <v>13</v>
      </c>
      <c r="E21" s="46" t="s">
        <v>5973</v>
      </c>
      <c r="F21" s="46" t="s">
        <v>6003</v>
      </c>
      <c r="G21" s="46" t="s">
        <v>6004</v>
      </c>
      <c r="H21" s="46" t="s">
        <v>6005</v>
      </c>
      <c r="I21" s="46" t="s">
        <v>14</v>
      </c>
      <c r="J21" s="46" t="s">
        <v>1852</v>
      </c>
      <c r="K21" s="153"/>
    </row>
    <row r="22" spans="1:11" x14ac:dyDescent="0.3">
      <c r="A22" s="89" t="s">
        <v>6006</v>
      </c>
      <c r="B22" s="89" t="s">
        <v>6007</v>
      </c>
      <c r="C22" s="89" t="s">
        <v>6008</v>
      </c>
      <c r="D22" s="89" t="s">
        <v>13</v>
      </c>
      <c r="E22" s="89" t="s">
        <v>39</v>
      </c>
      <c r="F22" s="89" t="s">
        <v>6009</v>
      </c>
      <c r="G22" s="89" t="s">
        <v>3728</v>
      </c>
      <c r="H22" s="89" t="s">
        <v>6010</v>
      </c>
      <c r="I22" s="89" t="s">
        <v>6011</v>
      </c>
      <c r="J22" s="89" t="s">
        <v>1852</v>
      </c>
      <c r="K22" s="153"/>
    </row>
    <row r="23" spans="1:11" x14ac:dyDescent="0.3">
      <c r="A23" s="89" t="s">
        <v>6012</v>
      </c>
      <c r="B23" s="89" t="s">
        <v>6007</v>
      </c>
      <c r="C23" s="89" t="s">
        <v>6013</v>
      </c>
      <c r="D23" s="89" t="s">
        <v>13</v>
      </c>
      <c r="E23" s="89" t="s">
        <v>39</v>
      </c>
      <c r="F23" s="89" t="s">
        <v>6014</v>
      </c>
      <c r="G23" s="89" t="s">
        <v>3728</v>
      </c>
      <c r="H23" s="89" t="s">
        <v>5371</v>
      </c>
      <c r="I23" s="89" t="s">
        <v>14</v>
      </c>
      <c r="J23" s="89" t="s">
        <v>1852</v>
      </c>
      <c r="K23" s="153"/>
    </row>
    <row r="24" spans="1:11" x14ac:dyDescent="0.3">
      <c r="A24" s="89" t="s">
        <v>6015</v>
      </c>
      <c r="B24" s="89" t="s">
        <v>6007</v>
      </c>
      <c r="C24" s="89" t="s">
        <v>6016</v>
      </c>
      <c r="D24" s="89" t="s">
        <v>13</v>
      </c>
      <c r="E24" s="89" t="s">
        <v>39</v>
      </c>
      <c r="F24" s="89" t="s">
        <v>6017</v>
      </c>
      <c r="G24" s="89" t="s">
        <v>3728</v>
      </c>
      <c r="H24" s="89" t="s">
        <v>6018</v>
      </c>
      <c r="I24" s="89" t="s">
        <v>14</v>
      </c>
      <c r="J24" s="89" t="s">
        <v>1852</v>
      </c>
      <c r="K24" s="153"/>
    </row>
    <row r="25" spans="1:11" x14ac:dyDescent="0.3">
      <c r="A25" s="89" t="s">
        <v>6019</v>
      </c>
      <c r="B25" s="89" t="s">
        <v>6007</v>
      </c>
      <c r="C25" s="89" t="s">
        <v>6020</v>
      </c>
      <c r="D25" s="89" t="s">
        <v>13</v>
      </c>
      <c r="E25" s="89" t="s">
        <v>39</v>
      </c>
      <c r="F25" s="89" t="s">
        <v>6021</v>
      </c>
      <c r="G25" s="89" t="s">
        <v>3728</v>
      </c>
      <c r="H25" s="89" t="s">
        <v>6022</v>
      </c>
      <c r="I25" s="89" t="s">
        <v>14</v>
      </c>
      <c r="J25" s="89" t="s">
        <v>1868</v>
      </c>
      <c r="K25" s="153"/>
    </row>
    <row r="26" spans="1:11" x14ac:dyDescent="0.3">
      <c r="A26" s="89" t="s">
        <v>6023</v>
      </c>
      <c r="B26" s="89" t="s">
        <v>6007</v>
      </c>
      <c r="C26" s="89" t="s">
        <v>6024</v>
      </c>
      <c r="D26" s="89" t="s">
        <v>13</v>
      </c>
      <c r="E26" s="89" t="s">
        <v>49</v>
      </c>
      <c r="F26" s="89" t="s">
        <v>6025</v>
      </c>
      <c r="G26" s="89" t="s">
        <v>3728</v>
      </c>
      <c r="H26" s="89" t="s">
        <v>6026</v>
      </c>
      <c r="I26" s="89" t="s">
        <v>3730</v>
      </c>
      <c r="J26" s="89" t="s">
        <v>1852</v>
      </c>
      <c r="K26" s="153"/>
    </row>
    <row r="27" spans="1:11" x14ac:dyDescent="0.3">
      <c r="A27" s="89" t="s">
        <v>6027</v>
      </c>
      <c r="B27" s="89" t="s">
        <v>6007</v>
      </c>
      <c r="C27" s="89" t="s">
        <v>6028</v>
      </c>
      <c r="D27" s="89" t="s">
        <v>21</v>
      </c>
      <c r="E27" s="89" t="s">
        <v>49</v>
      </c>
      <c r="F27" s="89" t="s">
        <v>6029</v>
      </c>
      <c r="G27" s="89" t="s">
        <v>3728</v>
      </c>
      <c r="H27" s="89" t="s">
        <v>6030</v>
      </c>
      <c r="I27" s="89" t="s">
        <v>14</v>
      </c>
      <c r="J27" s="89" t="s">
        <v>1852</v>
      </c>
      <c r="K27" s="153"/>
    </row>
    <row r="28" spans="1:11" x14ac:dyDescent="0.3">
      <c r="A28" s="89" t="s">
        <v>6031</v>
      </c>
      <c r="B28" s="89" t="s">
        <v>6007</v>
      </c>
      <c r="C28" s="89" t="s">
        <v>6032</v>
      </c>
      <c r="D28" s="89" t="s">
        <v>13</v>
      </c>
      <c r="E28" s="89" t="s">
        <v>49</v>
      </c>
      <c r="F28" s="89" t="s">
        <v>6033</v>
      </c>
      <c r="G28" s="89" t="s">
        <v>3728</v>
      </c>
      <c r="H28" s="89" t="s">
        <v>6034</v>
      </c>
      <c r="I28" s="89" t="s">
        <v>14</v>
      </c>
      <c r="J28" s="89" t="s">
        <v>1868</v>
      </c>
      <c r="K28" s="153"/>
    </row>
    <row r="29" spans="1:11" x14ac:dyDescent="0.3">
      <c r="A29" s="89" t="s">
        <v>6035</v>
      </c>
      <c r="B29" s="89" t="s">
        <v>6007</v>
      </c>
      <c r="C29" s="89" t="s">
        <v>6036</v>
      </c>
      <c r="D29" s="89" t="s">
        <v>13</v>
      </c>
      <c r="E29" s="89" t="s">
        <v>49</v>
      </c>
      <c r="F29" s="89" t="s">
        <v>6037</v>
      </c>
      <c r="G29" s="89" t="s">
        <v>3728</v>
      </c>
      <c r="H29" s="89" t="s">
        <v>6038</v>
      </c>
      <c r="I29" s="89" t="s">
        <v>14</v>
      </c>
      <c r="J29" s="89" t="s">
        <v>1868</v>
      </c>
      <c r="K29" s="153"/>
    </row>
    <row r="30" spans="1:11" x14ac:dyDescent="0.3">
      <c r="A30" s="89" t="s">
        <v>6039</v>
      </c>
      <c r="B30" s="89" t="s">
        <v>6007</v>
      </c>
      <c r="C30" s="89" t="s">
        <v>6040</v>
      </c>
      <c r="D30" s="89" t="s">
        <v>13</v>
      </c>
      <c r="E30" s="89" t="s">
        <v>41</v>
      </c>
      <c r="F30" s="89" t="s">
        <v>6041</v>
      </c>
      <c r="G30" s="89" t="s">
        <v>3347</v>
      </c>
      <c r="H30" s="89" t="s">
        <v>6042</v>
      </c>
      <c r="I30" s="89" t="s">
        <v>6043</v>
      </c>
      <c r="J30" s="89" t="s">
        <v>1852</v>
      </c>
      <c r="K30" s="153"/>
    </row>
    <row r="31" spans="1:11" x14ac:dyDescent="0.3">
      <c r="A31" s="89" t="s">
        <v>6044</v>
      </c>
      <c r="B31" s="89" t="s">
        <v>6007</v>
      </c>
      <c r="C31" s="89" t="s">
        <v>6045</v>
      </c>
      <c r="D31" s="89" t="s">
        <v>21</v>
      </c>
      <c r="E31" s="89" t="s">
        <v>41</v>
      </c>
      <c r="F31" s="89" t="s">
        <v>6046</v>
      </c>
      <c r="G31" s="89" t="s">
        <v>3347</v>
      </c>
      <c r="H31" s="89" t="s">
        <v>6047</v>
      </c>
      <c r="I31" s="89" t="s">
        <v>14</v>
      </c>
      <c r="J31" s="89" t="s">
        <v>1868</v>
      </c>
      <c r="K31" s="153"/>
    </row>
    <row r="32" spans="1:11" x14ac:dyDescent="0.3">
      <c r="A32" s="89" t="s">
        <v>6048</v>
      </c>
      <c r="B32" s="89" t="s">
        <v>6007</v>
      </c>
      <c r="C32" s="89" t="s">
        <v>6049</v>
      </c>
      <c r="D32" s="89" t="s">
        <v>21</v>
      </c>
      <c r="E32" s="89" t="s">
        <v>41</v>
      </c>
      <c r="F32" s="89" t="s">
        <v>6050</v>
      </c>
      <c r="G32" s="89" t="s">
        <v>3347</v>
      </c>
      <c r="H32" s="89" t="s">
        <v>6051</v>
      </c>
      <c r="I32" s="89" t="s">
        <v>14</v>
      </c>
      <c r="J32" s="89" t="s">
        <v>1868</v>
      </c>
      <c r="K32" s="153"/>
    </row>
    <row r="33" spans="1:11" x14ac:dyDescent="0.3">
      <c r="A33" s="89" t="s">
        <v>6052</v>
      </c>
      <c r="B33" s="89" t="s">
        <v>6007</v>
      </c>
      <c r="C33" s="89" t="s">
        <v>6053</v>
      </c>
      <c r="D33" s="89" t="s">
        <v>13</v>
      </c>
      <c r="E33" s="89" t="s">
        <v>50</v>
      </c>
      <c r="F33" s="89" t="s">
        <v>6054</v>
      </c>
      <c r="G33" s="89" t="s">
        <v>6055</v>
      </c>
      <c r="H33" s="89" t="s">
        <v>6056</v>
      </c>
      <c r="I33" s="89" t="s">
        <v>6057</v>
      </c>
      <c r="J33" s="89" t="s">
        <v>1852</v>
      </c>
      <c r="K33" s="153"/>
    </row>
    <row r="34" spans="1:11" x14ac:dyDescent="0.3">
      <c r="A34" s="89" t="s">
        <v>6058</v>
      </c>
      <c r="B34" s="89" t="s">
        <v>6007</v>
      </c>
      <c r="C34" s="89" t="s">
        <v>6059</v>
      </c>
      <c r="D34" s="89" t="s">
        <v>13</v>
      </c>
      <c r="E34" s="89" t="s">
        <v>50</v>
      </c>
      <c r="F34" s="89" t="s">
        <v>6060</v>
      </c>
      <c r="G34" s="89" t="s">
        <v>6061</v>
      </c>
      <c r="H34" s="89" t="s">
        <v>6062</v>
      </c>
      <c r="I34" s="89" t="s">
        <v>14</v>
      </c>
      <c r="J34" s="89" t="s">
        <v>1852</v>
      </c>
      <c r="K34" s="153"/>
    </row>
    <row r="35" spans="1:11" x14ac:dyDescent="0.3">
      <c r="A35" s="89" t="s">
        <v>6063</v>
      </c>
      <c r="B35" s="89" t="s">
        <v>6007</v>
      </c>
      <c r="C35" s="89" t="s">
        <v>6064</v>
      </c>
      <c r="D35" s="89" t="s">
        <v>13</v>
      </c>
      <c r="E35" s="89" t="s">
        <v>51</v>
      </c>
      <c r="F35" s="89" t="s">
        <v>6065</v>
      </c>
      <c r="G35" s="89" t="s">
        <v>429</v>
      </c>
      <c r="H35" s="89" t="s">
        <v>6066</v>
      </c>
      <c r="I35" s="89" t="s">
        <v>6067</v>
      </c>
      <c r="J35" s="89" t="s">
        <v>1852</v>
      </c>
      <c r="K35" s="153"/>
    </row>
    <row r="36" spans="1:11" x14ac:dyDescent="0.3">
      <c r="A36" s="89" t="s">
        <v>6068</v>
      </c>
      <c r="B36" s="89" t="s">
        <v>6007</v>
      </c>
      <c r="C36" s="89" t="s">
        <v>6069</v>
      </c>
      <c r="D36" s="89" t="s">
        <v>13</v>
      </c>
      <c r="E36" s="89" t="s">
        <v>51</v>
      </c>
      <c r="F36" s="89" t="s">
        <v>6070</v>
      </c>
      <c r="G36" s="89" t="s">
        <v>429</v>
      </c>
      <c r="H36" s="89" t="s">
        <v>6066</v>
      </c>
      <c r="I36" s="89" t="s">
        <v>6071</v>
      </c>
      <c r="J36" s="89" t="s">
        <v>1852</v>
      </c>
      <c r="K36" s="153"/>
    </row>
    <row r="37" spans="1:11" x14ac:dyDescent="0.3">
      <c r="A37" s="89" t="s">
        <v>6072</v>
      </c>
      <c r="B37" s="89" t="s">
        <v>6007</v>
      </c>
      <c r="C37" s="89" t="s">
        <v>6073</v>
      </c>
      <c r="D37" s="89" t="s">
        <v>13</v>
      </c>
      <c r="E37" s="89" t="s">
        <v>51</v>
      </c>
      <c r="F37" s="89" t="s">
        <v>6074</v>
      </c>
      <c r="G37" s="89" t="s">
        <v>6075</v>
      </c>
      <c r="H37" s="89" t="s">
        <v>6076</v>
      </c>
      <c r="I37" s="89" t="s">
        <v>14</v>
      </c>
      <c r="J37" s="89" t="s">
        <v>1868</v>
      </c>
      <c r="K37" s="153"/>
    </row>
    <row r="38" spans="1:11" x14ac:dyDescent="0.3">
      <c r="A38" s="89" t="s">
        <v>6077</v>
      </c>
      <c r="B38" s="89" t="s">
        <v>6007</v>
      </c>
      <c r="C38" s="89" t="s">
        <v>6078</v>
      </c>
      <c r="D38" s="89" t="s">
        <v>13</v>
      </c>
      <c r="E38" s="89" t="s">
        <v>54</v>
      </c>
      <c r="F38" s="89" t="s">
        <v>12866</v>
      </c>
      <c r="G38" s="89" t="s">
        <v>6079</v>
      </c>
      <c r="H38" s="89" t="s">
        <v>6010</v>
      </c>
      <c r="I38" s="89" t="s">
        <v>5360</v>
      </c>
      <c r="J38" s="89" t="s">
        <v>1852</v>
      </c>
      <c r="K38" s="155"/>
    </row>
    <row r="39" spans="1:11" x14ac:dyDescent="0.3">
      <c r="A39" s="89" t="s">
        <v>6080</v>
      </c>
      <c r="B39" s="89" t="s">
        <v>6007</v>
      </c>
      <c r="C39" s="89" t="s">
        <v>6081</v>
      </c>
      <c r="D39" s="89" t="s">
        <v>13</v>
      </c>
      <c r="E39" s="89" t="s">
        <v>54</v>
      </c>
      <c r="F39" s="89" t="s">
        <v>6082</v>
      </c>
      <c r="G39" s="89" t="s">
        <v>6079</v>
      </c>
      <c r="H39" s="89" t="s">
        <v>6083</v>
      </c>
      <c r="I39" s="89" t="s">
        <v>14</v>
      </c>
      <c r="J39" s="89" t="s">
        <v>1852</v>
      </c>
      <c r="K39" s="153"/>
    </row>
    <row r="40" spans="1:11" x14ac:dyDescent="0.3">
      <c r="A40" s="89" t="s">
        <v>6084</v>
      </c>
      <c r="B40" s="89" t="s">
        <v>6007</v>
      </c>
      <c r="C40" s="89" t="s">
        <v>6085</v>
      </c>
      <c r="D40" s="89" t="s">
        <v>10</v>
      </c>
      <c r="E40" s="89" t="s">
        <v>52</v>
      </c>
      <c r="F40" s="89" t="s">
        <v>6086</v>
      </c>
      <c r="G40" s="89" t="s">
        <v>6087</v>
      </c>
      <c r="H40" s="89" t="s">
        <v>6088</v>
      </c>
      <c r="I40" s="89" t="s">
        <v>6089</v>
      </c>
      <c r="J40" s="89" t="s">
        <v>1852</v>
      </c>
      <c r="K40" s="153"/>
    </row>
    <row r="41" spans="1:11" x14ac:dyDescent="0.3">
      <c r="A41" s="89" t="s">
        <v>6090</v>
      </c>
      <c r="B41" s="89" t="s">
        <v>6007</v>
      </c>
      <c r="C41" s="89" t="s">
        <v>6091</v>
      </c>
      <c r="D41" s="89" t="s">
        <v>21</v>
      </c>
      <c r="E41" s="89" t="s">
        <v>40</v>
      </c>
      <c r="F41" s="89" t="s">
        <v>6092</v>
      </c>
      <c r="G41" s="89" t="s">
        <v>3359</v>
      </c>
      <c r="H41" s="89" t="s">
        <v>3360</v>
      </c>
      <c r="I41" s="89" t="s">
        <v>6093</v>
      </c>
      <c r="J41" s="89" t="s">
        <v>1852</v>
      </c>
      <c r="K41" s="153"/>
    </row>
    <row r="42" spans="1:11" x14ac:dyDescent="0.3">
      <c r="A42" s="89" t="s">
        <v>6094</v>
      </c>
      <c r="B42" s="89" t="s">
        <v>6007</v>
      </c>
      <c r="C42" s="89" t="s">
        <v>6095</v>
      </c>
      <c r="D42" s="89" t="s">
        <v>13</v>
      </c>
      <c r="E42" s="89" t="s">
        <v>40</v>
      </c>
      <c r="F42" s="89" t="s">
        <v>6096</v>
      </c>
      <c r="G42" s="89" t="s">
        <v>3359</v>
      </c>
      <c r="H42" s="89" t="s">
        <v>6097</v>
      </c>
      <c r="I42" s="89" t="s">
        <v>14</v>
      </c>
      <c r="J42" s="89" t="s">
        <v>1852</v>
      </c>
      <c r="K42" s="153"/>
    </row>
    <row r="43" spans="1:11" x14ac:dyDescent="0.3">
      <c r="A43" s="89" t="s">
        <v>6098</v>
      </c>
      <c r="B43" s="89" t="s">
        <v>6007</v>
      </c>
      <c r="C43" s="89" t="s">
        <v>6099</v>
      </c>
      <c r="D43" s="89" t="s">
        <v>13</v>
      </c>
      <c r="E43" s="89" t="s">
        <v>55</v>
      </c>
      <c r="F43" s="89" t="s">
        <v>6100</v>
      </c>
      <c r="G43" s="89" t="s">
        <v>6101</v>
      </c>
      <c r="H43" s="89" t="s">
        <v>6102</v>
      </c>
      <c r="I43" s="89" t="s">
        <v>6103</v>
      </c>
      <c r="J43" s="89" t="s">
        <v>1852</v>
      </c>
      <c r="K43" s="153"/>
    </row>
    <row r="44" spans="1:11" x14ac:dyDescent="0.3">
      <c r="A44" s="89" t="s">
        <v>6104</v>
      </c>
      <c r="B44" s="89" t="s">
        <v>6007</v>
      </c>
      <c r="C44" s="89" t="s">
        <v>6105</v>
      </c>
      <c r="D44" s="89" t="s">
        <v>13</v>
      </c>
      <c r="E44" s="89" t="s">
        <v>47</v>
      </c>
      <c r="F44" s="89" t="s">
        <v>6106</v>
      </c>
      <c r="G44" s="89" t="s">
        <v>3347</v>
      </c>
      <c r="H44" s="89" t="s">
        <v>3371</v>
      </c>
      <c r="I44" s="89" t="s">
        <v>6107</v>
      </c>
      <c r="J44" s="89" t="s">
        <v>1852</v>
      </c>
      <c r="K44" s="153"/>
    </row>
    <row r="45" spans="1:11" x14ac:dyDescent="0.3">
      <c r="A45" s="47" t="s">
        <v>6108</v>
      </c>
      <c r="B45" s="47" t="s">
        <v>6109</v>
      </c>
      <c r="C45" s="47" t="s">
        <v>6110</v>
      </c>
      <c r="D45" s="47" t="s">
        <v>13</v>
      </c>
      <c r="E45" s="47" t="s">
        <v>56</v>
      </c>
      <c r="F45" s="47" t="s">
        <v>6111</v>
      </c>
      <c r="G45" s="47" t="s">
        <v>6112</v>
      </c>
      <c r="H45" s="47" t="s">
        <v>6113</v>
      </c>
      <c r="I45" s="47" t="s">
        <v>6114</v>
      </c>
      <c r="J45" s="47" t="s">
        <v>1852</v>
      </c>
      <c r="K45" s="153"/>
    </row>
    <row r="46" spans="1:11" x14ac:dyDescent="0.3">
      <c r="A46" s="47" t="s">
        <v>6115</v>
      </c>
      <c r="B46" s="47" t="s">
        <v>6109</v>
      </c>
      <c r="C46" s="47" t="s">
        <v>6116</v>
      </c>
      <c r="D46" s="47" t="s">
        <v>13</v>
      </c>
      <c r="E46" s="47" t="s">
        <v>56</v>
      </c>
      <c r="F46" s="47" t="s">
        <v>6117</v>
      </c>
      <c r="G46" s="47" t="s">
        <v>6112</v>
      </c>
      <c r="H46" s="47" t="s">
        <v>6118</v>
      </c>
      <c r="I46" s="47" t="s">
        <v>14</v>
      </c>
      <c r="J46" s="47" t="s">
        <v>1868</v>
      </c>
      <c r="K46" s="153"/>
    </row>
    <row r="47" spans="1:11" x14ac:dyDescent="0.3">
      <c r="A47" s="47" t="s">
        <v>6119</v>
      </c>
      <c r="B47" s="47" t="s">
        <v>6109</v>
      </c>
      <c r="C47" s="47" t="s">
        <v>6120</v>
      </c>
      <c r="D47" s="47" t="s">
        <v>13</v>
      </c>
      <c r="E47" s="47" t="s">
        <v>43</v>
      </c>
      <c r="F47" s="47" t="s">
        <v>6121</v>
      </c>
      <c r="G47" s="47" t="s">
        <v>6122</v>
      </c>
      <c r="H47" s="47" t="s">
        <v>6123</v>
      </c>
      <c r="I47" s="47" t="s">
        <v>6124</v>
      </c>
      <c r="J47" s="47" t="s">
        <v>1852</v>
      </c>
      <c r="K47" s="153"/>
    </row>
    <row r="48" spans="1:11" x14ac:dyDescent="0.3">
      <c r="A48" s="47" t="s">
        <v>6125</v>
      </c>
      <c r="B48" s="47" t="s">
        <v>6109</v>
      </c>
      <c r="C48" s="47" t="s">
        <v>6126</v>
      </c>
      <c r="D48" s="47" t="s">
        <v>13</v>
      </c>
      <c r="E48" s="47" t="s">
        <v>43</v>
      </c>
      <c r="F48" s="47" t="s">
        <v>6127</v>
      </c>
      <c r="G48" s="47" t="s">
        <v>6122</v>
      </c>
      <c r="H48" s="47" t="s">
        <v>6128</v>
      </c>
      <c r="I48" s="47" t="s">
        <v>14</v>
      </c>
      <c r="J48" s="47" t="s">
        <v>1868</v>
      </c>
      <c r="K48" s="153"/>
    </row>
    <row r="49" spans="1:11" x14ac:dyDescent="0.3">
      <c r="A49" s="47" t="s">
        <v>6129</v>
      </c>
      <c r="B49" s="47" t="s">
        <v>6109</v>
      </c>
      <c r="C49" s="47" t="s">
        <v>6130</v>
      </c>
      <c r="D49" s="47" t="s">
        <v>13</v>
      </c>
      <c r="E49" s="47" t="s">
        <v>42</v>
      </c>
      <c r="F49" s="47" t="s">
        <v>6131</v>
      </c>
      <c r="G49" s="47" t="s">
        <v>6122</v>
      </c>
      <c r="H49" s="47" t="s">
        <v>6132</v>
      </c>
      <c r="I49" s="47" t="s">
        <v>6133</v>
      </c>
      <c r="J49" s="47" t="s">
        <v>1852</v>
      </c>
      <c r="K49" s="153"/>
    </row>
    <row r="50" spans="1:11" x14ac:dyDescent="0.3">
      <c r="A50" s="47" t="s">
        <v>6134</v>
      </c>
      <c r="B50" s="47" t="s">
        <v>6109</v>
      </c>
      <c r="C50" s="47" t="s">
        <v>6135</v>
      </c>
      <c r="D50" s="47" t="s">
        <v>13</v>
      </c>
      <c r="E50" s="47" t="s">
        <v>42</v>
      </c>
      <c r="F50" s="47" t="s">
        <v>6136</v>
      </c>
      <c r="G50" s="47" t="s">
        <v>6122</v>
      </c>
      <c r="H50" s="47" t="s">
        <v>6137</v>
      </c>
      <c r="I50" s="47" t="s">
        <v>14</v>
      </c>
      <c r="J50" s="47" t="s">
        <v>1868</v>
      </c>
      <c r="K50" s="153"/>
    </row>
    <row r="51" spans="1:11" x14ac:dyDescent="0.3">
      <c r="A51" s="47" t="s">
        <v>6138</v>
      </c>
      <c r="B51" s="47" t="s">
        <v>6109</v>
      </c>
      <c r="C51" s="47" t="s">
        <v>6139</v>
      </c>
      <c r="D51" s="47" t="s">
        <v>13</v>
      </c>
      <c r="E51" s="47" t="s">
        <v>58</v>
      </c>
      <c r="F51" s="47" t="s">
        <v>6140</v>
      </c>
      <c r="G51" s="47" t="s">
        <v>3565</v>
      </c>
      <c r="H51" s="47" t="s">
        <v>6141</v>
      </c>
      <c r="I51" s="47" t="s">
        <v>6142</v>
      </c>
      <c r="J51" s="47" t="s">
        <v>1852</v>
      </c>
      <c r="K51" s="153"/>
    </row>
    <row r="52" spans="1:11" x14ac:dyDescent="0.3">
      <c r="A52" s="47" t="s">
        <v>6143</v>
      </c>
      <c r="B52" s="47" t="s">
        <v>6109</v>
      </c>
      <c r="C52" s="47" t="s">
        <v>6144</v>
      </c>
      <c r="D52" s="47" t="s">
        <v>13</v>
      </c>
      <c r="E52" s="47" t="s">
        <v>464</v>
      </c>
      <c r="F52" s="47" t="s">
        <v>6145</v>
      </c>
      <c r="G52" s="47" t="s">
        <v>6146</v>
      </c>
      <c r="H52" s="47" t="s">
        <v>6147</v>
      </c>
      <c r="I52" s="47" t="s">
        <v>6148</v>
      </c>
      <c r="J52" s="47" t="s">
        <v>1852</v>
      </c>
      <c r="K52" s="153"/>
    </row>
    <row r="53" spans="1:11" x14ac:dyDescent="0.3">
      <c r="A53" s="47" t="s">
        <v>6149</v>
      </c>
      <c r="B53" s="47" t="s">
        <v>6109</v>
      </c>
      <c r="C53" s="47" t="s">
        <v>6150</v>
      </c>
      <c r="D53" s="47" t="s">
        <v>13</v>
      </c>
      <c r="E53" s="47" t="s">
        <v>464</v>
      </c>
      <c r="F53" s="47" t="s">
        <v>6151</v>
      </c>
      <c r="G53" s="47" t="s">
        <v>6146</v>
      </c>
      <c r="H53" s="47" t="s">
        <v>6152</v>
      </c>
      <c r="I53" s="47" t="s">
        <v>6153</v>
      </c>
      <c r="J53" s="47" t="s">
        <v>1852</v>
      </c>
      <c r="K53" s="153"/>
    </row>
    <row r="54" spans="1:11" x14ac:dyDescent="0.3">
      <c r="A54" s="47" t="s">
        <v>6154</v>
      </c>
      <c r="B54" s="47" t="s">
        <v>6109</v>
      </c>
      <c r="C54" s="47" t="s">
        <v>6155</v>
      </c>
      <c r="D54" s="47" t="s">
        <v>21</v>
      </c>
      <c r="E54" s="47" t="s">
        <v>464</v>
      </c>
      <c r="F54" s="47" t="s">
        <v>6156</v>
      </c>
      <c r="G54" s="47" t="s">
        <v>6157</v>
      </c>
      <c r="H54" s="47" t="s">
        <v>6158</v>
      </c>
      <c r="I54" s="47" t="s">
        <v>6159</v>
      </c>
      <c r="J54" s="47" t="s">
        <v>1852</v>
      </c>
      <c r="K54" s="153"/>
    </row>
    <row r="55" spans="1:11" x14ac:dyDescent="0.3">
      <c r="A55" s="47" t="s">
        <v>6160</v>
      </c>
      <c r="B55" s="47" t="s">
        <v>6109</v>
      </c>
      <c r="C55" s="47" t="s">
        <v>6161</v>
      </c>
      <c r="D55" s="47" t="s">
        <v>13</v>
      </c>
      <c r="E55" s="47" t="s">
        <v>473</v>
      </c>
      <c r="F55" s="47" t="s">
        <v>6162</v>
      </c>
      <c r="G55" s="47" t="s">
        <v>6163</v>
      </c>
      <c r="H55" s="47" t="s">
        <v>6164</v>
      </c>
      <c r="I55" s="47" t="s">
        <v>14</v>
      </c>
      <c r="J55" s="47" t="s">
        <v>1852</v>
      </c>
      <c r="K55" s="153"/>
    </row>
    <row r="56" spans="1:11" x14ac:dyDescent="0.3">
      <c r="A56" s="47" t="s">
        <v>6165</v>
      </c>
      <c r="B56" s="47" t="s">
        <v>6109</v>
      </c>
      <c r="C56" s="47" t="s">
        <v>6166</v>
      </c>
      <c r="D56" s="47" t="s">
        <v>13</v>
      </c>
      <c r="E56" s="47" t="s">
        <v>473</v>
      </c>
      <c r="F56" s="47" t="s">
        <v>6167</v>
      </c>
      <c r="G56" s="47" t="s">
        <v>6163</v>
      </c>
      <c r="H56" s="47" t="s">
        <v>6168</v>
      </c>
      <c r="I56" s="47" t="s">
        <v>14</v>
      </c>
      <c r="J56" s="47" t="s">
        <v>1852</v>
      </c>
      <c r="K56" s="153"/>
    </row>
    <row r="57" spans="1:11" x14ac:dyDescent="0.3">
      <c r="A57" s="47" t="s">
        <v>6169</v>
      </c>
      <c r="B57" s="47" t="s">
        <v>6109</v>
      </c>
      <c r="C57" s="47" t="s">
        <v>6170</v>
      </c>
      <c r="D57" s="47" t="s">
        <v>13</v>
      </c>
      <c r="E57" s="47" t="s">
        <v>473</v>
      </c>
      <c r="F57" s="47" t="s">
        <v>6171</v>
      </c>
      <c r="G57" s="47" t="s">
        <v>6163</v>
      </c>
      <c r="H57" s="47" t="s">
        <v>6172</v>
      </c>
      <c r="I57" s="47" t="s">
        <v>14</v>
      </c>
      <c r="J57" s="47" t="s">
        <v>1852</v>
      </c>
      <c r="K57" s="153"/>
    </row>
    <row r="58" spans="1:11" x14ac:dyDescent="0.3">
      <c r="A58" s="47" t="s">
        <v>6173</v>
      </c>
      <c r="B58" s="47" t="s">
        <v>6109</v>
      </c>
      <c r="C58" s="47" t="s">
        <v>6174</v>
      </c>
      <c r="D58" s="47" t="s">
        <v>13</v>
      </c>
      <c r="E58" s="47" t="s">
        <v>477</v>
      </c>
      <c r="F58" s="47" t="s">
        <v>6175</v>
      </c>
      <c r="G58" s="47" t="s">
        <v>6176</v>
      </c>
      <c r="H58" s="47" t="s">
        <v>6177</v>
      </c>
      <c r="I58" s="47" t="s">
        <v>14</v>
      </c>
      <c r="J58" s="47" t="s">
        <v>1852</v>
      </c>
      <c r="K58" s="153"/>
    </row>
    <row r="59" spans="1:11" x14ac:dyDescent="0.3">
      <c r="A59" s="47" t="s">
        <v>6178</v>
      </c>
      <c r="B59" s="47" t="s">
        <v>6109</v>
      </c>
      <c r="C59" s="47" t="s">
        <v>6179</v>
      </c>
      <c r="D59" s="47" t="s">
        <v>13</v>
      </c>
      <c r="E59" s="47" t="s">
        <v>477</v>
      </c>
      <c r="F59" s="47" t="s">
        <v>6180</v>
      </c>
      <c r="G59" s="47" t="s">
        <v>6176</v>
      </c>
      <c r="H59" s="47" t="s">
        <v>6181</v>
      </c>
      <c r="I59" s="47" t="s">
        <v>14</v>
      </c>
      <c r="J59" s="47" t="s">
        <v>1852</v>
      </c>
      <c r="K59" s="153"/>
    </row>
    <row r="60" spans="1:11" x14ac:dyDescent="0.3">
      <c r="A60" s="47" t="s">
        <v>6182</v>
      </c>
      <c r="B60" s="47" t="s">
        <v>6109</v>
      </c>
      <c r="C60" s="47" t="s">
        <v>6183</v>
      </c>
      <c r="D60" s="47" t="s">
        <v>13</v>
      </c>
      <c r="E60" s="47" t="s">
        <v>482</v>
      </c>
      <c r="F60" s="47" t="s">
        <v>6184</v>
      </c>
      <c r="G60" s="47" t="s">
        <v>6185</v>
      </c>
      <c r="H60" s="47" t="s">
        <v>6186</v>
      </c>
      <c r="I60" s="47" t="s">
        <v>6187</v>
      </c>
      <c r="J60" s="47" t="s">
        <v>1852</v>
      </c>
      <c r="K60" s="153"/>
    </row>
    <row r="61" spans="1:11" x14ac:dyDescent="0.3">
      <c r="A61" s="47" t="s">
        <v>6188</v>
      </c>
      <c r="B61" s="47" t="s">
        <v>6109</v>
      </c>
      <c r="C61" s="47" t="s">
        <v>6189</v>
      </c>
      <c r="D61" s="47" t="s">
        <v>13</v>
      </c>
      <c r="E61" s="47" t="s">
        <v>482</v>
      </c>
      <c r="F61" s="47" t="s">
        <v>6190</v>
      </c>
      <c r="G61" s="47" t="s">
        <v>6185</v>
      </c>
      <c r="H61" s="47" t="s">
        <v>6191</v>
      </c>
      <c r="I61" s="47" t="s">
        <v>14</v>
      </c>
      <c r="J61" s="47" t="s">
        <v>1868</v>
      </c>
      <c r="K61" s="153"/>
    </row>
    <row r="62" spans="1:11" x14ac:dyDescent="0.3">
      <c r="A62" s="47" t="s">
        <v>6192</v>
      </c>
      <c r="B62" s="47" t="s">
        <v>6109</v>
      </c>
      <c r="C62" s="47" t="s">
        <v>6193</v>
      </c>
      <c r="D62" s="47" t="s">
        <v>13</v>
      </c>
      <c r="E62" s="47" t="s">
        <v>482</v>
      </c>
      <c r="F62" s="47" t="s">
        <v>6194</v>
      </c>
      <c r="G62" s="47" t="s">
        <v>6185</v>
      </c>
      <c r="H62" s="47" t="s">
        <v>6195</v>
      </c>
      <c r="I62" s="47" t="s">
        <v>14</v>
      </c>
      <c r="J62" s="47" t="s">
        <v>1868</v>
      </c>
      <c r="K62" s="153"/>
    </row>
    <row r="63" spans="1:11" x14ac:dyDescent="0.3">
      <c r="A63" s="47" t="s">
        <v>6196</v>
      </c>
      <c r="B63" s="47" t="s">
        <v>6109</v>
      </c>
      <c r="C63" s="47" t="s">
        <v>6197</v>
      </c>
      <c r="D63" s="47" t="s">
        <v>13</v>
      </c>
      <c r="E63" s="47" t="s">
        <v>486</v>
      </c>
      <c r="F63" s="47" t="s">
        <v>6198</v>
      </c>
      <c r="G63" s="47" t="s">
        <v>6199</v>
      </c>
      <c r="H63" s="47" t="s">
        <v>6200</v>
      </c>
      <c r="I63" s="47" t="s">
        <v>6201</v>
      </c>
      <c r="J63" s="47" t="s">
        <v>1852</v>
      </c>
      <c r="K63" s="162"/>
    </row>
    <row r="64" spans="1:11" x14ac:dyDescent="0.3">
      <c r="A64" s="47" t="s">
        <v>6202</v>
      </c>
      <c r="B64" s="47" t="s">
        <v>6109</v>
      </c>
      <c r="C64" s="47" t="s">
        <v>6203</v>
      </c>
      <c r="D64" s="47" t="s">
        <v>21</v>
      </c>
      <c r="E64" s="47" t="s">
        <v>486</v>
      </c>
      <c r="F64" s="47" t="s">
        <v>6204</v>
      </c>
      <c r="G64" s="47" t="s">
        <v>6199</v>
      </c>
      <c r="H64" s="47" t="s">
        <v>6205</v>
      </c>
      <c r="I64" s="47" t="s">
        <v>14</v>
      </c>
      <c r="J64" s="47" t="s">
        <v>1868</v>
      </c>
      <c r="K64" s="153"/>
    </row>
    <row r="65" spans="1:11" x14ac:dyDescent="0.3">
      <c r="A65" s="47" t="s">
        <v>6206</v>
      </c>
      <c r="B65" s="47" t="s">
        <v>6109</v>
      </c>
      <c r="C65" s="47" t="s">
        <v>6207</v>
      </c>
      <c r="D65" s="47" t="s">
        <v>13</v>
      </c>
      <c r="E65" s="47" t="s">
        <v>44</v>
      </c>
      <c r="F65" s="47" t="s">
        <v>6208</v>
      </c>
      <c r="G65" s="47" t="s">
        <v>6176</v>
      </c>
      <c r="H65" s="47" t="s">
        <v>6209</v>
      </c>
      <c r="I65" s="47" t="s">
        <v>6210</v>
      </c>
      <c r="J65" s="47" t="s">
        <v>1852</v>
      </c>
      <c r="K65" s="153"/>
    </row>
    <row r="66" spans="1:11" x14ac:dyDescent="0.3">
      <c r="A66" s="47" t="s">
        <v>6211</v>
      </c>
      <c r="B66" s="47" t="s">
        <v>6109</v>
      </c>
      <c r="C66" s="47" t="s">
        <v>6212</v>
      </c>
      <c r="D66" s="47" t="s">
        <v>13</v>
      </c>
      <c r="E66" s="47" t="s">
        <v>44</v>
      </c>
      <c r="F66" s="47" t="s">
        <v>6213</v>
      </c>
      <c r="G66" s="47" t="s">
        <v>6176</v>
      </c>
      <c r="H66" s="47" t="s">
        <v>6214</v>
      </c>
      <c r="I66" s="47" t="s">
        <v>14</v>
      </c>
      <c r="J66" s="47" t="s">
        <v>1852</v>
      </c>
      <c r="K66" s="153"/>
    </row>
    <row r="67" spans="1:11" x14ac:dyDescent="0.3">
      <c r="A67" s="47" t="s">
        <v>6215</v>
      </c>
      <c r="B67" s="47" t="s">
        <v>6109</v>
      </c>
      <c r="C67" s="47" t="s">
        <v>6216</v>
      </c>
      <c r="D67" s="47" t="s">
        <v>21</v>
      </c>
      <c r="E67" s="47" t="s">
        <v>46</v>
      </c>
      <c r="F67" s="47" t="s">
        <v>6217</v>
      </c>
      <c r="G67" s="47" t="s">
        <v>6218</v>
      </c>
      <c r="H67" s="47" t="s">
        <v>6219</v>
      </c>
      <c r="I67" s="47" t="s">
        <v>6220</v>
      </c>
      <c r="J67" s="47" t="s">
        <v>1852</v>
      </c>
      <c r="K67" s="153"/>
    </row>
    <row r="68" spans="1:11" x14ac:dyDescent="0.3">
      <c r="A68" s="47" t="s">
        <v>6221</v>
      </c>
      <c r="B68" s="47" t="s">
        <v>6109</v>
      </c>
      <c r="C68" s="47" t="s">
        <v>6222</v>
      </c>
      <c r="D68" s="47" t="s">
        <v>13</v>
      </c>
      <c r="E68" s="47" t="s">
        <v>46</v>
      </c>
      <c r="F68" s="47" t="s">
        <v>6223</v>
      </c>
      <c r="G68" s="47" t="s">
        <v>6218</v>
      </c>
      <c r="H68" s="47" t="s">
        <v>6224</v>
      </c>
      <c r="I68" s="47" t="s">
        <v>14</v>
      </c>
      <c r="J68" s="47" t="s">
        <v>1868</v>
      </c>
      <c r="K68" s="153"/>
    </row>
    <row r="69" spans="1:11" x14ac:dyDescent="0.3">
      <c r="A69" s="40" t="s">
        <v>6225</v>
      </c>
      <c r="B69" s="40" t="s">
        <v>6226</v>
      </c>
      <c r="C69" s="40" t="s">
        <v>6227</v>
      </c>
      <c r="D69" s="40" t="s">
        <v>13</v>
      </c>
      <c r="E69" s="40" t="s">
        <v>3674</v>
      </c>
      <c r="F69" s="40" t="s">
        <v>6228</v>
      </c>
      <c r="G69" s="40" t="s">
        <v>6229</v>
      </c>
      <c r="H69" s="40" t="s">
        <v>6230</v>
      </c>
      <c r="I69" s="40" t="s">
        <v>14</v>
      </c>
      <c r="J69" s="40" t="s">
        <v>1852</v>
      </c>
      <c r="K69" s="153"/>
    </row>
    <row r="70" spans="1:11" x14ac:dyDescent="0.3">
      <c r="A70" s="40" t="s">
        <v>6231</v>
      </c>
      <c r="B70" s="40" t="s">
        <v>6226</v>
      </c>
      <c r="C70" s="40" t="s">
        <v>6232</v>
      </c>
      <c r="D70" s="40" t="s">
        <v>13</v>
      </c>
      <c r="E70" s="40" t="s">
        <v>3674</v>
      </c>
      <c r="F70" s="40" t="s">
        <v>6233</v>
      </c>
      <c r="G70" s="40" t="s">
        <v>6234</v>
      </c>
      <c r="H70" s="40" t="s">
        <v>6235</v>
      </c>
      <c r="I70" s="40" t="s">
        <v>14</v>
      </c>
      <c r="J70" s="40" t="s">
        <v>1852</v>
      </c>
      <c r="K70" s="153"/>
    </row>
    <row r="71" spans="1:11" x14ac:dyDescent="0.3">
      <c r="A71" s="40" t="s">
        <v>6236</v>
      </c>
      <c r="B71" s="40" t="s">
        <v>6226</v>
      </c>
      <c r="C71" s="40" t="s">
        <v>6237</v>
      </c>
      <c r="D71" s="40" t="s">
        <v>13</v>
      </c>
      <c r="E71" s="40" t="s">
        <v>3674</v>
      </c>
      <c r="F71" s="40" t="s">
        <v>6238</v>
      </c>
      <c r="G71" s="40" t="s">
        <v>6239</v>
      </c>
      <c r="H71" s="40" t="s">
        <v>6240</v>
      </c>
      <c r="I71" s="40" t="s">
        <v>6241</v>
      </c>
      <c r="J71" s="40" t="s">
        <v>1852</v>
      </c>
      <c r="K71" s="153"/>
    </row>
    <row r="72" spans="1:11" x14ac:dyDescent="0.3">
      <c r="A72" s="40" t="s">
        <v>6242</v>
      </c>
      <c r="B72" s="40" t="s">
        <v>6226</v>
      </c>
      <c r="C72" s="40" t="s">
        <v>6243</v>
      </c>
      <c r="D72" s="40" t="s">
        <v>13</v>
      </c>
      <c r="E72" s="40" t="s">
        <v>3674</v>
      </c>
      <c r="F72" s="40" t="s">
        <v>6244</v>
      </c>
      <c r="G72" s="40" t="s">
        <v>6245</v>
      </c>
      <c r="H72" s="40" t="s">
        <v>6246</v>
      </c>
      <c r="I72" s="40" t="s">
        <v>6247</v>
      </c>
      <c r="J72" s="40" t="s">
        <v>1852</v>
      </c>
      <c r="K72" s="153"/>
    </row>
    <row r="73" spans="1:11" x14ac:dyDescent="0.3">
      <c r="A73" s="40" t="s">
        <v>6248</v>
      </c>
      <c r="B73" s="40" t="s">
        <v>6226</v>
      </c>
      <c r="C73" s="40" t="s">
        <v>5121</v>
      </c>
      <c r="D73" s="40" t="s">
        <v>13</v>
      </c>
      <c r="E73" s="40" t="s">
        <v>3674</v>
      </c>
      <c r="F73" s="40" t="s">
        <v>6249</v>
      </c>
      <c r="G73" s="40" t="s">
        <v>6250</v>
      </c>
      <c r="H73" s="40" t="s">
        <v>6251</v>
      </c>
      <c r="I73" s="40" t="s">
        <v>6252</v>
      </c>
      <c r="J73" s="40" t="s">
        <v>1852</v>
      </c>
      <c r="K73" s="153"/>
    </row>
    <row r="74" spans="1:11" x14ac:dyDescent="0.3">
      <c r="A74" s="40" t="s">
        <v>6253</v>
      </c>
      <c r="B74" s="40" t="s">
        <v>6226</v>
      </c>
      <c r="C74" s="40" t="s">
        <v>5131</v>
      </c>
      <c r="D74" s="40" t="s">
        <v>13</v>
      </c>
      <c r="E74" s="40" t="s">
        <v>3674</v>
      </c>
      <c r="F74" s="40" t="s">
        <v>6254</v>
      </c>
      <c r="G74" s="40" t="s">
        <v>6255</v>
      </c>
      <c r="H74" s="40" t="s">
        <v>6256</v>
      </c>
      <c r="I74" s="40" t="s">
        <v>14</v>
      </c>
      <c r="J74" s="40" t="s">
        <v>1852</v>
      </c>
      <c r="K74" s="153"/>
    </row>
    <row r="75" spans="1:11" x14ac:dyDescent="0.3">
      <c r="A75" s="40" t="s">
        <v>6257</v>
      </c>
      <c r="B75" s="40" t="s">
        <v>6226</v>
      </c>
      <c r="C75" s="40" t="s">
        <v>6258</v>
      </c>
      <c r="D75" s="40" t="s">
        <v>13</v>
      </c>
      <c r="E75" s="40" t="s">
        <v>3674</v>
      </c>
      <c r="F75" s="40" t="s">
        <v>6259</v>
      </c>
      <c r="G75" s="40" t="s">
        <v>6260</v>
      </c>
      <c r="H75" s="40" t="s">
        <v>6240</v>
      </c>
      <c r="I75" s="40" t="s">
        <v>14</v>
      </c>
      <c r="J75" s="40" t="s">
        <v>1852</v>
      </c>
      <c r="K75" s="153"/>
    </row>
    <row r="76" spans="1:11" x14ac:dyDescent="0.3">
      <c r="A76" s="40" t="s">
        <v>6261</v>
      </c>
      <c r="B76" s="40" t="s">
        <v>6226</v>
      </c>
      <c r="C76" s="40" t="s">
        <v>6262</v>
      </c>
      <c r="D76" s="40" t="s">
        <v>13</v>
      </c>
      <c r="E76" s="40" t="s">
        <v>3674</v>
      </c>
      <c r="F76" s="40" t="s">
        <v>6263</v>
      </c>
      <c r="G76" s="40" t="s">
        <v>6264</v>
      </c>
      <c r="H76" s="40" t="s">
        <v>6265</v>
      </c>
      <c r="I76" s="40" t="s">
        <v>14</v>
      </c>
      <c r="J76" s="40" t="s">
        <v>1852</v>
      </c>
      <c r="K76" s="153"/>
    </row>
    <row r="77" spans="1:11" x14ac:dyDescent="0.3">
      <c r="A77" s="40" t="s">
        <v>6266</v>
      </c>
      <c r="B77" s="40" t="s">
        <v>6226</v>
      </c>
      <c r="C77" s="40" t="s">
        <v>6267</v>
      </c>
      <c r="D77" s="40" t="s">
        <v>10</v>
      </c>
      <c r="E77" s="40" t="s">
        <v>3674</v>
      </c>
      <c r="F77" s="40" t="s">
        <v>6233</v>
      </c>
      <c r="G77" s="40" t="s">
        <v>6268</v>
      </c>
      <c r="H77" s="40" t="s">
        <v>5189</v>
      </c>
      <c r="I77" s="40" t="s">
        <v>6269</v>
      </c>
      <c r="J77" s="40" t="s">
        <v>1852</v>
      </c>
      <c r="K77" s="153"/>
    </row>
    <row r="78" spans="1:11" x14ac:dyDescent="0.3">
      <c r="A78" s="40" t="s">
        <v>6270</v>
      </c>
      <c r="B78" s="40" t="s">
        <v>6226</v>
      </c>
      <c r="C78" s="40" t="s">
        <v>6271</v>
      </c>
      <c r="D78" s="40" t="s">
        <v>10</v>
      </c>
      <c r="E78" s="40" t="s">
        <v>3674</v>
      </c>
      <c r="F78" s="40" t="s">
        <v>6272</v>
      </c>
      <c r="G78" s="40" t="s">
        <v>4857</v>
      </c>
      <c r="H78" s="40" t="s">
        <v>6273</v>
      </c>
      <c r="I78" s="40" t="s">
        <v>6274</v>
      </c>
      <c r="J78" s="40" t="s">
        <v>1852</v>
      </c>
      <c r="K78" s="153"/>
    </row>
    <row r="79" spans="1:11" x14ac:dyDescent="0.3">
      <c r="A79" s="40" t="s">
        <v>6275</v>
      </c>
      <c r="B79" s="40" t="s">
        <v>6226</v>
      </c>
      <c r="C79" s="40" t="s">
        <v>6276</v>
      </c>
      <c r="D79" s="40" t="s">
        <v>10</v>
      </c>
      <c r="E79" s="40" t="s">
        <v>3674</v>
      </c>
      <c r="F79" s="40" t="s">
        <v>6277</v>
      </c>
      <c r="G79" s="40" t="s">
        <v>4857</v>
      </c>
      <c r="H79" s="40" t="s">
        <v>6278</v>
      </c>
      <c r="I79" s="40" t="s">
        <v>6279</v>
      </c>
      <c r="J79" s="40" t="s">
        <v>1852</v>
      </c>
      <c r="K79" s="153"/>
    </row>
    <row r="80" spans="1:11" x14ac:dyDescent="0.3">
      <c r="A80" s="40" t="s">
        <v>6280</v>
      </c>
      <c r="B80" s="40" t="s">
        <v>6226</v>
      </c>
      <c r="C80" s="40" t="s">
        <v>6281</v>
      </c>
      <c r="D80" s="40" t="s">
        <v>13</v>
      </c>
      <c r="E80" s="40" t="s">
        <v>6282</v>
      </c>
      <c r="F80" s="40" t="s">
        <v>6283</v>
      </c>
      <c r="G80" s="40" t="s">
        <v>6284</v>
      </c>
      <c r="H80" s="40" t="s">
        <v>6285</v>
      </c>
      <c r="I80" s="40" t="s">
        <v>14</v>
      </c>
      <c r="J80" s="40" t="s">
        <v>1852</v>
      </c>
      <c r="K80" s="153"/>
    </row>
    <row r="81" spans="1:11" x14ac:dyDescent="0.3">
      <c r="A81" s="40" t="s">
        <v>6286</v>
      </c>
      <c r="B81" s="40" t="s">
        <v>6226</v>
      </c>
      <c r="C81" s="40" t="s">
        <v>6287</v>
      </c>
      <c r="D81" s="40" t="s">
        <v>13</v>
      </c>
      <c r="E81" s="40" t="s">
        <v>6282</v>
      </c>
      <c r="F81" s="40" t="s">
        <v>6288</v>
      </c>
      <c r="G81" s="40" t="s">
        <v>6289</v>
      </c>
      <c r="H81" s="40" t="s">
        <v>6290</v>
      </c>
      <c r="I81" s="40" t="s">
        <v>14</v>
      </c>
      <c r="J81" s="40" t="s">
        <v>1852</v>
      </c>
      <c r="K81" s="153"/>
    </row>
    <row r="82" spans="1:11" x14ac:dyDescent="0.3">
      <c r="A82" s="40" t="s">
        <v>6291</v>
      </c>
      <c r="B82" s="40" t="s">
        <v>6226</v>
      </c>
      <c r="C82" s="40" t="s">
        <v>6292</v>
      </c>
      <c r="D82" s="40" t="s">
        <v>13</v>
      </c>
      <c r="E82" s="40" t="s">
        <v>43</v>
      </c>
      <c r="F82" s="40" t="s">
        <v>6293</v>
      </c>
      <c r="G82" s="40" t="s">
        <v>6294</v>
      </c>
      <c r="H82" s="40" t="s">
        <v>6295</v>
      </c>
      <c r="I82" s="40" t="s">
        <v>6296</v>
      </c>
      <c r="J82" s="40" t="s">
        <v>1852</v>
      </c>
      <c r="K82" s="153"/>
    </row>
    <row r="83" spans="1:11" x14ac:dyDescent="0.3">
      <c r="A83" s="40" t="s">
        <v>6297</v>
      </c>
      <c r="B83" s="40" t="s">
        <v>6226</v>
      </c>
      <c r="C83" s="40" t="s">
        <v>6298</v>
      </c>
      <c r="D83" s="40" t="s">
        <v>21</v>
      </c>
      <c r="E83" s="40" t="s">
        <v>6282</v>
      </c>
      <c r="F83" s="40" t="s">
        <v>6299</v>
      </c>
      <c r="G83" s="40" t="s">
        <v>6300</v>
      </c>
      <c r="H83" s="40" t="s">
        <v>6301</v>
      </c>
      <c r="I83" s="40" t="s">
        <v>14</v>
      </c>
      <c r="J83" s="40" t="s">
        <v>1868</v>
      </c>
      <c r="K83" s="153"/>
    </row>
    <row r="84" spans="1:11" x14ac:dyDescent="0.3">
      <c r="A84" s="40" t="s">
        <v>6302</v>
      </c>
      <c r="B84" s="40" t="s">
        <v>6226</v>
      </c>
      <c r="C84" s="40" t="s">
        <v>6303</v>
      </c>
      <c r="D84" s="40" t="s">
        <v>13</v>
      </c>
      <c r="E84" s="40" t="s">
        <v>43</v>
      </c>
      <c r="F84" s="40" t="s">
        <v>6304</v>
      </c>
      <c r="G84" s="40" t="s">
        <v>3381</v>
      </c>
      <c r="H84" s="40" t="s">
        <v>6305</v>
      </c>
      <c r="I84" s="40" t="s">
        <v>14</v>
      </c>
      <c r="J84" s="40" t="s">
        <v>1868</v>
      </c>
      <c r="K84" s="153"/>
    </row>
    <row r="85" spans="1:11" ht="57.6" x14ac:dyDescent="0.3">
      <c r="A85" s="40" t="s">
        <v>6306</v>
      </c>
      <c r="B85" s="40" t="s">
        <v>6226</v>
      </c>
      <c r="C85" s="40" t="s">
        <v>6307</v>
      </c>
      <c r="D85" s="40" t="s">
        <v>13</v>
      </c>
      <c r="E85" s="40" t="s">
        <v>43</v>
      </c>
      <c r="F85" s="40" t="s">
        <v>6308</v>
      </c>
      <c r="G85" s="40" t="s">
        <v>6309</v>
      </c>
      <c r="H85" s="40" t="s">
        <v>6310</v>
      </c>
      <c r="I85" s="40" t="s">
        <v>6311</v>
      </c>
      <c r="J85" s="40" t="s">
        <v>1852</v>
      </c>
      <c r="K85" s="154" t="s">
        <v>12859</v>
      </c>
    </row>
    <row r="86" spans="1:11" x14ac:dyDescent="0.3">
      <c r="A86" s="40" t="s">
        <v>6312</v>
      </c>
      <c r="B86" s="40" t="s">
        <v>6226</v>
      </c>
      <c r="C86" s="40" t="s">
        <v>6313</v>
      </c>
      <c r="D86" s="40" t="s">
        <v>10</v>
      </c>
      <c r="E86" s="40" t="s">
        <v>6282</v>
      </c>
      <c r="F86" s="40" t="s">
        <v>6314</v>
      </c>
      <c r="G86" s="40" t="s">
        <v>6315</v>
      </c>
      <c r="H86" s="40" t="s">
        <v>6316</v>
      </c>
      <c r="I86" s="40" t="s">
        <v>6317</v>
      </c>
      <c r="J86" s="40" t="s">
        <v>1852</v>
      </c>
      <c r="K86" s="153"/>
    </row>
    <row r="87" spans="1:11" x14ac:dyDescent="0.3">
      <c r="A87" s="40" t="s">
        <v>6318</v>
      </c>
      <c r="B87" s="40" t="s">
        <v>6226</v>
      </c>
      <c r="C87" s="40" t="s">
        <v>6319</v>
      </c>
      <c r="D87" s="40" t="s">
        <v>13</v>
      </c>
      <c r="E87" s="40" t="s">
        <v>6282</v>
      </c>
      <c r="F87" s="40" t="s">
        <v>6314</v>
      </c>
      <c r="G87" s="40" t="s">
        <v>6320</v>
      </c>
      <c r="H87" s="40" t="s">
        <v>6321</v>
      </c>
      <c r="I87" s="40" t="s">
        <v>14</v>
      </c>
      <c r="J87" s="40" t="s">
        <v>1852</v>
      </c>
      <c r="K87" s="153"/>
    </row>
    <row r="88" spans="1:11" x14ac:dyDescent="0.3">
      <c r="A88" s="40" t="s">
        <v>6322</v>
      </c>
      <c r="B88" s="40" t="s">
        <v>6226</v>
      </c>
      <c r="C88" s="40" t="s">
        <v>6323</v>
      </c>
      <c r="D88" s="40" t="s">
        <v>13</v>
      </c>
      <c r="E88" s="40" t="s">
        <v>6282</v>
      </c>
      <c r="F88" s="40" t="s">
        <v>6324</v>
      </c>
      <c r="G88" s="40" t="s">
        <v>6325</v>
      </c>
      <c r="H88" s="40" t="s">
        <v>6326</v>
      </c>
      <c r="I88" s="40" t="s">
        <v>14</v>
      </c>
      <c r="J88" s="40" t="s">
        <v>1852</v>
      </c>
      <c r="K88" s="153"/>
    </row>
    <row r="89" spans="1:11" x14ac:dyDescent="0.3">
      <c r="A89" s="40" t="s">
        <v>6327</v>
      </c>
      <c r="B89" s="40" t="s">
        <v>6226</v>
      </c>
      <c r="C89" s="40" t="s">
        <v>6328</v>
      </c>
      <c r="D89" s="40" t="s">
        <v>21</v>
      </c>
      <c r="E89" s="40" t="s">
        <v>6282</v>
      </c>
      <c r="F89" s="40" t="s">
        <v>6329</v>
      </c>
      <c r="G89" s="40" t="s">
        <v>6330</v>
      </c>
      <c r="H89" s="40" t="s">
        <v>6331</v>
      </c>
      <c r="I89" s="40" t="s">
        <v>6332</v>
      </c>
      <c r="J89" s="40" t="s">
        <v>1852</v>
      </c>
      <c r="K89" s="153"/>
    </row>
    <row r="90" spans="1:11" x14ac:dyDescent="0.3">
      <c r="A90" s="40" t="s">
        <v>6333</v>
      </c>
      <c r="B90" s="40" t="s">
        <v>6226</v>
      </c>
      <c r="C90" s="40" t="s">
        <v>6334</v>
      </c>
      <c r="D90" s="40" t="s">
        <v>21</v>
      </c>
      <c r="E90" s="40" t="s">
        <v>6282</v>
      </c>
      <c r="F90" s="40" t="s">
        <v>6335</v>
      </c>
      <c r="G90" s="40" t="s">
        <v>6336</v>
      </c>
      <c r="H90" s="40" t="s">
        <v>6337</v>
      </c>
      <c r="I90" s="40" t="s">
        <v>6338</v>
      </c>
      <c r="J90" s="40" t="s">
        <v>1852</v>
      </c>
      <c r="K90" s="153"/>
    </row>
    <row r="91" spans="1:11" x14ac:dyDescent="0.3">
      <c r="A91" s="46" t="s">
        <v>6339</v>
      </c>
      <c r="B91" s="46" t="s">
        <v>6340</v>
      </c>
      <c r="C91" s="46" t="s">
        <v>6341</v>
      </c>
      <c r="D91" s="46" t="s">
        <v>13</v>
      </c>
      <c r="E91" s="46" t="s">
        <v>761</v>
      </c>
      <c r="F91" s="46" t="s">
        <v>6342</v>
      </c>
      <c r="G91" s="46" t="s">
        <v>6343</v>
      </c>
      <c r="H91" s="46" t="s">
        <v>6344</v>
      </c>
      <c r="I91" s="46" t="s">
        <v>6345</v>
      </c>
      <c r="J91" s="46" t="s">
        <v>1852</v>
      </c>
      <c r="K91" s="153"/>
    </row>
    <row r="92" spans="1:11" x14ac:dyDescent="0.3">
      <c r="A92" s="46" t="s">
        <v>6346</v>
      </c>
      <c r="B92" s="46" t="s">
        <v>6340</v>
      </c>
      <c r="C92" s="46" t="s">
        <v>6347</v>
      </c>
      <c r="D92" s="46" t="s">
        <v>13</v>
      </c>
      <c r="E92" s="46" t="s">
        <v>762</v>
      </c>
      <c r="F92" s="46" t="s">
        <v>6348</v>
      </c>
      <c r="G92" s="46" t="s">
        <v>6349</v>
      </c>
      <c r="H92" s="46" t="s">
        <v>6350</v>
      </c>
      <c r="I92" s="46" t="s">
        <v>14</v>
      </c>
      <c r="J92" s="46" t="s">
        <v>1852</v>
      </c>
      <c r="K92" s="153"/>
    </row>
    <row r="93" spans="1:11" x14ac:dyDescent="0.3">
      <c r="A93" s="46" t="s">
        <v>6351</v>
      </c>
      <c r="B93" s="46" t="s">
        <v>6340</v>
      </c>
      <c r="C93" s="46" t="s">
        <v>6352</v>
      </c>
      <c r="D93" s="46" t="s">
        <v>13</v>
      </c>
      <c r="E93" s="46" t="s">
        <v>762</v>
      </c>
      <c r="F93" s="46" t="s">
        <v>6353</v>
      </c>
      <c r="G93" s="46" t="s">
        <v>6354</v>
      </c>
      <c r="H93" s="46" t="s">
        <v>6355</v>
      </c>
      <c r="I93" s="46" t="s">
        <v>14</v>
      </c>
      <c r="J93" s="46" t="s">
        <v>1852</v>
      </c>
      <c r="K93" s="153"/>
    </row>
    <row r="94" spans="1:11" x14ac:dyDescent="0.3">
      <c r="A94" s="46" t="s">
        <v>6356</v>
      </c>
      <c r="B94" s="46" t="s">
        <v>6340</v>
      </c>
      <c r="C94" s="46" t="s">
        <v>6357</v>
      </c>
      <c r="D94" s="46" t="s">
        <v>21</v>
      </c>
      <c r="E94" s="46" t="s">
        <v>765</v>
      </c>
      <c r="F94" s="46" t="s">
        <v>6358</v>
      </c>
      <c r="G94" s="46" t="s">
        <v>6359</v>
      </c>
      <c r="H94" s="46" t="s">
        <v>6360</v>
      </c>
      <c r="I94" s="46" t="s">
        <v>6361</v>
      </c>
      <c r="J94" s="46" t="s">
        <v>1852</v>
      </c>
      <c r="K94" s="153"/>
    </row>
    <row r="95" spans="1:11" x14ac:dyDescent="0.3">
      <c r="A95" s="46" t="s">
        <v>6362</v>
      </c>
      <c r="B95" s="46" t="s">
        <v>6340</v>
      </c>
      <c r="C95" s="46" t="s">
        <v>6363</v>
      </c>
      <c r="D95" s="46" t="s">
        <v>21</v>
      </c>
      <c r="E95" s="46" t="s">
        <v>765</v>
      </c>
      <c r="F95" s="46" t="s">
        <v>6364</v>
      </c>
      <c r="G95" s="46" t="s">
        <v>6359</v>
      </c>
      <c r="H95" s="46" t="s">
        <v>6365</v>
      </c>
      <c r="I95" s="46" t="s">
        <v>14</v>
      </c>
      <c r="J95" s="46" t="s">
        <v>1868</v>
      </c>
      <c r="K95" s="153"/>
    </row>
    <row r="96" spans="1:11" x14ac:dyDescent="0.3">
      <c r="A96" s="46" t="s">
        <v>6366</v>
      </c>
      <c r="B96" s="46" t="s">
        <v>6340</v>
      </c>
      <c r="C96" s="46" t="s">
        <v>6367</v>
      </c>
      <c r="D96" s="46" t="s">
        <v>13</v>
      </c>
      <c r="E96" s="46" t="s">
        <v>767</v>
      </c>
      <c r="F96" s="46" t="s">
        <v>6368</v>
      </c>
      <c r="G96" s="46" t="s">
        <v>6369</v>
      </c>
      <c r="H96" s="46" t="s">
        <v>6370</v>
      </c>
      <c r="I96" s="46" t="s">
        <v>6371</v>
      </c>
      <c r="J96" s="46" t="s">
        <v>1852</v>
      </c>
      <c r="K96" s="153"/>
    </row>
    <row r="97" spans="1:11" x14ac:dyDescent="0.3">
      <c r="A97" s="46" t="s">
        <v>6372</v>
      </c>
      <c r="B97" s="46" t="s">
        <v>6340</v>
      </c>
      <c r="C97" s="46" t="s">
        <v>6373</v>
      </c>
      <c r="D97" s="46" t="s">
        <v>13</v>
      </c>
      <c r="E97" s="46" t="s">
        <v>767</v>
      </c>
      <c r="F97" s="46" t="s">
        <v>6374</v>
      </c>
      <c r="G97" s="46" t="s">
        <v>6375</v>
      </c>
      <c r="H97" s="46" t="s">
        <v>6376</v>
      </c>
      <c r="I97" s="46" t="s">
        <v>14</v>
      </c>
      <c r="J97" s="46" t="s">
        <v>1852</v>
      </c>
      <c r="K97" s="153"/>
    </row>
    <row r="98" spans="1:11" x14ac:dyDescent="0.3">
      <c r="A98" s="46" t="s">
        <v>6377</v>
      </c>
      <c r="B98" s="46" t="s">
        <v>6340</v>
      </c>
      <c r="C98" s="46" t="s">
        <v>6378</v>
      </c>
      <c r="D98" s="46" t="s">
        <v>13</v>
      </c>
      <c r="E98" s="46" t="s">
        <v>767</v>
      </c>
      <c r="F98" s="46" t="s">
        <v>6379</v>
      </c>
      <c r="G98" s="46" t="s">
        <v>6380</v>
      </c>
      <c r="H98" s="46" t="s">
        <v>6381</v>
      </c>
      <c r="I98" s="46" t="s">
        <v>6382</v>
      </c>
      <c r="J98" s="46" t="s">
        <v>1852</v>
      </c>
      <c r="K98" s="153"/>
    </row>
    <row r="99" spans="1:11" x14ac:dyDescent="0.3">
      <c r="A99" s="46" t="s">
        <v>6383</v>
      </c>
      <c r="B99" s="46" t="s">
        <v>6340</v>
      </c>
      <c r="C99" s="46" t="s">
        <v>6384</v>
      </c>
      <c r="D99" s="46" t="s">
        <v>13</v>
      </c>
      <c r="E99" s="46" t="s">
        <v>771</v>
      </c>
      <c r="F99" s="46" t="s">
        <v>6385</v>
      </c>
      <c r="G99" s="46" t="s">
        <v>6386</v>
      </c>
      <c r="H99" s="46" t="s">
        <v>6387</v>
      </c>
      <c r="I99" s="46" t="s">
        <v>6388</v>
      </c>
      <c r="J99" s="46" t="s">
        <v>1852</v>
      </c>
      <c r="K99" s="153"/>
    </row>
    <row r="100" spans="1:11" x14ac:dyDescent="0.3">
      <c r="A100" s="46" t="s">
        <v>6389</v>
      </c>
      <c r="B100" s="46" t="s">
        <v>6340</v>
      </c>
      <c r="C100" s="46" t="s">
        <v>6390</v>
      </c>
      <c r="D100" s="46" t="s">
        <v>13</v>
      </c>
      <c r="E100" s="46" t="s">
        <v>771</v>
      </c>
      <c r="F100" s="46" t="s">
        <v>6391</v>
      </c>
      <c r="G100" s="46" t="s">
        <v>6392</v>
      </c>
      <c r="H100" s="46" t="s">
        <v>6393</v>
      </c>
      <c r="I100" s="46" t="s">
        <v>14</v>
      </c>
      <c r="J100" s="46" t="s">
        <v>1852</v>
      </c>
      <c r="K100" s="153"/>
    </row>
    <row r="101" spans="1:11" x14ac:dyDescent="0.3">
      <c r="A101" s="46" t="s">
        <v>6394</v>
      </c>
      <c r="B101" s="46" t="s">
        <v>6340</v>
      </c>
      <c r="C101" s="46" t="s">
        <v>13430</v>
      </c>
      <c r="D101" s="46" t="s">
        <v>13</v>
      </c>
      <c r="E101" s="46" t="s">
        <v>786</v>
      </c>
      <c r="F101" s="46" t="s">
        <v>6395</v>
      </c>
      <c r="G101" s="46" t="s">
        <v>6396</v>
      </c>
      <c r="H101" s="46" t="s">
        <v>6397</v>
      </c>
      <c r="I101" s="46" t="s">
        <v>6398</v>
      </c>
      <c r="J101" s="46" t="s">
        <v>1852</v>
      </c>
      <c r="K101" s="156"/>
    </row>
    <row r="102" spans="1:11" x14ac:dyDescent="0.3">
      <c r="A102" s="46" t="s">
        <v>6399</v>
      </c>
      <c r="B102" s="46" t="s">
        <v>6340</v>
      </c>
      <c r="C102" s="46" t="s">
        <v>13431</v>
      </c>
      <c r="D102" s="46" t="s">
        <v>13</v>
      </c>
      <c r="E102" s="46" t="s">
        <v>786</v>
      </c>
      <c r="F102" s="46" t="s">
        <v>6400</v>
      </c>
      <c r="G102" s="46" t="s">
        <v>6157</v>
      </c>
      <c r="H102" s="46" t="s">
        <v>6401</v>
      </c>
      <c r="I102" s="46" t="s">
        <v>14</v>
      </c>
      <c r="J102" s="46" t="s">
        <v>1868</v>
      </c>
      <c r="K102" s="153"/>
    </row>
    <row r="103" spans="1:11" x14ac:dyDescent="0.3">
      <c r="A103" s="46" t="s">
        <v>6402</v>
      </c>
      <c r="B103" s="46" t="s">
        <v>6340</v>
      </c>
      <c r="C103" s="46" t="s">
        <v>13432</v>
      </c>
      <c r="D103" s="46" t="s">
        <v>13</v>
      </c>
      <c r="E103" s="46" t="s">
        <v>776</v>
      </c>
      <c r="F103" s="46" t="s">
        <v>6403</v>
      </c>
      <c r="G103" s="46" t="s">
        <v>6404</v>
      </c>
      <c r="H103" s="46" t="s">
        <v>6405</v>
      </c>
      <c r="I103" s="46" t="s">
        <v>6406</v>
      </c>
      <c r="J103" s="46" t="s">
        <v>1868</v>
      </c>
      <c r="K103" s="153"/>
    </row>
    <row r="104" spans="1:11" x14ac:dyDescent="0.3">
      <c r="A104" s="46" t="s">
        <v>6407</v>
      </c>
      <c r="B104" s="46" t="s">
        <v>6340</v>
      </c>
      <c r="C104" s="46" t="s">
        <v>13433</v>
      </c>
      <c r="D104" s="46" t="s">
        <v>10</v>
      </c>
      <c r="E104" s="46" t="s">
        <v>776</v>
      </c>
      <c r="F104" s="46" t="s">
        <v>6408</v>
      </c>
      <c r="G104" s="46" t="s">
        <v>6404</v>
      </c>
      <c r="H104" s="46" t="s">
        <v>6409</v>
      </c>
      <c r="I104" s="46" t="s">
        <v>6410</v>
      </c>
      <c r="J104" s="46" t="s">
        <v>1852</v>
      </c>
      <c r="K104" s="153"/>
    </row>
    <row r="105" spans="1:11" x14ac:dyDescent="0.3">
      <c r="A105" s="46" t="s">
        <v>6411</v>
      </c>
      <c r="B105" s="46" t="s">
        <v>6340</v>
      </c>
      <c r="C105" s="46" t="s">
        <v>13425</v>
      </c>
      <c r="D105" s="46" t="s">
        <v>13</v>
      </c>
      <c r="E105" s="46" t="s">
        <v>796</v>
      </c>
      <c r="F105" s="46" t="s">
        <v>6412</v>
      </c>
      <c r="G105" s="46" t="s">
        <v>6413</v>
      </c>
      <c r="H105" s="46" t="s">
        <v>6414</v>
      </c>
      <c r="I105" s="46" t="s">
        <v>14</v>
      </c>
      <c r="J105" s="46" t="s">
        <v>1852</v>
      </c>
      <c r="K105" s="153"/>
    </row>
    <row r="106" spans="1:11" x14ac:dyDescent="0.3">
      <c r="A106" s="46" t="s">
        <v>6415</v>
      </c>
      <c r="B106" s="46" t="s">
        <v>6340</v>
      </c>
      <c r="C106" s="46" t="s">
        <v>13426</v>
      </c>
      <c r="D106" s="46" t="s">
        <v>13</v>
      </c>
      <c r="E106" s="46" t="s">
        <v>13398</v>
      </c>
      <c r="F106" s="46" t="s">
        <v>6416</v>
      </c>
      <c r="G106" s="46" t="s">
        <v>6369</v>
      </c>
      <c r="H106" s="46" t="s">
        <v>6417</v>
      </c>
      <c r="I106" s="46" t="s">
        <v>6418</v>
      </c>
      <c r="J106" s="46" t="s">
        <v>1852</v>
      </c>
      <c r="K106" s="153"/>
    </row>
    <row r="107" spans="1:11" x14ac:dyDescent="0.3">
      <c r="A107" s="46" t="s">
        <v>6419</v>
      </c>
      <c r="B107" s="46" t="s">
        <v>6340</v>
      </c>
      <c r="C107" s="46" t="s">
        <v>13508</v>
      </c>
      <c r="D107" s="46" t="s">
        <v>13</v>
      </c>
      <c r="E107" s="46" t="s">
        <v>3014</v>
      </c>
      <c r="F107" s="46" t="s">
        <v>13509</v>
      </c>
      <c r="G107" s="46" t="s">
        <v>13510</v>
      </c>
      <c r="H107" s="46" t="s">
        <v>13511</v>
      </c>
      <c r="I107" s="46" t="s">
        <v>14</v>
      </c>
      <c r="J107" s="46" t="s">
        <v>1852</v>
      </c>
      <c r="K107" s="153"/>
    </row>
    <row r="108" spans="1:11" x14ac:dyDescent="0.3">
      <c r="A108" s="46" t="s">
        <v>6420</v>
      </c>
      <c r="B108" s="46" t="s">
        <v>6340</v>
      </c>
      <c r="C108" s="46" t="s">
        <v>13512</v>
      </c>
      <c r="D108" s="46" t="s">
        <v>13</v>
      </c>
      <c r="E108" s="46" t="s">
        <v>3014</v>
      </c>
      <c r="F108" s="46" t="s">
        <v>13513</v>
      </c>
      <c r="G108" s="46" t="s">
        <v>13514</v>
      </c>
      <c r="H108" s="46" t="s">
        <v>13515</v>
      </c>
      <c r="I108" s="46" t="s">
        <v>14</v>
      </c>
      <c r="J108" s="46" t="s">
        <v>1852</v>
      </c>
      <c r="K108" s="153"/>
    </row>
    <row r="109" spans="1:11" x14ac:dyDescent="0.3">
      <c r="A109" s="46" t="s">
        <v>6421</v>
      </c>
      <c r="B109" s="46" t="s">
        <v>6340</v>
      </c>
      <c r="C109" s="46" t="s">
        <v>13516</v>
      </c>
      <c r="D109" s="46" t="s">
        <v>13</v>
      </c>
      <c r="E109" s="46" t="s">
        <v>3020</v>
      </c>
      <c r="F109" s="46" t="s">
        <v>13517</v>
      </c>
      <c r="G109" s="46" t="s">
        <v>13518</v>
      </c>
      <c r="H109" s="46" t="s">
        <v>13519</v>
      </c>
      <c r="I109" s="46" t="s">
        <v>14</v>
      </c>
      <c r="J109" s="46" t="s">
        <v>1868</v>
      </c>
      <c r="K109" s="153"/>
    </row>
    <row r="110" spans="1:11" x14ac:dyDescent="0.3">
      <c r="A110" s="46" t="s">
        <v>6422</v>
      </c>
      <c r="B110" s="46" t="s">
        <v>6340</v>
      </c>
      <c r="C110" s="46" t="s">
        <v>13520</v>
      </c>
      <c r="D110" s="46" t="s">
        <v>13</v>
      </c>
      <c r="E110" s="46" t="s">
        <v>3020</v>
      </c>
      <c r="F110" s="46" t="s">
        <v>13521</v>
      </c>
      <c r="G110" s="46" t="s">
        <v>13518</v>
      </c>
      <c r="H110" s="46" t="s">
        <v>13522</v>
      </c>
      <c r="I110" s="46" t="s">
        <v>14</v>
      </c>
      <c r="J110" s="46" t="s">
        <v>1868</v>
      </c>
      <c r="K110" s="153"/>
    </row>
    <row r="111" spans="1:11" x14ac:dyDescent="0.3">
      <c r="A111" s="46" t="s">
        <v>6423</v>
      </c>
      <c r="B111" s="46" t="s">
        <v>6340</v>
      </c>
      <c r="C111" s="46" t="s">
        <v>6424</v>
      </c>
      <c r="D111" s="46" t="s">
        <v>13</v>
      </c>
      <c r="E111" s="46" t="s">
        <v>761</v>
      </c>
      <c r="F111" s="46" t="s">
        <v>6425</v>
      </c>
      <c r="G111" s="46" t="s">
        <v>6157</v>
      </c>
      <c r="H111" s="46" t="s">
        <v>6426</v>
      </c>
      <c r="I111" s="46" t="s">
        <v>6427</v>
      </c>
      <c r="J111" s="46" t="s">
        <v>1852</v>
      </c>
      <c r="K111" s="153"/>
    </row>
    <row r="112" spans="1:11" x14ac:dyDescent="0.3">
      <c r="A112" s="46" t="s">
        <v>6428</v>
      </c>
      <c r="B112" s="46" t="s">
        <v>6340</v>
      </c>
      <c r="C112" s="46" t="s">
        <v>6429</v>
      </c>
      <c r="D112" s="46" t="s">
        <v>13</v>
      </c>
      <c r="E112" s="46" t="s">
        <v>761</v>
      </c>
      <c r="F112" s="46" t="s">
        <v>6430</v>
      </c>
      <c r="G112" s="46" t="s">
        <v>6157</v>
      </c>
      <c r="H112" s="46" t="s">
        <v>6431</v>
      </c>
      <c r="I112" s="46" t="s">
        <v>6432</v>
      </c>
      <c r="J112" s="46" t="s">
        <v>1852</v>
      </c>
      <c r="K112" s="153"/>
    </row>
    <row r="113" spans="1:11" x14ac:dyDescent="0.3">
      <c r="A113" s="90" t="s">
        <v>6433</v>
      </c>
      <c r="B113" s="90" t="s">
        <v>6434</v>
      </c>
      <c r="C113" s="90" t="s">
        <v>6435</v>
      </c>
      <c r="D113" s="90" t="s">
        <v>13</v>
      </c>
      <c r="E113" s="90" t="s">
        <v>842</v>
      </c>
      <c r="F113" s="90" t="s">
        <v>6436</v>
      </c>
      <c r="G113" s="90" t="s">
        <v>6437</v>
      </c>
      <c r="H113" s="90" t="s">
        <v>5479</v>
      </c>
      <c r="I113" s="90" t="s">
        <v>6438</v>
      </c>
      <c r="J113" s="90" t="s">
        <v>1852</v>
      </c>
      <c r="K113" s="153"/>
    </row>
    <row r="114" spans="1:11" ht="28.8" x14ac:dyDescent="0.3">
      <c r="A114" s="90" t="s">
        <v>6439</v>
      </c>
      <c r="B114" s="90" t="s">
        <v>6434</v>
      </c>
      <c r="C114" s="90" t="s">
        <v>6440</v>
      </c>
      <c r="D114" s="90" t="s">
        <v>13</v>
      </c>
      <c r="E114" s="90" t="s">
        <v>842</v>
      </c>
      <c r="F114" s="90" t="s">
        <v>6441</v>
      </c>
      <c r="G114" s="90" t="s">
        <v>6442</v>
      </c>
      <c r="H114" s="90" t="s">
        <v>6443</v>
      </c>
      <c r="I114" s="90" t="s">
        <v>14</v>
      </c>
      <c r="J114" s="90" t="s">
        <v>1852</v>
      </c>
      <c r="K114" s="153" t="s">
        <v>13440</v>
      </c>
    </row>
    <row r="115" spans="1:11" x14ac:dyDescent="0.3">
      <c r="A115" s="90" t="s">
        <v>6444</v>
      </c>
      <c r="B115" s="90" t="s">
        <v>6434</v>
      </c>
      <c r="C115" s="90" t="s">
        <v>13434</v>
      </c>
      <c r="D115" s="90" t="s">
        <v>13</v>
      </c>
      <c r="E115" s="90" t="s">
        <v>857</v>
      </c>
      <c r="F115" s="90" t="s">
        <v>6445</v>
      </c>
      <c r="G115" s="90" t="s">
        <v>6446</v>
      </c>
      <c r="H115" s="90" t="s">
        <v>6447</v>
      </c>
      <c r="I115" s="90" t="s">
        <v>6448</v>
      </c>
      <c r="J115" s="90" t="s">
        <v>1852</v>
      </c>
      <c r="K115" s="153"/>
    </row>
    <row r="116" spans="1:11" x14ac:dyDescent="0.3">
      <c r="A116" s="90" t="s">
        <v>6449</v>
      </c>
      <c r="B116" s="90" t="s">
        <v>6434</v>
      </c>
      <c r="C116" s="90" t="s">
        <v>13427</v>
      </c>
      <c r="D116" s="90" t="s">
        <v>13</v>
      </c>
      <c r="E116" s="90" t="s">
        <v>862</v>
      </c>
      <c r="F116" s="90" t="s">
        <v>69</v>
      </c>
      <c r="G116" s="90" t="s">
        <v>6450</v>
      </c>
      <c r="H116" s="90" t="s">
        <v>6451</v>
      </c>
      <c r="I116" s="90" t="s">
        <v>6452</v>
      </c>
      <c r="J116" s="90" t="s">
        <v>1852</v>
      </c>
      <c r="K116" s="153"/>
    </row>
    <row r="117" spans="1:11" x14ac:dyDescent="0.3">
      <c r="A117" s="90" t="s">
        <v>6453</v>
      </c>
      <c r="B117" s="90" t="s">
        <v>6434</v>
      </c>
      <c r="C117" s="90" t="s">
        <v>13428</v>
      </c>
      <c r="D117" s="90" t="s">
        <v>13</v>
      </c>
      <c r="E117" s="90" t="s">
        <v>862</v>
      </c>
      <c r="F117" s="90" t="s">
        <v>70</v>
      </c>
      <c r="G117" s="90" t="s">
        <v>6454</v>
      </c>
      <c r="H117" s="90" t="s">
        <v>6455</v>
      </c>
      <c r="I117" s="90" t="s">
        <v>6456</v>
      </c>
      <c r="J117" s="90" t="s">
        <v>1852</v>
      </c>
      <c r="K117" s="153"/>
    </row>
    <row r="118" spans="1:11" x14ac:dyDescent="0.3">
      <c r="A118" s="90" t="s">
        <v>6457</v>
      </c>
      <c r="B118" s="90" t="s">
        <v>6434</v>
      </c>
      <c r="C118" s="90" t="s">
        <v>13435</v>
      </c>
      <c r="D118" s="90" t="s">
        <v>13</v>
      </c>
      <c r="E118" s="90" t="s">
        <v>845</v>
      </c>
      <c r="F118" s="90" t="s">
        <v>6458</v>
      </c>
      <c r="G118" s="90" t="s">
        <v>6459</v>
      </c>
      <c r="H118" s="90" t="s">
        <v>6460</v>
      </c>
      <c r="I118" s="90" t="s">
        <v>6461</v>
      </c>
      <c r="J118" s="90" t="s">
        <v>1852</v>
      </c>
      <c r="K118" s="153"/>
    </row>
    <row r="119" spans="1:11" x14ac:dyDescent="0.3">
      <c r="A119" s="90" t="s">
        <v>6462</v>
      </c>
      <c r="B119" s="90" t="s">
        <v>6434</v>
      </c>
      <c r="C119" s="90" t="s">
        <v>13436</v>
      </c>
      <c r="D119" s="90" t="s">
        <v>13</v>
      </c>
      <c r="E119" s="90" t="s">
        <v>2874</v>
      </c>
      <c r="F119" s="90" t="s">
        <v>13478</v>
      </c>
      <c r="G119" s="90" t="s">
        <v>13479</v>
      </c>
      <c r="H119" s="90" t="s">
        <v>13480</v>
      </c>
      <c r="I119" s="90" t="s">
        <v>14</v>
      </c>
      <c r="J119" s="90" t="s">
        <v>1868</v>
      </c>
      <c r="K119" s="153"/>
    </row>
    <row r="120" spans="1:11" x14ac:dyDescent="0.3">
      <c r="A120" s="90" t="s">
        <v>6463</v>
      </c>
      <c r="B120" s="90" t="s">
        <v>6434</v>
      </c>
      <c r="C120" s="90" t="s">
        <v>13429</v>
      </c>
      <c r="D120" s="90" t="s">
        <v>13</v>
      </c>
      <c r="E120" s="90" t="s">
        <v>872</v>
      </c>
      <c r="F120" s="90" t="s">
        <v>5283</v>
      </c>
      <c r="G120" s="90" t="s">
        <v>875</v>
      </c>
      <c r="H120" s="90" t="s">
        <v>6464</v>
      </c>
      <c r="I120" s="90" t="s">
        <v>6465</v>
      </c>
      <c r="J120" s="90" t="s">
        <v>1852</v>
      </c>
      <c r="K120" s="153"/>
    </row>
    <row r="121" spans="1:11" x14ac:dyDescent="0.3">
      <c r="A121" s="90" t="s">
        <v>6466</v>
      </c>
      <c r="B121" s="90" t="s">
        <v>6434</v>
      </c>
      <c r="C121" s="90" t="s">
        <v>13437</v>
      </c>
      <c r="D121" s="90" t="s">
        <v>13</v>
      </c>
      <c r="E121" s="90" t="s">
        <v>2879</v>
      </c>
      <c r="F121" s="90" t="s">
        <v>13485</v>
      </c>
      <c r="G121" s="90" t="s">
        <v>13486</v>
      </c>
      <c r="H121" s="90" t="s">
        <v>13487</v>
      </c>
      <c r="I121" s="90" t="s">
        <v>14</v>
      </c>
      <c r="J121" s="90" t="s">
        <v>1868</v>
      </c>
      <c r="K121" s="153"/>
    </row>
    <row r="122" spans="1:11" ht="28.8" x14ac:dyDescent="0.3">
      <c r="A122" s="90" t="s">
        <v>6467</v>
      </c>
      <c r="B122" s="90" t="s">
        <v>6434</v>
      </c>
      <c r="C122" s="90" t="s">
        <v>13438</v>
      </c>
      <c r="D122" s="90" t="s">
        <v>13</v>
      </c>
      <c r="E122" s="90" t="s">
        <v>842</v>
      </c>
      <c r="F122" s="90" t="s">
        <v>6468</v>
      </c>
      <c r="G122" s="90" t="s">
        <v>6469</v>
      </c>
      <c r="H122" s="90" t="s">
        <v>13882</v>
      </c>
      <c r="I122" s="90" t="s">
        <v>6470</v>
      </c>
      <c r="J122" s="90" t="s">
        <v>1852</v>
      </c>
      <c r="K122" s="153" t="s">
        <v>13574</v>
      </c>
    </row>
    <row r="123" spans="1:11" ht="28.8" x14ac:dyDescent="0.3">
      <c r="A123" s="90" t="s">
        <v>6471</v>
      </c>
      <c r="B123" s="90" t="s">
        <v>6434</v>
      </c>
      <c r="C123" s="90" t="s">
        <v>13439</v>
      </c>
      <c r="D123" s="90" t="s">
        <v>13</v>
      </c>
      <c r="E123" s="90" t="s">
        <v>842</v>
      </c>
      <c r="F123" s="90" t="s">
        <v>6472</v>
      </c>
      <c r="G123" s="90" t="s">
        <v>6469</v>
      </c>
      <c r="H123" s="90" t="s">
        <v>13883</v>
      </c>
      <c r="I123" s="90" t="s">
        <v>6473</v>
      </c>
      <c r="J123" s="90" t="s">
        <v>1852</v>
      </c>
      <c r="K123" s="153" t="s">
        <v>13578</v>
      </c>
    </row>
    <row r="124" spans="1:11" ht="57.6" x14ac:dyDescent="0.3">
      <c r="A124" s="90" t="s">
        <v>6474</v>
      </c>
      <c r="B124" s="90" t="s">
        <v>6434</v>
      </c>
      <c r="C124" s="90" t="s">
        <v>6475</v>
      </c>
      <c r="D124" s="90" t="s">
        <v>13</v>
      </c>
      <c r="E124" s="90" t="s">
        <v>6476</v>
      </c>
      <c r="F124" s="90" t="s">
        <v>6477</v>
      </c>
      <c r="G124" s="90" t="s">
        <v>6478</v>
      </c>
      <c r="H124" s="90" t="s">
        <v>6479</v>
      </c>
      <c r="I124" s="90" t="s">
        <v>14</v>
      </c>
      <c r="J124" s="90" t="s">
        <v>1852</v>
      </c>
      <c r="K124" s="156" t="s">
        <v>12860</v>
      </c>
    </row>
    <row r="125" spans="1:11" x14ac:dyDescent="0.3">
      <c r="A125" s="90" t="s">
        <v>6480</v>
      </c>
      <c r="B125" s="90" t="s">
        <v>6434</v>
      </c>
      <c r="C125" s="90" t="s">
        <v>6481</v>
      </c>
      <c r="D125" s="90" t="s">
        <v>13</v>
      </c>
      <c r="E125" s="90" t="s">
        <v>6476</v>
      </c>
      <c r="F125" s="90" t="s">
        <v>6482</v>
      </c>
      <c r="G125" s="90" t="s">
        <v>6483</v>
      </c>
      <c r="H125" s="90" t="s">
        <v>6484</v>
      </c>
      <c r="I125" s="90" t="s">
        <v>14</v>
      </c>
      <c r="J125" s="90" t="s">
        <v>1868</v>
      </c>
      <c r="K125" s="153"/>
    </row>
    <row r="126" spans="1:11" x14ac:dyDescent="0.3">
      <c r="A126" s="90" t="s">
        <v>6485</v>
      </c>
      <c r="B126" s="90" t="s">
        <v>6434</v>
      </c>
      <c r="C126" s="90" t="s">
        <v>6486</v>
      </c>
      <c r="D126" s="90" t="s">
        <v>13</v>
      </c>
      <c r="E126" s="90" t="s">
        <v>4204</v>
      </c>
      <c r="F126" s="90" t="s">
        <v>6487</v>
      </c>
      <c r="G126" s="90" t="s">
        <v>889</v>
      </c>
      <c r="H126" s="90" t="s">
        <v>6488</v>
      </c>
      <c r="I126" s="90" t="s">
        <v>14</v>
      </c>
      <c r="J126" s="90" t="s">
        <v>1868</v>
      </c>
      <c r="K126" s="153"/>
    </row>
    <row r="127" spans="1:11" x14ac:dyDescent="0.3">
      <c r="A127" s="90" t="s">
        <v>6489</v>
      </c>
      <c r="B127" s="90" t="s">
        <v>6434</v>
      </c>
      <c r="C127" s="90" t="s">
        <v>6490</v>
      </c>
      <c r="D127" s="90" t="s">
        <v>13</v>
      </c>
      <c r="E127" s="90" t="s">
        <v>4204</v>
      </c>
      <c r="F127" s="90" t="s">
        <v>6491</v>
      </c>
      <c r="G127" s="90" t="s">
        <v>6492</v>
      </c>
      <c r="H127" s="90" t="s">
        <v>6493</v>
      </c>
      <c r="I127" s="90" t="s">
        <v>14</v>
      </c>
      <c r="J127" s="90" t="s">
        <v>1868</v>
      </c>
      <c r="K127" s="153"/>
    </row>
    <row r="128" spans="1:11" x14ac:dyDescent="0.3">
      <c r="A128" s="90" t="s">
        <v>6494</v>
      </c>
      <c r="B128" s="90" t="s">
        <v>6434</v>
      </c>
      <c r="C128" s="90" t="s">
        <v>6495</v>
      </c>
      <c r="D128" s="90" t="s">
        <v>13</v>
      </c>
      <c r="E128" s="90" t="s">
        <v>4204</v>
      </c>
      <c r="F128" s="90" t="s">
        <v>6496</v>
      </c>
      <c r="G128" s="90" t="s">
        <v>6492</v>
      </c>
      <c r="H128" s="90" t="s">
        <v>6497</v>
      </c>
      <c r="I128" s="90" t="s">
        <v>14</v>
      </c>
      <c r="J128" s="90" t="s">
        <v>1852</v>
      </c>
      <c r="K128" s="153"/>
    </row>
    <row r="129" spans="1:11" x14ac:dyDescent="0.3">
      <c r="A129" s="90" t="s">
        <v>6498</v>
      </c>
      <c r="B129" s="90" t="s">
        <v>6434</v>
      </c>
      <c r="C129" s="90" t="s">
        <v>6499</v>
      </c>
      <c r="D129" s="90" t="s">
        <v>13</v>
      </c>
      <c r="E129" s="90" t="s">
        <v>4204</v>
      </c>
      <c r="F129" s="90" t="s">
        <v>6500</v>
      </c>
      <c r="G129" s="90" t="s">
        <v>6501</v>
      </c>
      <c r="H129" s="90" t="s">
        <v>6502</v>
      </c>
      <c r="I129" s="90" t="s">
        <v>6503</v>
      </c>
      <c r="J129" s="90" t="s">
        <v>1852</v>
      </c>
      <c r="K129" s="153"/>
    </row>
    <row r="130" spans="1:11" x14ac:dyDescent="0.3">
      <c r="A130" s="90" t="s">
        <v>6504</v>
      </c>
      <c r="B130" s="90" t="s">
        <v>6434</v>
      </c>
      <c r="C130" s="90" t="s">
        <v>6505</v>
      </c>
      <c r="D130" s="90" t="s">
        <v>13</v>
      </c>
      <c r="E130" s="90" t="s">
        <v>4204</v>
      </c>
      <c r="F130" s="90" t="s">
        <v>6506</v>
      </c>
      <c r="G130" s="90" t="s">
        <v>6442</v>
      </c>
      <c r="H130" s="90" t="s">
        <v>6507</v>
      </c>
      <c r="I130" s="90" t="s">
        <v>14</v>
      </c>
      <c r="J130" s="90" t="s">
        <v>1852</v>
      </c>
      <c r="K130" s="153"/>
    </row>
    <row r="131" spans="1:11" x14ac:dyDescent="0.3">
      <c r="A131" s="90" t="s">
        <v>6508</v>
      </c>
      <c r="B131" s="90" t="s">
        <v>6434</v>
      </c>
      <c r="C131" s="90" t="s">
        <v>6509</v>
      </c>
      <c r="D131" s="90" t="s">
        <v>13</v>
      </c>
      <c r="E131" s="90" t="s">
        <v>4204</v>
      </c>
      <c r="F131" s="90" t="s">
        <v>6510</v>
      </c>
      <c r="G131" s="90" t="s">
        <v>6511</v>
      </c>
      <c r="H131" s="90" t="s">
        <v>6512</v>
      </c>
      <c r="I131" s="90" t="s">
        <v>14</v>
      </c>
      <c r="J131" s="90" t="s">
        <v>1868</v>
      </c>
      <c r="K131" s="153"/>
    </row>
    <row r="132" spans="1:11" x14ac:dyDescent="0.3">
      <c r="A132" s="90" t="s">
        <v>6513</v>
      </c>
      <c r="B132" s="90" t="s">
        <v>6434</v>
      </c>
      <c r="C132" s="90" t="s">
        <v>6514</v>
      </c>
      <c r="D132" s="90" t="s">
        <v>13</v>
      </c>
      <c r="E132" s="90" t="s">
        <v>4204</v>
      </c>
      <c r="F132" s="90" t="s">
        <v>6515</v>
      </c>
      <c r="G132" s="90" t="s">
        <v>6516</v>
      </c>
      <c r="H132" s="90" t="s">
        <v>6517</v>
      </c>
      <c r="I132" s="90" t="s">
        <v>14</v>
      </c>
      <c r="J132" s="90" t="s">
        <v>1868</v>
      </c>
      <c r="K132" s="153"/>
    </row>
    <row r="133" spans="1:11" x14ac:dyDescent="0.3">
      <c r="A133" s="90" t="s">
        <v>6518</v>
      </c>
      <c r="B133" s="90" t="s">
        <v>6434</v>
      </c>
      <c r="C133" s="90" t="s">
        <v>6519</v>
      </c>
      <c r="D133" s="90" t="s">
        <v>13</v>
      </c>
      <c r="E133" s="90" t="s">
        <v>4204</v>
      </c>
      <c r="F133" s="90" t="s">
        <v>6520</v>
      </c>
      <c r="G133" s="90" t="s">
        <v>6521</v>
      </c>
      <c r="H133" s="90" t="s">
        <v>6522</v>
      </c>
      <c r="I133" s="90" t="s">
        <v>14</v>
      </c>
      <c r="J133" s="90" t="s">
        <v>1868</v>
      </c>
      <c r="K133" s="153"/>
    </row>
    <row r="134" spans="1:11" x14ac:dyDescent="0.3">
      <c r="A134" s="90" t="s">
        <v>6523</v>
      </c>
      <c r="B134" s="90" t="s">
        <v>6434</v>
      </c>
      <c r="C134" s="90" t="s">
        <v>6524</v>
      </c>
      <c r="D134" s="90" t="s">
        <v>10</v>
      </c>
      <c r="E134" s="90" t="s">
        <v>4204</v>
      </c>
      <c r="F134" s="90" t="s">
        <v>6525</v>
      </c>
      <c r="G134" s="90" t="s">
        <v>6526</v>
      </c>
      <c r="H134" s="90" t="s">
        <v>6527</v>
      </c>
      <c r="I134" s="90" t="s">
        <v>6524</v>
      </c>
      <c r="J134" s="90" t="s">
        <v>1852</v>
      </c>
      <c r="K134" s="153"/>
    </row>
    <row r="135" spans="1:11" x14ac:dyDescent="0.3">
      <c r="A135" s="91" t="s">
        <v>6528</v>
      </c>
      <c r="B135" s="91" t="s">
        <v>6529</v>
      </c>
      <c r="C135" s="91" t="s">
        <v>6530</v>
      </c>
      <c r="D135" s="91" t="s">
        <v>13</v>
      </c>
      <c r="E135" s="91" t="s">
        <v>6531</v>
      </c>
      <c r="F135" s="91" t="s">
        <v>6532</v>
      </c>
      <c r="G135" s="91" t="s">
        <v>6533</v>
      </c>
      <c r="H135" s="91" t="s">
        <v>6534</v>
      </c>
      <c r="I135" s="91" t="s">
        <v>14</v>
      </c>
      <c r="J135" s="91" t="s">
        <v>1852</v>
      </c>
      <c r="K135" s="153"/>
    </row>
    <row r="136" spans="1:11" x14ac:dyDescent="0.3">
      <c r="A136" s="91" t="s">
        <v>6535</v>
      </c>
      <c r="B136" s="91" t="s">
        <v>6529</v>
      </c>
      <c r="C136" s="91" t="s">
        <v>6536</v>
      </c>
      <c r="D136" s="91" t="s">
        <v>10</v>
      </c>
      <c r="E136" s="91" t="s">
        <v>6531</v>
      </c>
      <c r="F136" s="91" t="s">
        <v>6537</v>
      </c>
      <c r="G136" s="91" t="s">
        <v>6538</v>
      </c>
      <c r="H136" s="91" t="s">
        <v>6539</v>
      </c>
      <c r="I136" s="91" t="s">
        <v>6540</v>
      </c>
      <c r="J136" s="91" t="s">
        <v>1852</v>
      </c>
      <c r="K136" s="153"/>
    </row>
    <row r="137" spans="1:11" x14ac:dyDescent="0.3">
      <c r="A137" s="91" t="s">
        <v>6541</v>
      </c>
      <c r="B137" s="91" t="s">
        <v>6529</v>
      </c>
      <c r="C137" s="91" t="s">
        <v>13523</v>
      </c>
      <c r="D137" s="91" t="s">
        <v>13</v>
      </c>
      <c r="E137" s="91" t="s">
        <v>13473</v>
      </c>
      <c r="F137" s="91" t="s">
        <v>13524</v>
      </c>
      <c r="G137" s="91" t="s">
        <v>13525</v>
      </c>
      <c r="H137" s="91" t="s">
        <v>13526</v>
      </c>
      <c r="I137" s="91" t="s">
        <v>14</v>
      </c>
      <c r="J137" s="91" t="s">
        <v>1868</v>
      </c>
      <c r="K137" s="153"/>
    </row>
    <row r="138" spans="1:11" x14ac:dyDescent="0.3">
      <c r="A138" s="91" t="s">
        <v>6542</v>
      </c>
      <c r="B138" s="91" t="s">
        <v>6529</v>
      </c>
      <c r="C138" s="91" t="s">
        <v>6543</v>
      </c>
      <c r="D138" s="91" t="s">
        <v>13</v>
      </c>
      <c r="E138" s="91" t="s">
        <v>6531</v>
      </c>
      <c r="F138" s="91" t="s">
        <v>6544</v>
      </c>
      <c r="G138" s="91" t="s">
        <v>6545</v>
      </c>
      <c r="H138" s="91" t="s">
        <v>6546</v>
      </c>
      <c r="I138" s="91" t="s">
        <v>14</v>
      </c>
      <c r="J138" s="91" t="s">
        <v>1852</v>
      </c>
      <c r="K138" s="153"/>
    </row>
    <row r="139" spans="1:11" x14ac:dyDescent="0.3">
      <c r="A139" s="91" t="s">
        <v>6547</v>
      </c>
      <c r="B139" s="91" t="s">
        <v>6529</v>
      </c>
      <c r="C139" s="91" t="s">
        <v>6548</v>
      </c>
      <c r="D139" s="91" t="s">
        <v>10</v>
      </c>
      <c r="E139" s="91" t="s">
        <v>6531</v>
      </c>
      <c r="F139" s="91" t="s">
        <v>6549</v>
      </c>
      <c r="G139" s="91" t="s">
        <v>6550</v>
      </c>
      <c r="H139" s="91" t="s">
        <v>6551</v>
      </c>
      <c r="I139" s="91" t="s">
        <v>6552</v>
      </c>
      <c r="J139" s="91" t="s">
        <v>1852</v>
      </c>
      <c r="K139" s="153"/>
    </row>
    <row r="140" spans="1:11" x14ac:dyDescent="0.3">
      <c r="A140" s="91" t="s">
        <v>6553</v>
      </c>
      <c r="B140" s="91" t="s">
        <v>6529</v>
      </c>
      <c r="C140" s="91" t="s">
        <v>6554</v>
      </c>
      <c r="D140" s="91" t="s">
        <v>10</v>
      </c>
      <c r="E140" s="91" t="s">
        <v>6531</v>
      </c>
      <c r="F140" s="91" t="s">
        <v>6555</v>
      </c>
      <c r="G140" s="91" t="s">
        <v>6556</v>
      </c>
      <c r="H140" s="91" t="s">
        <v>6557</v>
      </c>
      <c r="I140" s="91" t="s">
        <v>6558</v>
      </c>
      <c r="J140" s="91" t="s">
        <v>1852</v>
      </c>
      <c r="K140" s="153"/>
    </row>
    <row r="141" spans="1:11" x14ac:dyDescent="0.3">
      <c r="A141" s="91" t="s">
        <v>6559</v>
      </c>
      <c r="B141" s="91" t="s">
        <v>6529</v>
      </c>
      <c r="C141" s="91" t="s">
        <v>6560</v>
      </c>
      <c r="D141" s="91" t="s">
        <v>13</v>
      </c>
      <c r="E141" s="91" t="s">
        <v>6531</v>
      </c>
      <c r="F141" s="91" t="s">
        <v>6561</v>
      </c>
      <c r="G141" s="91" t="s">
        <v>6562</v>
      </c>
      <c r="H141" s="91" t="s">
        <v>6563</v>
      </c>
      <c r="I141" s="91" t="s">
        <v>14</v>
      </c>
      <c r="J141" s="91" t="s">
        <v>1852</v>
      </c>
      <c r="K141" s="153"/>
    </row>
    <row r="142" spans="1:11" x14ac:dyDescent="0.3">
      <c r="A142" s="91" t="s">
        <v>6564</v>
      </c>
      <c r="B142" s="91" t="s">
        <v>6529</v>
      </c>
      <c r="C142" s="91" t="s">
        <v>6565</v>
      </c>
      <c r="D142" s="91" t="s">
        <v>13</v>
      </c>
      <c r="E142" s="91" t="s">
        <v>6476</v>
      </c>
      <c r="F142" s="91" t="s">
        <v>6566</v>
      </c>
      <c r="G142" s="91" t="s">
        <v>6567</v>
      </c>
      <c r="H142" s="91" t="s">
        <v>6568</v>
      </c>
      <c r="I142" s="91" t="s">
        <v>14</v>
      </c>
      <c r="J142" s="91" t="s">
        <v>1852</v>
      </c>
      <c r="K142" s="153"/>
    </row>
    <row r="143" spans="1:11" x14ac:dyDescent="0.3">
      <c r="A143" s="91" t="s">
        <v>6569</v>
      </c>
      <c r="B143" s="91" t="s">
        <v>6529</v>
      </c>
      <c r="C143" s="91" t="s">
        <v>6570</v>
      </c>
      <c r="D143" s="91" t="s">
        <v>13</v>
      </c>
      <c r="E143" s="91" t="s">
        <v>6531</v>
      </c>
      <c r="F143" s="91" t="s">
        <v>6571</v>
      </c>
      <c r="G143" s="91" t="s">
        <v>6572</v>
      </c>
      <c r="H143" s="91" t="s">
        <v>6573</v>
      </c>
      <c r="I143" s="91" t="s">
        <v>6574</v>
      </c>
      <c r="J143" s="91" t="s">
        <v>1852</v>
      </c>
      <c r="K143" s="153"/>
    </row>
    <row r="144" spans="1:11" x14ac:dyDescent="0.3">
      <c r="A144" s="91" t="s">
        <v>6575</v>
      </c>
      <c r="B144" s="91" t="s">
        <v>6529</v>
      </c>
      <c r="C144" s="91" t="s">
        <v>6576</v>
      </c>
      <c r="D144" s="91" t="s">
        <v>13</v>
      </c>
      <c r="E144" s="91" t="s">
        <v>43</v>
      </c>
      <c r="F144" s="91" t="s">
        <v>6577</v>
      </c>
      <c r="G144" s="91" t="s">
        <v>6578</v>
      </c>
      <c r="H144" s="91" t="s">
        <v>6579</v>
      </c>
      <c r="I144" s="91" t="s">
        <v>14</v>
      </c>
      <c r="J144" s="91" t="s">
        <v>1852</v>
      </c>
      <c r="K144" s="153"/>
    </row>
    <row r="145" spans="1:11" x14ac:dyDescent="0.3">
      <c r="A145" s="91" t="s">
        <v>6580</v>
      </c>
      <c r="B145" s="91" t="s">
        <v>6529</v>
      </c>
      <c r="C145" s="91" t="s">
        <v>6581</v>
      </c>
      <c r="D145" s="91" t="s">
        <v>10</v>
      </c>
      <c r="E145" s="91" t="s">
        <v>6531</v>
      </c>
      <c r="F145" s="91" t="s">
        <v>6582</v>
      </c>
      <c r="G145" s="91" t="s">
        <v>6583</v>
      </c>
      <c r="H145" s="91" t="s">
        <v>6584</v>
      </c>
      <c r="I145" s="91" t="s">
        <v>6585</v>
      </c>
      <c r="J145" s="91" t="s">
        <v>1852</v>
      </c>
      <c r="K145" s="153"/>
    </row>
    <row r="146" spans="1:11" x14ac:dyDescent="0.3">
      <c r="A146" s="91" t="s">
        <v>6586</v>
      </c>
      <c r="B146" s="91" t="s">
        <v>6529</v>
      </c>
      <c r="C146" s="91" t="s">
        <v>6587</v>
      </c>
      <c r="D146" s="91" t="s">
        <v>13</v>
      </c>
      <c r="E146" s="91" t="s">
        <v>6588</v>
      </c>
      <c r="F146" s="91" t="s">
        <v>6589</v>
      </c>
      <c r="G146" s="91" t="s">
        <v>6590</v>
      </c>
      <c r="H146" s="91" t="s">
        <v>6591</v>
      </c>
      <c r="I146" s="91" t="s">
        <v>14</v>
      </c>
      <c r="J146" s="91" t="s">
        <v>1868</v>
      </c>
      <c r="K146" s="153"/>
    </row>
    <row r="147" spans="1:11" x14ac:dyDescent="0.3">
      <c r="A147" s="91" t="s">
        <v>6592</v>
      </c>
      <c r="B147" s="91" t="s">
        <v>6529</v>
      </c>
      <c r="C147" s="91" t="s">
        <v>6593</v>
      </c>
      <c r="D147" s="91" t="s">
        <v>13</v>
      </c>
      <c r="E147" s="91" t="s">
        <v>6588</v>
      </c>
      <c r="F147" s="91" t="s">
        <v>6594</v>
      </c>
      <c r="G147" s="91" t="s">
        <v>6595</v>
      </c>
      <c r="H147" s="91" t="s">
        <v>6596</v>
      </c>
      <c r="I147" s="91" t="s">
        <v>14</v>
      </c>
      <c r="J147" s="91" t="s">
        <v>1868</v>
      </c>
      <c r="K147" s="153"/>
    </row>
    <row r="148" spans="1:11" x14ac:dyDescent="0.3">
      <c r="A148" s="91" t="s">
        <v>6597</v>
      </c>
      <c r="B148" s="91" t="s">
        <v>6529</v>
      </c>
      <c r="C148" s="91" t="s">
        <v>6598</v>
      </c>
      <c r="D148" s="91" t="s">
        <v>13</v>
      </c>
      <c r="E148" s="91" t="s">
        <v>6588</v>
      </c>
      <c r="F148" s="91" t="s">
        <v>6599</v>
      </c>
      <c r="G148" s="91" t="s">
        <v>6600</v>
      </c>
      <c r="H148" s="91" t="s">
        <v>6601</v>
      </c>
      <c r="I148" s="91" t="s">
        <v>14</v>
      </c>
      <c r="J148" s="91" t="s">
        <v>1868</v>
      </c>
      <c r="K148" s="153"/>
    </row>
    <row r="149" spans="1:11" x14ac:dyDescent="0.3">
      <c r="A149" s="91" t="s">
        <v>6602</v>
      </c>
      <c r="B149" s="91" t="s">
        <v>6529</v>
      </c>
      <c r="C149" s="91" t="s">
        <v>6603</v>
      </c>
      <c r="D149" s="91" t="s">
        <v>13</v>
      </c>
      <c r="E149" s="91" t="s">
        <v>6588</v>
      </c>
      <c r="F149" s="91" t="s">
        <v>6604</v>
      </c>
      <c r="G149" s="91" t="s">
        <v>6605</v>
      </c>
      <c r="H149" s="91" t="s">
        <v>6606</v>
      </c>
      <c r="I149" s="91" t="s">
        <v>14</v>
      </c>
      <c r="J149" s="91" t="s">
        <v>1868</v>
      </c>
      <c r="K149" s="153"/>
    </row>
    <row r="150" spans="1:11" x14ac:dyDescent="0.3">
      <c r="A150" s="91" t="s">
        <v>6607</v>
      </c>
      <c r="B150" s="91" t="s">
        <v>6529</v>
      </c>
      <c r="C150" s="91" t="s">
        <v>6608</v>
      </c>
      <c r="D150" s="91" t="s">
        <v>13</v>
      </c>
      <c r="E150" s="91" t="s">
        <v>6588</v>
      </c>
      <c r="F150" s="91" t="s">
        <v>6609</v>
      </c>
      <c r="G150" s="91" t="s">
        <v>6610</v>
      </c>
      <c r="H150" s="91" t="s">
        <v>6611</v>
      </c>
      <c r="I150" s="91" t="s">
        <v>14</v>
      </c>
      <c r="J150" s="91" t="s">
        <v>1868</v>
      </c>
      <c r="K150" s="153"/>
    </row>
    <row r="151" spans="1:11" x14ac:dyDescent="0.3">
      <c r="A151" s="91" t="s">
        <v>6612</v>
      </c>
      <c r="B151" s="91" t="s">
        <v>6529</v>
      </c>
      <c r="C151" s="91" t="s">
        <v>6613</v>
      </c>
      <c r="D151" s="91" t="s">
        <v>21</v>
      </c>
      <c r="E151" s="91" t="s">
        <v>6588</v>
      </c>
      <c r="F151" s="91" t="s">
        <v>6614</v>
      </c>
      <c r="G151" s="91" t="s">
        <v>6615</v>
      </c>
      <c r="H151" s="91" t="s">
        <v>6616</v>
      </c>
      <c r="I151" s="91" t="s">
        <v>14</v>
      </c>
      <c r="J151" s="91" t="s">
        <v>1868</v>
      </c>
      <c r="K151" s="153"/>
    </row>
    <row r="152" spans="1:11" x14ac:dyDescent="0.3">
      <c r="A152" s="91" t="s">
        <v>6617</v>
      </c>
      <c r="B152" s="91" t="s">
        <v>6529</v>
      </c>
      <c r="C152" s="91" t="s">
        <v>6618</v>
      </c>
      <c r="D152" s="91" t="s">
        <v>10</v>
      </c>
      <c r="E152" s="91" t="s">
        <v>6531</v>
      </c>
      <c r="F152" s="91" t="s">
        <v>6619</v>
      </c>
      <c r="G152" s="91" t="s">
        <v>6620</v>
      </c>
      <c r="H152" s="91" t="s">
        <v>6621</v>
      </c>
      <c r="I152" s="91" t="s">
        <v>14</v>
      </c>
      <c r="J152" s="91" t="s">
        <v>1852</v>
      </c>
      <c r="K152" s="153"/>
    </row>
    <row r="153" spans="1:11" x14ac:dyDescent="0.3">
      <c r="A153" s="92" t="s">
        <v>6622</v>
      </c>
      <c r="B153" s="92" t="s">
        <v>6623</v>
      </c>
      <c r="C153" s="92" t="s">
        <v>6624</v>
      </c>
      <c r="D153" s="92" t="s">
        <v>13</v>
      </c>
      <c r="E153" s="92" t="s">
        <v>39</v>
      </c>
      <c r="F153" s="92" t="s">
        <v>6625</v>
      </c>
      <c r="G153" s="92" t="s">
        <v>6626</v>
      </c>
      <c r="H153" s="92" t="s">
        <v>6627</v>
      </c>
      <c r="I153" s="92" t="s">
        <v>14</v>
      </c>
      <c r="J153" s="92" t="s">
        <v>1852</v>
      </c>
      <c r="K153" s="153"/>
    </row>
    <row r="154" spans="1:11" x14ac:dyDescent="0.3">
      <c r="A154" s="92" t="s">
        <v>6628</v>
      </c>
      <c r="B154" s="92" t="s">
        <v>6623</v>
      </c>
      <c r="C154" s="92" t="s">
        <v>6629</v>
      </c>
      <c r="D154" s="92" t="s">
        <v>13</v>
      </c>
      <c r="E154" s="92" t="s">
        <v>39</v>
      </c>
      <c r="F154" s="92" t="s">
        <v>6630</v>
      </c>
      <c r="G154" s="92" t="s">
        <v>6631</v>
      </c>
      <c r="H154" s="92" t="s">
        <v>6632</v>
      </c>
      <c r="I154" s="92" t="s">
        <v>14</v>
      </c>
      <c r="J154" s="92" t="s">
        <v>1852</v>
      </c>
      <c r="K154" s="153"/>
    </row>
    <row r="155" spans="1:11" x14ac:dyDescent="0.3">
      <c r="A155" s="92" t="s">
        <v>6633</v>
      </c>
      <c r="B155" s="92" t="s">
        <v>6623</v>
      </c>
      <c r="C155" s="92" t="s">
        <v>6634</v>
      </c>
      <c r="D155" s="92" t="s">
        <v>13</v>
      </c>
      <c r="E155" s="92" t="s">
        <v>43</v>
      </c>
      <c r="F155" s="92" t="s">
        <v>6635</v>
      </c>
      <c r="G155" s="92" t="s">
        <v>6636</v>
      </c>
      <c r="H155" s="92" t="s">
        <v>6637</v>
      </c>
      <c r="I155" s="92" t="s">
        <v>14</v>
      </c>
      <c r="J155" s="92" t="s">
        <v>1852</v>
      </c>
      <c r="K155" s="153"/>
    </row>
    <row r="156" spans="1:11" x14ac:dyDescent="0.3">
      <c r="A156" s="92" t="s">
        <v>6638</v>
      </c>
      <c r="B156" s="92" t="s">
        <v>6623</v>
      </c>
      <c r="C156" s="92" t="s">
        <v>6639</v>
      </c>
      <c r="D156" s="92" t="s">
        <v>13</v>
      </c>
      <c r="E156" s="92" t="s">
        <v>58</v>
      </c>
      <c r="F156" s="92" t="s">
        <v>6640</v>
      </c>
      <c r="G156" s="92" t="s">
        <v>6641</v>
      </c>
      <c r="H156" s="92" t="s">
        <v>6642</v>
      </c>
      <c r="I156" s="92" t="s">
        <v>14</v>
      </c>
      <c r="J156" s="92" t="s">
        <v>1852</v>
      </c>
      <c r="K156" s="153"/>
    </row>
    <row r="157" spans="1:11" x14ac:dyDescent="0.3">
      <c r="A157" s="92" t="s">
        <v>6643</v>
      </c>
      <c r="B157" s="92" t="s">
        <v>6623</v>
      </c>
      <c r="C157" s="92" t="s">
        <v>6644</v>
      </c>
      <c r="D157" s="92" t="s">
        <v>13</v>
      </c>
      <c r="E157" s="92" t="s">
        <v>761</v>
      </c>
      <c r="F157" s="92" t="s">
        <v>6645</v>
      </c>
      <c r="G157" s="92" t="s">
        <v>6646</v>
      </c>
      <c r="H157" s="92" t="s">
        <v>6647</v>
      </c>
      <c r="I157" s="92" t="s">
        <v>14</v>
      </c>
      <c r="J157" s="92" t="s">
        <v>1852</v>
      </c>
      <c r="K157" s="153"/>
    </row>
    <row r="158" spans="1:11" x14ac:dyDescent="0.3">
      <c r="A158" s="92" t="s">
        <v>6648</v>
      </c>
      <c r="B158" s="92" t="s">
        <v>6623</v>
      </c>
      <c r="C158" s="92" t="s">
        <v>6649</v>
      </c>
      <c r="D158" s="92" t="s">
        <v>13</v>
      </c>
      <c r="E158" s="92" t="s">
        <v>40</v>
      </c>
      <c r="F158" s="92" t="s">
        <v>6650</v>
      </c>
      <c r="G158" s="92" t="s">
        <v>3359</v>
      </c>
      <c r="H158" s="92" t="s">
        <v>6651</v>
      </c>
      <c r="I158" s="92" t="s">
        <v>14</v>
      </c>
      <c r="J158" s="92" t="s">
        <v>1852</v>
      </c>
      <c r="K158" s="153"/>
    </row>
    <row r="159" spans="1:11" x14ac:dyDescent="0.3">
      <c r="A159" s="92" t="s">
        <v>6652</v>
      </c>
      <c r="B159" s="92" t="s">
        <v>6623</v>
      </c>
      <c r="C159" s="92" t="s">
        <v>6653</v>
      </c>
      <c r="D159" s="92" t="s">
        <v>13</v>
      </c>
      <c r="E159" s="92" t="s">
        <v>6654</v>
      </c>
      <c r="F159" s="92" t="s">
        <v>6655</v>
      </c>
      <c r="G159" s="92" t="s">
        <v>6656</v>
      </c>
      <c r="H159" s="92" t="s">
        <v>6657</v>
      </c>
      <c r="I159" s="92" t="s">
        <v>6658</v>
      </c>
      <c r="J159" s="92" t="s">
        <v>1852</v>
      </c>
      <c r="K159" s="153"/>
    </row>
    <row r="160" spans="1:11" x14ac:dyDescent="0.3">
      <c r="A160" s="92" t="s">
        <v>6659</v>
      </c>
      <c r="B160" s="92" t="s">
        <v>6623</v>
      </c>
      <c r="C160" s="92" t="s">
        <v>6660</v>
      </c>
      <c r="D160" s="92" t="s">
        <v>13</v>
      </c>
      <c r="E160" s="92" t="s">
        <v>6654</v>
      </c>
      <c r="F160" s="92" t="s">
        <v>6661</v>
      </c>
      <c r="G160" s="92" t="s">
        <v>6662</v>
      </c>
      <c r="H160" s="92" t="s">
        <v>6663</v>
      </c>
      <c r="I160" s="92" t="s">
        <v>6664</v>
      </c>
      <c r="J160" s="92" t="s">
        <v>1852</v>
      </c>
      <c r="K160" s="153"/>
    </row>
    <row r="161" spans="1:11" x14ac:dyDescent="0.3">
      <c r="A161" s="92" t="s">
        <v>6665</v>
      </c>
      <c r="B161" s="92" t="s">
        <v>6623</v>
      </c>
      <c r="C161" s="92" t="s">
        <v>6666</v>
      </c>
      <c r="D161" s="92" t="s">
        <v>13</v>
      </c>
      <c r="E161" s="92" t="s">
        <v>6654</v>
      </c>
      <c r="F161" s="92" t="s">
        <v>6667</v>
      </c>
      <c r="G161" s="92" t="s">
        <v>6668</v>
      </c>
      <c r="H161" s="92" t="s">
        <v>6669</v>
      </c>
      <c r="I161" s="92" t="s">
        <v>6670</v>
      </c>
      <c r="J161" s="92" t="s">
        <v>1852</v>
      </c>
      <c r="K161" s="153"/>
    </row>
    <row r="162" spans="1:11" x14ac:dyDescent="0.3">
      <c r="A162" s="92" t="s">
        <v>6671</v>
      </c>
      <c r="B162" s="92" t="s">
        <v>6623</v>
      </c>
      <c r="C162" s="92" t="s">
        <v>6672</v>
      </c>
      <c r="D162" s="92" t="s">
        <v>21</v>
      </c>
      <c r="E162" s="92" t="s">
        <v>6654</v>
      </c>
      <c r="F162" s="92" t="s">
        <v>6673</v>
      </c>
      <c r="G162" s="92" t="s">
        <v>6641</v>
      </c>
      <c r="H162" s="92" t="s">
        <v>6674</v>
      </c>
      <c r="I162" s="92" t="s">
        <v>6675</v>
      </c>
      <c r="J162" s="92" t="s">
        <v>1852</v>
      </c>
      <c r="K162" s="153"/>
    </row>
    <row r="163" spans="1:11" x14ac:dyDescent="0.3">
      <c r="A163" s="92" t="s">
        <v>6676</v>
      </c>
      <c r="B163" s="92" t="s">
        <v>6623</v>
      </c>
      <c r="C163" s="92" t="s">
        <v>6677</v>
      </c>
      <c r="D163" s="92" t="s">
        <v>13</v>
      </c>
      <c r="E163" s="92" t="s">
        <v>6654</v>
      </c>
      <c r="F163" s="92" t="s">
        <v>6678</v>
      </c>
      <c r="G163" s="92" t="s">
        <v>6679</v>
      </c>
      <c r="H163" s="92" t="s">
        <v>6680</v>
      </c>
      <c r="I163" s="92" t="s">
        <v>14</v>
      </c>
      <c r="J163" s="92" t="s">
        <v>1868</v>
      </c>
      <c r="K163" s="153"/>
    </row>
    <row r="164" spans="1:11" x14ac:dyDescent="0.3">
      <c r="A164" s="92" t="s">
        <v>6681</v>
      </c>
      <c r="B164" s="92" t="s">
        <v>6623</v>
      </c>
      <c r="C164" s="92" t="s">
        <v>6682</v>
      </c>
      <c r="D164" s="92" t="s">
        <v>13</v>
      </c>
      <c r="E164" s="92" t="s">
        <v>6654</v>
      </c>
      <c r="F164" s="92" t="s">
        <v>6683</v>
      </c>
      <c r="G164" s="92" t="s">
        <v>6684</v>
      </c>
      <c r="H164" s="92" t="s">
        <v>6685</v>
      </c>
      <c r="I164" s="92" t="s">
        <v>6686</v>
      </c>
      <c r="J164" s="92" t="s">
        <v>1852</v>
      </c>
      <c r="K164" s="153"/>
    </row>
    <row r="165" spans="1:11" x14ac:dyDescent="0.3">
      <c r="A165" s="92" t="s">
        <v>6687</v>
      </c>
      <c r="B165" s="92" t="s">
        <v>6623</v>
      </c>
      <c r="C165" s="92" t="s">
        <v>6688</v>
      </c>
      <c r="D165" s="92" t="s">
        <v>21</v>
      </c>
      <c r="E165" s="92" t="s">
        <v>6654</v>
      </c>
      <c r="F165" s="92" t="s">
        <v>6689</v>
      </c>
      <c r="G165" s="92" t="s">
        <v>6690</v>
      </c>
      <c r="H165" s="92" t="s">
        <v>6691</v>
      </c>
      <c r="I165" s="92" t="s">
        <v>14</v>
      </c>
      <c r="J165" s="92" t="s">
        <v>1868</v>
      </c>
      <c r="K165" s="153"/>
    </row>
    <row r="166" spans="1:11" x14ac:dyDescent="0.3">
      <c r="A166" s="92" t="s">
        <v>6692</v>
      </c>
      <c r="B166" s="92" t="s">
        <v>6623</v>
      </c>
      <c r="C166" s="92" t="s">
        <v>6693</v>
      </c>
      <c r="D166" s="92" t="s">
        <v>21</v>
      </c>
      <c r="E166" s="92" t="s">
        <v>6654</v>
      </c>
      <c r="F166" s="92" t="s">
        <v>6694</v>
      </c>
      <c r="G166" s="92" t="s">
        <v>6695</v>
      </c>
      <c r="H166" s="92" t="s">
        <v>6696</v>
      </c>
      <c r="I166" s="92" t="s">
        <v>14</v>
      </c>
      <c r="J166" s="92" t="s">
        <v>1868</v>
      </c>
      <c r="K166" s="153"/>
    </row>
    <row r="167" spans="1:11" x14ac:dyDescent="0.3">
      <c r="A167" s="92" t="s">
        <v>6697</v>
      </c>
      <c r="B167" s="92" t="s">
        <v>6623</v>
      </c>
      <c r="C167" s="92" t="s">
        <v>6698</v>
      </c>
      <c r="D167" s="92" t="s">
        <v>13</v>
      </c>
      <c r="E167" s="92" t="s">
        <v>6654</v>
      </c>
      <c r="F167" s="92" t="s">
        <v>6699</v>
      </c>
      <c r="G167" s="92" t="s">
        <v>6700</v>
      </c>
      <c r="H167" s="92" t="s">
        <v>6701</v>
      </c>
      <c r="I167" s="92" t="s">
        <v>14</v>
      </c>
      <c r="J167" s="92" t="s">
        <v>1852</v>
      </c>
      <c r="K167" s="153"/>
    </row>
    <row r="168" spans="1:11" x14ac:dyDescent="0.3">
      <c r="A168" s="92" t="s">
        <v>6702</v>
      </c>
      <c r="B168" s="92" t="s">
        <v>6623</v>
      </c>
      <c r="C168" s="92" t="s">
        <v>6703</v>
      </c>
      <c r="D168" s="92" t="s">
        <v>13</v>
      </c>
      <c r="E168" s="92" t="s">
        <v>6654</v>
      </c>
      <c r="F168" s="92" t="s">
        <v>6704</v>
      </c>
      <c r="G168" s="92" t="s">
        <v>6705</v>
      </c>
      <c r="H168" s="92" t="s">
        <v>6706</v>
      </c>
      <c r="I168" s="92" t="s">
        <v>14</v>
      </c>
      <c r="J168" s="92" t="s">
        <v>1868</v>
      </c>
      <c r="K168" s="153"/>
    </row>
    <row r="169" spans="1:11" x14ac:dyDescent="0.3">
      <c r="A169" s="92" t="s">
        <v>6707</v>
      </c>
      <c r="B169" s="92" t="s">
        <v>6623</v>
      </c>
      <c r="C169" s="92" t="s">
        <v>6708</v>
      </c>
      <c r="D169" s="92" t="s">
        <v>21</v>
      </c>
      <c r="E169" s="92" t="s">
        <v>6654</v>
      </c>
      <c r="F169" s="92" t="s">
        <v>6709</v>
      </c>
      <c r="G169" s="92" t="s">
        <v>6710</v>
      </c>
      <c r="H169" s="92" t="s">
        <v>6711</v>
      </c>
      <c r="I169" s="92" t="s">
        <v>6712</v>
      </c>
      <c r="J169" s="92" t="s">
        <v>1852</v>
      </c>
      <c r="K169" s="153"/>
    </row>
    <row r="170" spans="1:11" x14ac:dyDescent="0.3">
      <c r="A170" s="92" t="s">
        <v>6713</v>
      </c>
      <c r="B170" s="92" t="s">
        <v>6623</v>
      </c>
      <c r="C170" s="92" t="s">
        <v>6714</v>
      </c>
      <c r="D170" s="92" t="s">
        <v>21</v>
      </c>
      <c r="E170" s="92" t="s">
        <v>6654</v>
      </c>
      <c r="F170" s="92" t="s">
        <v>6715</v>
      </c>
      <c r="G170" s="92" t="s">
        <v>6716</v>
      </c>
      <c r="H170" s="92" t="s">
        <v>6717</v>
      </c>
      <c r="I170" s="92" t="s">
        <v>6718</v>
      </c>
      <c r="J170" s="92" t="s">
        <v>1852</v>
      </c>
      <c r="K170" s="153"/>
    </row>
    <row r="171" spans="1:11" x14ac:dyDescent="0.3">
      <c r="A171" s="92" t="s">
        <v>6719</v>
      </c>
      <c r="B171" s="92" t="s">
        <v>6623</v>
      </c>
      <c r="C171" s="92" t="s">
        <v>6720</v>
      </c>
      <c r="D171" s="92" t="s">
        <v>13</v>
      </c>
      <c r="E171" s="92" t="s">
        <v>6654</v>
      </c>
      <c r="F171" s="92" t="s">
        <v>6721</v>
      </c>
      <c r="G171" s="92" t="s">
        <v>6722</v>
      </c>
      <c r="H171" s="92" t="s">
        <v>6723</v>
      </c>
      <c r="I171" s="92" t="s">
        <v>14</v>
      </c>
      <c r="J171" s="92" t="s">
        <v>1868</v>
      </c>
      <c r="K171" s="153"/>
    </row>
    <row r="172" spans="1:11" x14ac:dyDescent="0.3">
      <c r="A172" s="92" t="s">
        <v>6724</v>
      </c>
      <c r="B172" s="92" t="s">
        <v>6623</v>
      </c>
      <c r="C172" s="92" t="s">
        <v>6725</v>
      </c>
      <c r="D172" s="92" t="s">
        <v>21</v>
      </c>
      <c r="E172" s="92" t="s">
        <v>6654</v>
      </c>
      <c r="F172" s="92" t="s">
        <v>6726</v>
      </c>
      <c r="G172" s="92" t="s">
        <v>6727</v>
      </c>
      <c r="H172" s="92" t="s">
        <v>6728</v>
      </c>
      <c r="I172" s="92" t="s">
        <v>6729</v>
      </c>
      <c r="J172" s="92" t="s">
        <v>1852</v>
      </c>
      <c r="K172" s="153"/>
    </row>
    <row r="173" spans="1:11" x14ac:dyDescent="0.3">
      <c r="A173" s="93" t="s">
        <v>6730</v>
      </c>
      <c r="B173" s="93" t="s">
        <v>6731</v>
      </c>
      <c r="C173" s="93" t="s">
        <v>6732</v>
      </c>
      <c r="D173" s="93" t="s">
        <v>21</v>
      </c>
      <c r="E173" s="93" t="s">
        <v>176</v>
      </c>
      <c r="F173" s="93" t="s">
        <v>6733</v>
      </c>
      <c r="G173" s="93" t="s">
        <v>5975</v>
      </c>
      <c r="H173" s="93" t="s">
        <v>6734</v>
      </c>
      <c r="I173" s="93" t="s">
        <v>6735</v>
      </c>
      <c r="J173" s="93" t="s">
        <v>1852</v>
      </c>
      <c r="K173" s="153"/>
    </row>
    <row r="174" spans="1:11" x14ac:dyDescent="0.3">
      <c r="A174" s="93" t="s">
        <v>6736</v>
      </c>
      <c r="B174" s="93" t="s">
        <v>6731</v>
      </c>
      <c r="C174" s="93" t="s">
        <v>6737</v>
      </c>
      <c r="D174" s="93" t="s">
        <v>21</v>
      </c>
      <c r="E174" s="93" t="s">
        <v>86</v>
      </c>
      <c r="F174" s="93" t="s">
        <v>6738</v>
      </c>
      <c r="G174" s="93" t="s">
        <v>6739</v>
      </c>
      <c r="H174" s="93" t="s">
        <v>4224</v>
      </c>
      <c r="I174" s="93" t="s">
        <v>6740</v>
      </c>
      <c r="J174" s="93" t="s">
        <v>1852</v>
      </c>
      <c r="K174" s="153"/>
    </row>
    <row r="175" spans="1:11" x14ac:dyDescent="0.3">
      <c r="A175" s="93" t="s">
        <v>6741</v>
      </c>
      <c r="B175" s="93" t="s">
        <v>6731</v>
      </c>
      <c r="C175" s="93" t="s">
        <v>6742</v>
      </c>
      <c r="D175" s="93" t="s">
        <v>21</v>
      </c>
      <c r="E175" s="93" t="s">
        <v>86</v>
      </c>
      <c r="F175" s="93" t="s">
        <v>6743</v>
      </c>
      <c r="G175" s="93" t="s">
        <v>6744</v>
      </c>
      <c r="H175" s="93" t="s">
        <v>3462</v>
      </c>
      <c r="I175" s="93" t="s">
        <v>6745</v>
      </c>
      <c r="J175" s="93" t="s">
        <v>1852</v>
      </c>
      <c r="K175" s="153"/>
    </row>
    <row r="176" spans="1:11" x14ac:dyDescent="0.3">
      <c r="A176" s="93" t="s">
        <v>6746</v>
      </c>
      <c r="B176" s="93" t="s">
        <v>6731</v>
      </c>
      <c r="C176" s="93" t="s">
        <v>6747</v>
      </c>
      <c r="D176" s="93" t="s">
        <v>21</v>
      </c>
      <c r="E176" s="93" t="s">
        <v>3674</v>
      </c>
      <c r="F176" s="93" t="s">
        <v>6748</v>
      </c>
      <c r="G176" s="93" t="s">
        <v>6749</v>
      </c>
      <c r="H176" s="93" t="s">
        <v>6750</v>
      </c>
      <c r="I176" s="93" t="s">
        <v>14</v>
      </c>
      <c r="J176" s="93" t="s">
        <v>1868</v>
      </c>
      <c r="K176" s="153"/>
    </row>
    <row r="177" spans="1:11" x14ac:dyDescent="0.3">
      <c r="A177" s="93" t="s">
        <v>6751</v>
      </c>
      <c r="B177" s="93" t="s">
        <v>6731</v>
      </c>
      <c r="C177" s="93" t="s">
        <v>6752</v>
      </c>
      <c r="D177" s="93" t="s">
        <v>21</v>
      </c>
      <c r="E177" s="93" t="s">
        <v>134</v>
      </c>
      <c r="F177" s="93" t="s">
        <v>6753</v>
      </c>
      <c r="G177" s="93" t="s">
        <v>6754</v>
      </c>
      <c r="H177" s="93" t="s">
        <v>6755</v>
      </c>
      <c r="I177" s="93" t="s">
        <v>14</v>
      </c>
      <c r="J177" s="93" t="s">
        <v>1868</v>
      </c>
      <c r="K177" s="153"/>
    </row>
    <row r="178" spans="1:11" x14ac:dyDescent="0.3">
      <c r="A178" s="93" t="s">
        <v>6756</v>
      </c>
      <c r="B178" s="93" t="s">
        <v>6731</v>
      </c>
      <c r="C178" s="93" t="s">
        <v>6757</v>
      </c>
      <c r="D178" s="93" t="s">
        <v>21</v>
      </c>
      <c r="E178" s="93" t="s">
        <v>134</v>
      </c>
      <c r="F178" s="93" t="s">
        <v>6758</v>
      </c>
      <c r="G178" s="93" t="s">
        <v>6759</v>
      </c>
      <c r="H178" s="93" t="s">
        <v>6760</v>
      </c>
      <c r="I178" s="93" t="s">
        <v>6761</v>
      </c>
      <c r="J178" s="93" t="s">
        <v>1852</v>
      </c>
      <c r="K178" s="153"/>
    </row>
    <row r="179" spans="1:11" x14ac:dyDescent="0.3">
      <c r="A179" s="93" t="s">
        <v>6762</v>
      </c>
      <c r="B179" s="93" t="s">
        <v>6731</v>
      </c>
      <c r="C179" s="93" t="s">
        <v>6763</v>
      </c>
      <c r="D179" s="93" t="s">
        <v>21</v>
      </c>
      <c r="E179" s="93" t="s">
        <v>5973</v>
      </c>
      <c r="F179" s="93" t="s">
        <v>6764</v>
      </c>
      <c r="G179" s="93" t="s">
        <v>6765</v>
      </c>
      <c r="H179" s="93" t="s">
        <v>6766</v>
      </c>
      <c r="I179" s="93" t="s">
        <v>14</v>
      </c>
      <c r="J179" s="93" t="s">
        <v>1852</v>
      </c>
      <c r="K179" s="153"/>
    </row>
    <row r="180" spans="1:11" x14ac:dyDescent="0.3">
      <c r="A180" s="93" t="s">
        <v>6767</v>
      </c>
      <c r="B180" s="93" t="s">
        <v>6731</v>
      </c>
      <c r="C180" s="93" t="s">
        <v>6768</v>
      </c>
      <c r="D180" s="93" t="s">
        <v>21</v>
      </c>
      <c r="E180" s="93" t="s">
        <v>176</v>
      </c>
      <c r="F180" s="93" t="s">
        <v>6769</v>
      </c>
      <c r="G180" s="93" t="s">
        <v>6770</v>
      </c>
      <c r="H180" s="93" t="s">
        <v>6771</v>
      </c>
      <c r="I180" s="93" t="s">
        <v>6772</v>
      </c>
      <c r="J180" s="93" t="s">
        <v>1852</v>
      </c>
      <c r="K180" s="153"/>
    </row>
    <row r="181" spans="1:11" x14ac:dyDescent="0.3">
      <c r="A181" s="93" t="s">
        <v>6773</v>
      </c>
      <c r="B181" s="93" t="s">
        <v>6731</v>
      </c>
      <c r="C181" s="93" t="s">
        <v>6774</v>
      </c>
      <c r="D181" s="93" t="s">
        <v>21</v>
      </c>
      <c r="E181" s="93" t="s">
        <v>5973</v>
      </c>
      <c r="F181" s="93" t="s">
        <v>6775</v>
      </c>
      <c r="G181" s="93" t="s">
        <v>6492</v>
      </c>
      <c r="H181" s="93" t="s">
        <v>6776</v>
      </c>
      <c r="I181" s="93" t="s">
        <v>14</v>
      </c>
      <c r="J181" s="93" t="s">
        <v>1868</v>
      </c>
      <c r="K181" s="153"/>
    </row>
    <row r="182" spans="1:11" x14ac:dyDescent="0.3">
      <c r="A182" s="93" t="s">
        <v>6777</v>
      </c>
      <c r="B182" s="93" t="s">
        <v>6731</v>
      </c>
      <c r="C182" s="93" t="s">
        <v>6778</v>
      </c>
      <c r="D182" s="93" t="s">
        <v>21</v>
      </c>
      <c r="E182" s="93" t="s">
        <v>5973</v>
      </c>
      <c r="F182" s="93" t="s">
        <v>6779</v>
      </c>
      <c r="G182" s="93" t="s">
        <v>6492</v>
      </c>
      <c r="H182" s="93" t="s">
        <v>6780</v>
      </c>
      <c r="I182" s="93" t="s">
        <v>14</v>
      </c>
      <c r="J182" s="93" t="s">
        <v>1852</v>
      </c>
      <c r="K182" s="153"/>
    </row>
    <row r="183" spans="1:11" x14ac:dyDescent="0.3">
      <c r="A183" s="93" t="s">
        <v>6781</v>
      </c>
      <c r="B183" s="93" t="s">
        <v>6731</v>
      </c>
      <c r="C183" s="93" t="s">
        <v>6782</v>
      </c>
      <c r="D183" s="93" t="s">
        <v>21</v>
      </c>
      <c r="E183" s="93" t="s">
        <v>6783</v>
      </c>
      <c r="F183" s="93" t="s">
        <v>6784</v>
      </c>
      <c r="G183" s="93" t="s">
        <v>6785</v>
      </c>
      <c r="H183" s="93" t="s">
        <v>6786</v>
      </c>
      <c r="I183" s="93" t="s">
        <v>6787</v>
      </c>
      <c r="J183" s="93" t="s">
        <v>1852</v>
      </c>
      <c r="K183" s="153"/>
    </row>
    <row r="184" spans="1:11" x14ac:dyDescent="0.3">
      <c r="A184" s="93" t="s">
        <v>6788</v>
      </c>
      <c r="B184" s="93" t="s">
        <v>6731</v>
      </c>
      <c r="C184" s="93" t="s">
        <v>6789</v>
      </c>
      <c r="D184" s="93" t="s">
        <v>21</v>
      </c>
      <c r="E184" s="93" t="s">
        <v>6476</v>
      </c>
      <c r="F184" s="93" t="s">
        <v>6790</v>
      </c>
      <c r="G184" s="93" t="s">
        <v>6791</v>
      </c>
      <c r="H184" s="93" t="s">
        <v>6792</v>
      </c>
      <c r="I184" s="93" t="s">
        <v>6793</v>
      </c>
      <c r="J184" s="93" t="s">
        <v>1852</v>
      </c>
      <c r="K184" s="153"/>
    </row>
    <row r="185" spans="1:11" x14ac:dyDescent="0.3">
      <c r="A185" s="93" t="s">
        <v>6794</v>
      </c>
      <c r="B185" s="93" t="s">
        <v>6731</v>
      </c>
      <c r="C185" s="93" t="s">
        <v>6795</v>
      </c>
      <c r="D185" s="93" t="s">
        <v>21</v>
      </c>
      <c r="E185" s="93" t="s">
        <v>195</v>
      </c>
      <c r="F185" s="93" t="s">
        <v>6796</v>
      </c>
      <c r="G185" s="93" t="s">
        <v>6797</v>
      </c>
      <c r="H185" s="93" t="s">
        <v>6798</v>
      </c>
      <c r="I185" s="93" t="s">
        <v>14</v>
      </c>
      <c r="J185" s="93" t="s">
        <v>1852</v>
      </c>
      <c r="K185" s="153"/>
    </row>
    <row r="186" spans="1:11" x14ac:dyDescent="0.3">
      <c r="A186" s="93" t="s">
        <v>6799</v>
      </c>
      <c r="B186" s="93" t="s">
        <v>6731</v>
      </c>
      <c r="C186" s="93" t="s">
        <v>6800</v>
      </c>
      <c r="D186" s="93" t="s">
        <v>21</v>
      </c>
      <c r="E186" s="93" t="s">
        <v>195</v>
      </c>
      <c r="F186" s="93" t="s">
        <v>6801</v>
      </c>
      <c r="G186" s="93" t="s">
        <v>6802</v>
      </c>
      <c r="H186" s="93" t="s">
        <v>6803</v>
      </c>
      <c r="I186" s="93" t="s">
        <v>14</v>
      </c>
      <c r="J186" s="93" t="s">
        <v>1868</v>
      </c>
      <c r="K186" s="153"/>
    </row>
    <row r="187" spans="1:11" x14ac:dyDescent="0.3">
      <c r="A187" s="93" t="s">
        <v>6804</v>
      </c>
      <c r="B187" s="93" t="s">
        <v>6731</v>
      </c>
      <c r="C187" s="93" t="s">
        <v>6805</v>
      </c>
      <c r="D187" s="93" t="s">
        <v>21</v>
      </c>
      <c r="E187" s="93" t="s">
        <v>86</v>
      </c>
      <c r="F187" s="93" t="s">
        <v>6806</v>
      </c>
      <c r="G187" s="93" t="s">
        <v>6807</v>
      </c>
      <c r="H187" s="93" t="s">
        <v>6808</v>
      </c>
      <c r="I187" s="93" t="s">
        <v>14</v>
      </c>
      <c r="J187" s="93" t="s">
        <v>1868</v>
      </c>
      <c r="K187" s="153"/>
    </row>
    <row r="188" spans="1:11" x14ac:dyDescent="0.3">
      <c r="A188" s="93" t="s">
        <v>6809</v>
      </c>
      <c r="B188" s="93" t="s">
        <v>6731</v>
      </c>
      <c r="C188" s="93" t="s">
        <v>6810</v>
      </c>
      <c r="D188" s="93" t="s">
        <v>21</v>
      </c>
      <c r="E188" s="93" t="s">
        <v>152</v>
      </c>
      <c r="F188" s="93" t="s">
        <v>6811</v>
      </c>
      <c r="G188" s="93" t="s">
        <v>6812</v>
      </c>
      <c r="H188" s="93" t="s">
        <v>6813</v>
      </c>
      <c r="I188" s="93" t="s">
        <v>6814</v>
      </c>
      <c r="J188" s="93" t="s">
        <v>1852</v>
      </c>
      <c r="K188" s="153"/>
    </row>
    <row r="189" spans="1:11" x14ac:dyDescent="0.3">
      <c r="A189" s="93" t="s">
        <v>6815</v>
      </c>
      <c r="B189" s="93" t="s">
        <v>6731</v>
      </c>
      <c r="C189" s="93" t="s">
        <v>6816</v>
      </c>
      <c r="D189" s="93" t="s">
        <v>21</v>
      </c>
      <c r="E189" s="93" t="s">
        <v>176</v>
      </c>
      <c r="F189" s="93" t="s">
        <v>6817</v>
      </c>
      <c r="G189" s="93" t="s">
        <v>6818</v>
      </c>
      <c r="H189" s="93" t="s">
        <v>6819</v>
      </c>
      <c r="I189" s="93" t="s">
        <v>14</v>
      </c>
      <c r="J189" s="93" t="s">
        <v>1868</v>
      </c>
      <c r="K189" s="153"/>
    </row>
    <row r="190" spans="1:11" x14ac:dyDescent="0.3">
      <c r="A190" s="93" t="s">
        <v>6820</v>
      </c>
      <c r="B190" s="93" t="s">
        <v>6731</v>
      </c>
      <c r="C190" s="93" t="s">
        <v>6821</v>
      </c>
      <c r="D190" s="93" t="s">
        <v>21</v>
      </c>
      <c r="E190" s="93" t="s">
        <v>176</v>
      </c>
      <c r="F190" s="93" t="s">
        <v>6822</v>
      </c>
      <c r="G190" s="93" t="s">
        <v>6823</v>
      </c>
      <c r="H190" s="93" t="s">
        <v>6824</v>
      </c>
      <c r="I190" s="93" t="s">
        <v>14</v>
      </c>
      <c r="J190" s="93" t="s">
        <v>1868</v>
      </c>
      <c r="K190" s="153"/>
    </row>
    <row r="191" spans="1:11" x14ac:dyDescent="0.3">
      <c r="A191" s="93" t="s">
        <v>6825</v>
      </c>
      <c r="B191" s="93" t="s">
        <v>6731</v>
      </c>
      <c r="C191" s="93" t="s">
        <v>6826</v>
      </c>
      <c r="D191" s="93" t="s">
        <v>21</v>
      </c>
      <c r="E191" s="93" t="s">
        <v>106</v>
      </c>
      <c r="F191" s="93" t="s">
        <v>6827</v>
      </c>
      <c r="G191" s="93" t="s">
        <v>6828</v>
      </c>
      <c r="H191" s="93" t="s">
        <v>6829</v>
      </c>
      <c r="I191" s="93" t="s">
        <v>14</v>
      </c>
      <c r="J191" s="93" t="s">
        <v>1868</v>
      </c>
      <c r="K191" s="153"/>
    </row>
    <row r="192" spans="1:11" x14ac:dyDescent="0.3">
      <c r="A192" s="93" t="s">
        <v>6830</v>
      </c>
      <c r="B192" s="93" t="s">
        <v>6731</v>
      </c>
      <c r="C192" s="93" t="s">
        <v>6831</v>
      </c>
      <c r="D192" s="93" t="s">
        <v>21</v>
      </c>
      <c r="E192" s="93" t="s">
        <v>106</v>
      </c>
      <c r="F192" s="93" t="s">
        <v>6832</v>
      </c>
      <c r="G192" s="93" t="s">
        <v>6833</v>
      </c>
      <c r="H192" s="93" t="s">
        <v>6834</v>
      </c>
      <c r="I192" s="93" t="s">
        <v>14</v>
      </c>
      <c r="J192" s="93" t="s">
        <v>1873</v>
      </c>
      <c r="K192" s="153"/>
    </row>
    <row r="193" spans="1:11" x14ac:dyDescent="0.3">
      <c r="A193" s="93" t="s">
        <v>6835</v>
      </c>
      <c r="B193" s="93" t="s">
        <v>6731</v>
      </c>
      <c r="C193" s="93" t="s">
        <v>6836</v>
      </c>
      <c r="D193" s="93" t="s">
        <v>21</v>
      </c>
      <c r="E193" s="93" t="s">
        <v>134</v>
      </c>
      <c r="F193" s="93" t="s">
        <v>6837</v>
      </c>
      <c r="G193" s="93" t="s">
        <v>6838</v>
      </c>
      <c r="H193" s="93" t="s">
        <v>6839</v>
      </c>
      <c r="I193" s="93" t="s">
        <v>14</v>
      </c>
      <c r="J193" s="93" t="s">
        <v>1852</v>
      </c>
      <c r="K193" s="153"/>
    </row>
    <row r="194" spans="1:11" x14ac:dyDescent="0.3">
      <c r="A194" s="93" t="s">
        <v>6840</v>
      </c>
      <c r="B194" s="93" t="s">
        <v>6731</v>
      </c>
      <c r="C194" s="93" t="s">
        <v>6841</v>
      </c>
      <c r="D194" s="93" t="s">
        <v>21</v>
      </c>
      <c r="E194" s="93" t="s">
        <v>5973</v>
      </c>
      <c r="F194" s="93" t="s">
        <v>6842</v>
      </c>
      <c r="G194" s="93" t="s">
        <v>6843</v>
      </c>
      <c r="H194" s="93" t="s">
        <v>6844</v>
      </c>
      <c r="I194" s="93" t="s">
        <v>14</v>
      </c>
      <c r="J194" s="93" t="s">
        <v>1852</v>
      </c>
      <c r="K194" s="153"/>
    </row>
    <row r="195" spans="1:11" x14ac:dyDescent="0.3">
      <c r="A195" s="93" t="s">
        <v>6845</v>
      </c>
      <c r="B195" s="93" t="s">
        <v>6731</v>
      </c>
      <c r="C195" s="93" t="s">
        <v>6846</v>
      </c>
      <c r="D195" s="93" t="s">
        <v>21</v>
      </c>
      <c r="E195" s="93" t="s">
        <v>5973</v>
      </c>
      <c r="F195" s="93" t="s">
        <v>6847</v>
      </c>
      <c r="G195" s="93" t="s">
        <v>6848</v>
      </c>
      <c r="H195" s="93" t="s">
        <v>6849</v>
      </c>
      <c r="I195" s="93" t="s">
        <v>14</v>
      </c>
      <c r="J195" s="93" t="s">
        <v>1868</v>
      </c>
      <c r="K195" s="153"/>
    </row>
    <row r="196" spans="1:11" x14ac:dyDescent="0.3">
      <c r="A196" s="87" t="s">
        <v>6850</v>
      </c>
      <c r="B196" s="87" t="s">
        <v>6851</v>
      </c>
      <c r="C196" s="87" t="s">
        <v>6852</v>
      </c>
      <c r="D196" s="87" t="s">
        <v>13</v>
      </c>
      <c r="E196" s="87" t="s">
        <v>6853</v>
      </c>
      <c r="F196" s="87" t="s">
        <v>6854</v>
      </c>
      <c r="G196" s="87" t="s">
        <v>6855</v>
      </c>
      <c r="H196" s="87" t="s">
        <v>6856</v>
      </c>
      <c r="I196" s="87" t="s">
        <v>6857</v>
      </c>
      <c r="J196" s="87" t="s">
        <v>1852</v>
      </c>
      <c r="K196" s="153"/>
    </row>
    <row r="197" spans="1:11" x14ac:dyDescent="0.3">
      <c r="A197" s="87" t="s">
        <v>6858</v>
      </c>
      <c r="B197" s="87" t="s">
        <v>6851</v>
      </c>
      <c r="C197" s="87" t="s">
        <v>6859</v>
      </c>
      <c r="D197" s="87" t="s">
        <v>13</v>
      </c>
      <c r="E197" s="87" t="s">
        <v>49</v>
      </c>
      <c r="F197" s="87" t="s">
        <v>6860</v>
      </c>
      <c r="G197" s="87" t="s">
        <v>6861</v>
      </c>
      <c r="H197" s="87" t="s">
        <v>6862</v>
      </c>
      <c r="I197" s="87" t="s">
        <v>14</v>
      </c>
      <c r="J197" s="87" t="s">
        <v>1852</v>
      </c>
      <c r="K197" s="153"/>
    </row>
    <row r="198" spans="1:11" x14ac:dyDescent="0.3">
      <c r="A198" s="87" t="s">
        <v>6863</v>
      </c>
      <c r="B198" s="87" t="s">
        <v>6851</v>
      </c>
      <c r="C198" s="87" t="s">
        <v>6864</v>
      </c>
      <c r="D198" s="87" t="s">
        <v>13</v>
      </c>
      <c r="E198" s="87" t="s">
        <v>54</v>
      </c>
      <c r="F198" s="87" t="s">
        <v>6865</v>
      </c>
      <c r="G198" s="87" t="s">
        <v>6866</v>
      </c>
      <c r="H198" s="87" t="s">
        <v>6867</v>
      </c>
      <c r="I198" s="87" t="s">
        <v>6868</v>
      </c>
      <c r="J198" s="87" t="s">
        <v>1852</v>
      </c>
      <c r="K198" s="153"/>
    </row>
    <row r="199" spans="1:11" x14ac:dyDescent="0.3">
      <c r="A199" s="87" t="s">
        <v>6869</v>
      </c>
      <c r="B199" s="87" t="s">
        <v>6851</v>
      </c>
      <c r="C199" s="87" t="s">
        <v>6870</v>
      </c>
      <c r="D199" s="87" t="s">
        <v>13</v>
      </c>
      <c r="E199" s="87" t="s">
        <v>50</v>
      </c>
      <c r="F199" s="87" t="s">
        <v>6871</v>
      </c>
      <c r="G199" s="87" t="s">
        <v>6872</v>
      </c>
      <c r="H199" s="87" t="s">
        <v>6873</v>
      </c>
      <c r="I199" s="87" t="s">
        <v>6874</v>
      </c>
      <c r="J199" s="87" t="s">
        <v>1852</v>
      </c>
      <c r="K199" s="153"/>
    </row>
    <row r="200" spans="1:11" x14ac:dyDescent="0.3">
      <c r="A200" s="87" t="s">
        <v>6875</v>
      </c>
      <c r="B200" s="87" t="s">
        <v>6851</v>
      </c>
      <c r="C200" s="87" t="s">
        <v>6876</v>
      </c>
      <c r="D200" s="87" t="s">
        <v>13</v>
      </c>
      <c r="E200" s="87" t="s">
        <v>51</v>
      </c>
      <c r="F200" s="87" t="s">
        <v>6877</v>
      </c>
      <c r="G200" s="87" t="s">
        <v>870</v>
      </c>
      <c r="H200" s="87" t="s">
        <v>6878</v>
      </c>
      <c r="I200" s="87" t="s">
        <v>6879</v>
      </c>
      <c r="J200" s="87" t="s">
        <v>1852</v>
      </c>
      <c r="K200" s="153"/>
    </row>
    <row r="201" spans="1:11" x14ac:dyDescent="0.3">
      <c r="A201" s="87" t="s">
        <v>6880</v>
      </c>
      <c r="B201" s="87" t="s">
        <v>6851</v>
      </c>
      <c r="C201" s="87" t="s">
        <v>6881</v>
      </c>
      <c r="D201" s="87" t="s">
        <v>13</v>
      </c>
      <c r="E201" s="87" t="s">
        <v>6882</v>
      </c>
      <c r="F201" s="87" t="s">
        <v>6883</v>
      </c>
      <c r="G201" s="87" t="s">
        <v>6884</v>
      </c>
      <c r="H201" s="87" t="s">
        <v>6885</v>
      </c>
      <c r="I201" s="87" t="s">
        <v>6886</v>
      </c>
      <c r="J201" s="87" t="s">
        <v>1852</v>
      </c>
      <c r="K201" s="153"/>
    </row>
    <row r="202" spans="1:11" ht="28.8" x14ac:dyDescent="0.3">
      <c r="A202" s="87" t="s">
        <v>6887</v>
      </c>
      <c r="B202" s="87" t="s">
        <v>6851</v>
      </c>
      <c r="C202" s="87" t="s">
        <v>6888</v>
      </c>
      <c r="D202" s="87" t="s">
        <v>13</v>
      </c>
      <c r="E202" s="87" t="s">
        <v>13424</v>
      </c>
      <c r="F202" s="87" t="s">
        <v>6889</v>
      </c>
      <c r="G202" s="87" t="s">
        <v>6890</v>
      </c>
      <c r="H202" s="87" t="s">
        <v>6891</v>
      </c>
      <c r="I202" s="87" t="s">
        <v>14</v>
      </c>
      <c r="J202" s="87" t="s">
        <v>1868</v>
      </c>
      <c r="K202" s="153" t="s">
        <v>13407</v>
      </c>
    </row>
    <row r="203" spans="1:11" x14ac:dyDescent="0.3">
      <c r="A203" s="87" t="s">
        <v>6892</v>
      </c>
      <c r="B203" s="87" t="s">
        <v>6851</v>
      </c>
      <c r="C203" s="87" t="s">
        <v>6893</v>
      </c>
      <c r="D203" s="87" t="s">
        <v>13</v>
      </c>
      <c r="E203" s="87" t="s">
        <v>6894</v>
      </c>
      <c r="F203" s="87" t="s">
        <v>6895</v>
      </c>
      <c r="G203" s="87" t="s">
        <v>6896</v>
      </c>
      <c r="H203" s="87" t="s">
        <v>6897</v>
      </c>
      <c r="I203" s="87" t="s">
        <v>6898</v>
      </c>
      <c r="J203" s="87" t="s">
        <v>1852</v>
      </c>
      <c r="K203" s="153"/>
    </row>
    <row r="204" spans="1:11" x14ac:dyDescent="0.3">
      <c r="A204" s="87" t="s">
        <v>6899</v>
      </c>
      <c r="B204" s="87" t="s">
        <v>6851</v>
      </c>
      <c r="C204" s="87" t="s">
        <v>6900</v>
      </c>
      <c r="D204" s="87" t="s">
        <v>13</v>
      </c>
      <c r="E204" s="87" t="s">
        <v>5973</v>
      </c>
      <c r="F204" s="87" t="s">
        <v>6901</v>
      </c>
      <c r="G204" s="87" t="s">
        <v>6902</v>
      </c>
      <c r="H204" s="87" t="s">
        <v>6903</v>
      </c>
      <c r="I204" s="87" t="s">
        <v>14</v>
      </c>
      <c r="J204" s="87" t="s">
        <v>1852</v>
      </c>
      <c r="K204" s="153"/>
    </row>
    <row r="205" spans="1:11" x14ac:dyDescent="0.3">
      <c r="A205" s="87" t="s">
        <v>6904</v>
      </c>
      <c r="B205" s="87" t="s">
        <v>6851</v>
      </c>
      <c r="C205" s="87" t="s">
        <v>6905</v>
      </c>
      <c r="D205" s="87" t="s">
        <v>13</v>
      </c>
      <c r="E205" s="87" t="s">
        <v>6906</v>
      </c>
      <c r="F205" s="87" t="s">
        <v>6907</v>
      </c>
      <c r="G205" s="87" t="s">
        <v>6908</v>
      </c>
      <c r="H205" s="87" t="s">
        <v>6909</v>
      </c>
      <c r="I205" s="87" t="s">
        <v>14</v>
      </c>
      <c r="J205" s="87" t="s">
        <v>1852</v>
      </c>
      <c r="K205" s="153"/>
    </row>
    <row r="206" spans="1:11" x14ac:dyDescent="0.3">
      <c r="A206" s="87" t="s">
        <v>6910</v>
      </c>
      <c r="B206" s="87" t="s">
        <v>6851</v>
      </c>
      <c r="C206" s="87" t="s">
        <v>6911</v>
      </c>
      <c r="D206" s="87" t="s">
        <v>13</v>
      </c>
      <c r="E206" s="87" t="s">
        <v>58</v>
      </c>
      <c r="F206" s="87" t="s">
        <v>6142</v>
      </c>
      <c r="G206" s="87" t="s">
        <v>6912</v>
      </c>
      <c r="H206" s="87" t="s">
        <v>6913</v>
      </c>
      <c r="I206" s="87" t="s">
        <v>6914</v>
      </c>
      <c r="J206" s="87" t="s">
        <v>1852</v>
      </c>
      <c r="K206" s="153"/>
    </row>
    <row r="207" spans="1:11" x14ac:dyDescent="0.3">
      <c r="A207" s="87" t="s">
        <v>6915</v>
      </c>
      <c r="B207" s="87" t="s">
        <v>6851</v>
      </c>
      <c r="C207" s="87" t="s">
        <v>6916</v>
      </c>
      <c r="D207" s="87" t="s">
        <v>13</v>
      </c>
      <c r="E207" s="87" t="s">
        <v>25</v>
      </c>
      <c r="F207" s="87" t="s">
        <v>6917</v>
      </c>
      <c r="G207" s="87" t="s">
        <v>6918</v>
      </c>
      <c r="H207" s="87" t="s">
        <v>6919</v>
      </c>
      <c r="I207" s="87" t="s">
        <v>6920</v>
      </c>
      <c r="J207" s="87" t="s">
        <v>1852</v>
      </c>
      <c r="K207" s="153"/>
    </row>
    <row r="208" spans="1:11" x14ac:dyDescent="0.3">
      <c r="A208" s="87" t="s">
        <v>6921</v>
      </c>
      <c r="B208" s="87" t="s">
        <v>6851</v>
      </c>
      <c r="C208" s="87" t="s">
        <v>6922</v>
      </c>
      <c r="D208" s="87" t="s">
        <v>13</v>
      </c>
      <c r="E208" s="87" t="s">
        <v>4204</v>
      </c>
      <c r="F208" s="87" t="s">
        <v>6923</v>
      </c>
      <c r="G208" s="87" t="s">
        <v>6924</v>
      </c>
      <c r="H208" s="87" t="s">
        <v>6925</v>
      </c>
      <c r="I208" s="87" t="s">
        <v>6926</v>
      </c>
      <c r="J208" s="87" t="s">
        <v>1852</v>
      </c>
      <c r="K208" s="153"/>
    </row>
    <row r="209" spans="1:11" x14ac:dyDescent="0.3">
      <c r="A209" s="87" t="s">
        <v>6927</v>
      </c>
      <c r="B209" s="87" t="s">
        <v>6851</v>
      </c>
      <c r="C209" s="87" t="s">
        <v>6928</v>
      </c>
      <c r="D209" s="87" t="s">
        <v>13</v>
      </c>
      <c r="E209" s="87" t="s">
        <v>14</v>
      </c>
      <c r="F209" s="87" t="s">
        <v>6929</v>
      </c>
      <c r="G209" s="87" t="s">
        <v>6930</v>
      </c>
      <c r="H209" s="87" t="s">
        <v>6931</v>
      </c>
      <c r="I209" s="87" t="s">
        <v>6932</v>
      </c>
      <c r="J209" s="87" t="s">
        <v>1852</v>
      </c>
      <c r="K209" s="155"/>
    </row>
    <row r="210" spans="1:11" x14ac:dyDescent="0.3">
      <c r="A210" s="87" t="s">
        <v>6933</v>
      </c>
      <c r="B210" s="87" t="s">
        <v>6851</v>
      </c>
      <c r="C210" s="87" t="s">
        <v>6934</v>
      </c>
      <c r="D210" s="87" t="s">
        <v>13</v>
      </c>
      <c r="E210" s="87" t="s">
        <v>14</v>
      </c>
      <c r="F210" s="87" t="s">
        <v>6935</v>
      </c>
      <c r="G210" s="87" t="s">
        <v>6936</v>
      </c>
      <c r="H210" s="87" t="s">
        <v>6937</v>
      </c>
      <c r="I210" s="87" t="s">
        <v>6938</v>
      </c>
      <c r="J210" s="87" t="s">
        <v>1852</v>
      </c>
      <c r="K210" s="153"/>
    </row>
    <row r="211" spans="1:11" x14ac:dyDescent="0.3">
      <c r="A211" s="87" t="s">
        <v>6939</v>
      </c>
      <c r="B211" s="87" t="s">
        <v>6851</v>
      </c>
      <c r="C211" s="87" t="s">
        <v>6940</v>
      </c>
      <c r="D211" s="87" t="s">
        <v>13</v>
      </c>
      <c r="E211" s="87" t="s">
        <v>804</v>
      </c>
      <c r="F211" s="87" t="s">
        <v>6941</v>
      </c>
      <c r="G211" s="87" t="s">
        <v>6942</v>
      </c>
      <c r="H211" s="87" t="s">
        <v>6943</v>
      </c>
      <c r="I211" s="87" t="s">
        <v>14</v>
      </c>
      <c r="J211" s="87" t="s">
        <v>1868</v>
      </c>
      <c r="K211" s="153"/>
    </row>
    <row r="212" spans="1:11" x14ac:dyDescent="0.3">
      <c r="A212" s="87" t="s">
        <v>6944</v>
      </c>
      <c r="B212" s="87" t="s">
        <v>6851</v>
      </c>
      <c r="C212" s="87" t="s">
        <v>6945</v>
      </c>
      <c r="D212" s="87" t="s">
        <v>13</v>
      </c>
      <c r="E212" s="87" t="s">
        <v>6588</v>
      </c>
      <c r="F212" s="87" t="s">
        <v>6946</v>
      </c>
      <c r="G212" s="87" t="s">
        <v>6947</v>
      </c>
      <c r="H212" s="87" t="s">
        <v>6948</v>
      </c>
      <c r="I212" s="87" t="s">
        <v>14</v>
      </c>
      <c r="J212" s="87" t="s">
        <v>1852</v>
      </c>
      <c r="K212" s="153"/>
    </row>
    <row r="213" spans="1:11" x14ac:dyDescent="0.3">
      <c r="A213" s="87" t="s">
        <v>6949</v>
      </c>
      <c r="B213" s="87" t="s">
        <v>6851</v>
      </c>
      <c r="C213" s="87" t="s">
        <v>6950</v>
      </c>
      <c r="D213" s="87" t="s">
        <v>13</v>
      </c>
      <c r="E213" s="87" t="s">
        <v>5973</v>
      </c>
      <c r="F213" s="87" t="s">
        <v>6951</v>
      </c>
      <c r="G213" s="87" t="s">
        <v>6952</v>
      </c>
      <c r="H213" s="87" t="s">
        <v>6953</v>
      </c>
      <c r="I213" s="87" t="s">
        <v>14</v>
      </c>
      <c r="J213" s="87" t="s">
        <v>1868</v>
      </c>
      <c r="K213" s="153"/>
    </row>
    <row r="214" spans="1:11" x14ac:dyDescent="0.3">
      <c r="A214" s="87" t="s">
        <v>6954</v>
      </c>
      <c r="B214" s="87" t="s">
        <v>6851</v>
      </c>
      <c r="C214" s="87" t="s">
        <v>6955</v>
      </c>
      <c r="D214" s="87" t="s">
        <v>13</v>
      </c>
      <c r="E214" s="87" t="s">
        <v>6588</v>
      </c>
      <c r="F214" s="87" t="s">
        <v>6956</v>
      </c>
      <c r="G214" s="87" t="s">
        <v>6957</v>
      </c>
      <c r="H214" s="87" t="s">
        <v>6958</v>
      </c>
      <c r="I214" s="87" t="s">
        <v>14</v>
      </c>
      <c r="J214" s="87" t="s">
        <v>1868</v>
      </c>
      <c r="K214" s="153"/>
    </row>
    <row r="215" spans="1:11" x14ac:dyDescent="0.3">
      <c r="A215" s="87" t="s">
        <v>6959</v>
      </c>
      <c r="B215" s="87" t="s">
        <v>6851</v>
      </c>
      <c r="C215" s="87" t="s">
        <v>6960</v>
      </c>
      <c r="D215" s="87" t="s">
        <v>13</v>
      </c>
      <c r="E215" s="87" t="s">
        <v>5973</v>
      </c>
      <c r="F215" s="87" t="s">
        <v>6961</v>
      </c>
      <c r="G215" s="87" t="s">
        <v>5975</v>
      </c>
      <c r="H215" s="87" t="s">
        <v>6962</v>
      </c>
      <c r="I215" s="87" t="s">
        <v>14</v>
      </c>
      <c r="J215" s="87" t="s">
        <v>1868</v>
      </c>
      <c r="K215" s="153"/>
    </row>
    <row r="216" spans="1:11" x14ac:dyDescent="0.3">
      <c r="A216" s="87" t="s">
        <v>13540</v>
      </c>
      <c r="B216" s="87" t="s">
        <v>6434</v>
      </c>
      <c r="C216" s="87" t="s">
        <v>13481</v>
      </c>
      <c r="D216" s="87" t="s">
        <v>13</v>
      </c>
      <c r="E216" s="87" t="s">
        <v>2874</v>
      </c>
      <c r="F216" s="179" t="s">
        <v>13482</v>
      </c>
      <c r="G216" s="179" t="s">
        <v>13483</v>
      </c>
      <c r="H216" s="179" t="s">
        <v>13484</v>
      </c>
      <c r="I216" s="179" t="s">
        <v>14</v>
      </c>
      <c r="J216" s="87" t="s">
        <v>1873</v>
      </c>
      <c r="K216" s="153"/>
    </row>
    <row r="217" spans="1:11" x14ac:dyDescent="0.3">
      <c r="A217" s="87" t="s">
        <v>13541</v>
      </c>
      <c r="B217" s="87" t="s">
        <v>6434</v>
      </c>
      <c r="C217" s="87" t="s">
        <v>13488</v>
      </c>
      <c r="D217" s="87" t="s">
        <v>13</v>
      </c>
      <c r="E217" s="87" t="s">
        <v>2879</v>
      </c>
      <c r="F217" s="179" t="s">
        <v>13489</v>
      </c>
      <c r="G217" s="179" t="s">
        <v>13490</v>
      </c>
      <c r="H217" s="179" t="s">
        <v>13491</v>
      </c>
      <c r="I217" s="179" t="s">
        <v>14</v>
      </c>
      <c r="J217" s="87" t="s">
        <v>1873</v>
      </c>
      <c r="K217" s="153"/>
    </row>
    <row r="218" spans="1:11" x14ac:dyDescent="0.3">
      <c r="A218" s="87" t="s">
        <v>13542</v>
      </c>
      <c r="B218" s="87" t="s">
        <v>6434</v>
      </c>
      <c r="C218" s="87" t="s">
        <v>13492</v>
      </c>
      <c r="D218" s="87" t="s">
        <v>13</v>
      </c>
      <c r="E218" s="87" t="s">
        <v>13455</v>
      </c>
      <c r="F218" s="179" t="s">
        <v>13493</v>
      </c>
      <c r="G218" s="179" t="s">
        <v>13494</v>
      </c>
      <c r="H218" s="179" t="s">
        <v>13495</v>
      </c>
      <c r="I218" s="179" t="s">
        <v>14</v>
      </c>
      <c r="J218" s="87" t="s">
        <v>1868</v>
      </c>
      <c r="K218" s="153"/>
    </row>
    <row r="219" spans="1:11" x14ac:dyDescent="0.3">
      <c r="A219" s="87" t="s">
        <v>13543</v>
      </c>
      <c r="B219" s="87" t="s">
        <v>6434</v>
      </c>
      <c r="C219" s="87" t="s">
        <v>13496</v>
      </c>
      <c r="D219" s="87" t="s">
        <v>13</v>
      </c>
      <c r="E219" s="87" t="s">
        <v>13455</v>
      </c>
      <c r="F219" s="179" t="s">
        <v>13497</v>
      </c>
      <c r="G219" s="179" t="s">
        <v>13494</v>
      </c>
      <c r="H219" s="179" t="s">
        <v>13498</v>
      </c>
      <c r="I219" s="179" t="s">
        <v>14</v>
      </c>
      <c r="J219" s="87" t="s">
        <v>1852</v>
      </c>
      <c r="K219" s="153"/>
    </row>
    <row r="220" spans="1:11" ht="28.8" x14ac:dyDescent="0.3">
      <c r="A220" s="87" t="s">
        <v>13544</v>
      </c>
      <c r="B220" s="87" t="s">
        <v>6434</v>
      </c>
      <c r="C220" s="87" t="s">
        <v>13499</v>
      </c>
      <c r="D220" s="87" t="s">
        <v>13</v>
      </c>
      <c r="E220" s="87" t="s">
        <v>13460</v>
      </c>
      <c r="F220" s="179" t="s">
        <v>13500</v>
      </c>
      <c r="G220" s="179" t="s">
        <v>13501</v>
      </c>
      <c r="H220" s="179" t="s">
        <v>13502</v>
      </c>
      <c r="I220" s="179" t="s">
        <v>14</v>
      </c>
      <c r="J220" s="87" t="s">
        <v>1868</v>
      </c>
      <c r="K220" s="153"/>
    </row>
    <row r="221" spans="1:11" x14ac:dyDescent="0.3">
      <c r="A221" s="87" t="s">
        <v>13545</v>
      </c>
      <c r="B221" s="87" t="s">
        <v>6434</v>
      </c>
      <c r="C221" s="87" t="s">
        <v>13503</v>
      </c>
      <c r="D221" s="87" t="s">
        <v>10</v>
      </c>
      <c r="E221" s="87" t="s">
        <v>13460</v>
      </c>
      <c r="F221" s="179" t="s">
        <v>13504</v>
      </c>
      <c r="G221" s="179" t="s">
        <v>13505</v>
      </c>
      <c r="H221" s="179" t="s">
        <v>13506</v>
      </c>
      <c r="I221" s="179" t="s">
        <v>13507</v>
      </c>
      <c r="J221" s="87" t="s">
        <v>1852</v>
      </c>
      <c r="K221" s="153"/>
    </row>
    <row r="222" spans="1:11" x14ac:dyDescent="0.3">
      <c r="A222" s="87" t="s">
        <v>13546</v>
      </c>
      <c r="B222" s="87" t="s">
        <v>6529</v>
      </c>
      <c r="C222" s="87" t="s">
        <v>13527</v>
      </c>
      <c r="D222" s="87" t="s">
        <v>10</v>
      </c>
      <c r="E222" s="87" t="s">
        <v>13473</v>
      </c>
      <c r="F222" s="179" t="s">
        <v>13528</v>
      </c>
      <c r="G222" s="179" t="s">
        <v>13529</v>
      </c>
      <c r="H222" s="179" t="s">
        <v>13530</v>
      </c>
      <c r="I222" s="179" t="s">
        <v>14</v>
      </c>
      <c r="J222" s="87" t="s">
        <v>1868</v>
      </c>
      <c r="K222" s="153"/>
    </row>
    <row r="223" spans="1:11" x14ac:dyDescent="0.3">
      <c r="A223" s="87" t="s">
        <v>13547</v>
      </c>
      <c r="B223" s="87" t="s">
        <v>6529</v>
      </c>
      <c r="C223" s="87" t="s">
        <v>13531</v>
      </c>
      <c r="D223" s="87" t="s">
        <v>13</v>
      </c>
      <c r="E223" s="87" t="s">
        <v>13473</v>
      </c>
      <c r="F223" s="179" t="s">
        <v>13532</v>
      </c>
      <c r="G223" s="179" t="s">
        <v>12041</v>
      </c>
      <c r="H223" s="179" t="s">
        <v>13533</v>
      </c>
      <c r="I223" s="179" t="s">
        <v>14</v>
      </c>
      <c r="J223" s="87" t="s">
        <v>1873</v>
      </c>
      <c r="K223" s="153"/>
    </row>
    <row r="224" spans="1:11" x14ac:dyDescent="0.3">
      <c r="K224" s="153"/>
    </row>
    <row r="225" spans="1:11" x14ac:dyDescent="0.3">
      <c r="K225" s="153"/>
    </row>
    <row r="226" spans="1:11" x14ac:dyDescent="0.3">
      <c r="A226" s="16" t="s">
        <v>6963</v>
      </c>
      <c r="B226" s="16"/>
      <c r="C226" s="16"/>
      <c r="K226" s="153"/>
    </row>
    <row r="227" spans="1:11" ht="18" x14ac:dyDescent="0.35">
      <c r="A227" s="17" t="s">
        <v>6964</v>
      </c>
      <c r="B227" s="16"/>
      <c r="C227" s="16"/>
      <c r="K227" s="153"/>
    </row>
    <row r="228" spans="1:11" x14ac:dyDescent="0.3">
      <c r="A228" s="16" t="s">
        <v>6963</v>
      </c>
      <c r="B228" s="16"/>
      <c r="C228" s="16"/>
      <c r="K228" s="153"/>
    </row>
    <row r="229" spans="1:11" x14ac:dyDescent="0.3">
      <c r="K229" s="153"/>
    </row>
    <row r="230" spans="1:11" x14ac:dyDescent="0.3">
      <c r="A230" s="16" t="s">
        <v>6965</v>
      </c>
      <c r="K230" s="153"/>
    </row>
    <row r="231" spans="1:11" x14ac:dyDescent="0.3">
      <c r="A231" s="141" t="s">
        <v>2</v>
      </c>
      <c r="B231" s="141" t="s">
        <v>1398</v>
      </c>
      <c r="C231" s="141" t="s">
        <v>6966</v>
      </c>
      <c r="K231" s="153"/>
    </row>
    <row r="232" spans="1:11" x14ac:dyDescent="0.3">
      <c r="A232" t="s">
        <v>5885</v>
      </c>
      <c r="B232">
        <f>COUNTIF($D$2:$D$223,"P")</f>
        <v>159</v>
      </c>
      <c r="C232" s="37">
        <f>IF(B235&gt;0,B232/B235,0)</f>
        <v>0.71621621621621623</v>
      </c>
      <c r="K232" s="153"/>
    </row>
    <row r="233" spans="1:11" x14ac:dyDescent="0.3">
      <c r="A233" t="s">
        <v>5886</v>
      </c>
      <c r="B233">
        <f>COUNTIF($D$2:$D$223,"N")</f>
        <v>20</v>
      </c>
      <c r="C233" s="37">
        <f>IF(B235&gt;0,B233/B235,0)</f>
        <v>9.0090090090090086E-2</v>
      </c>
      <c r="K233" s="153"/>
    </row>
    <row r="234" spans="1:11" x14ac:dyDescent="0.3">
      <c r="A234" t="s">
        <v>5887</v>
      </c>
      <c r="B234">
        <f>COUNTIF($D$2:$D$223,"E")</f>
        <v>43</v>
      </c>
      <c r="C234" s="37">
        <f>IF(B235&gt;0,B234/B235,0)</f>
        <v>0.19369369369369369</v>
      </c>
      <c r="K234" s="153"/>
    </row>
    <row r="235" spans="1:11" x14ac:dyDescent="0.3">
      <c r="A235" s="16" t="s">
        <v>4458</v>
      </c>
      <c r="B235" s="16">
        <f>SUM(B232:B234)</f>
        <v>222</v>
      </c>
      <c r="C235" s="140">
        <f>SUM(C232:C234)</f>
        <v>1</v>
      </c>
      <c r="K235" s="153"/>
    </row>
    <row r="236" spans="1:11" x14ac:dyDescent="0.3">
      <c r="K236" s="153"/>
    </row>
    <row r="237" spans="1:11" x14ac:dyDescent="0.3">
      <c r="A237" s="16" t="s">
        <v>6967</v>
      </c>
      <c r="K237" s="153"/>
    </row>
    <row r="238" spans="1:11" x14ac:dyDescent="0.3">
      <c r="A238" s="142" t="s">
        <v>1131</v>
      </c>
      <c r="B238" s="142" t="s">
        <v>1398</v>
      </c>
      <c r="C238" s="142" t="s">
        <v>6966</v>
      </c>
      <c r="K238" s="153"/>
    </row>
    <row r="239" spans="1:11" x14ac:dyDescent="0.3">
      <c r="A239" t="s">
        <v>5889</v>
      </c>
      <c r="B239">
        <f>COUNTIF($J$2:$J$223,"P1")</f>
        <v>158</v>
      </c>
      <c r="C239" s="37">
        <f>IF(B242&gt;0,B239/B242,0)</f>
        <v>0.71171171171171166</v>
      </c>
      <c r="K239" s="153"/>
    </row>
    <row r="240" spans="1:11" x14ac:dyDescent="0.3">
      <c r="A240" t="s">
        <v>5890</v>
      </c>
      <c r="B240">
        <f>COUNTIF($J$2:$J$223,"P2")</f>
        <v>60</v>
      </c>
      <c r="C240" s="37">
        <f>IF(B242&gt;0,B240/B242,0)</f>
        <v>0.27027027027027029</v>
      </c>
      <c r="K240" s="153"/>
    </row>
    <row r="241" spans="1:11" x14ac:dyDescent="0.3">
      <c r="A241" t="s">
        <v>6968</v>
      </c>
      <c r="B241">
        <f>COUNTIF($J$2:$J$223,"P3")</f>
        <v>4</v>
      </c>
      <c r="C241" s="37">
        <f>IF(B242&gt;0,B241/B242,0)</f>
        <v>1.8018018018018018E-2</v>
      </c>
      <c r="K241" s="153"/>
    </row>
    <row r="242" spans="1:11" x14ac:dyDescent="0.3">
      <c r="A242" s="16" t="s">
        <v>4458</v>
      </c>
      <c r="B242" s="16">
        <f>SUM(B239:B241)</f>
        <v>222</v>
      </c>
      <c r="C242" s="140">
        <f>SUM(C239:C241)</f>
        <v>1</v>
      </c>
      <c r="K242" s="153"/>
    </row>
    <row r="243" spans="1:11" x14ac:dyDescent="0.3">
      <c r="K243" s="153"/>
    </row>
    <row r="244" spans="1:11" x14ac:dyDescent="0.3">
      <c r="A244" s="16" t="s">
        <v>6969</v>
      </c>
      <c r="K244" s="153"/>
    </row>
    <row r="245" spans="1:11" x14ac:dyDescent="0.3">
      <c r="A245" s="143" t="s">
        <v>9</v>
      </c>
      <c r="B245" s="143" t="s">
        <v>1398</v>
      </c>
      <c r="K245" s="153"/>
    </row>
    <row r="246" spans="1:11" x14ac:dyDescent="0.3">
      <c r="A246" t="s">
        <v>5903</v>
      </c>
      <c r="B246">
        <f>COUNTIF($B$2:$B$223,"1. Alert Creation &amp; Lifecycle")</f>
        <v>20</v>
      </c>
      <c r="K246" s="153"/>
    </row>
    <row r="247" spans="1:11" x14ac:dyDescent="0.3">
      <c r="A247" t="s">
        <v>6007</v>
      </c>
      <c r="B247">
        <f>COUNTIF($B$2:$B$223,"2. Auto-Validation Alerts (AV-01 to AV-10)")</f>
        <v>23</v>
      </c>
      <c r="K247" s="153"/>
    </row>
    <row r="248" spans="1:11" x14ac:dyDescent="0.3">
      <c r="A248" t="s">
        <v>6109</v>
      </c>
      <c r="B248">
        <f>COUNTIF($B$2:$B$223,"3. Auto-Validation Alerts (AV-11 to AV-25)")</f>
        <v>24</v>
      </c>
      <c r="K248" s="153"/>
    </row>
    <row r="249" spans="1:11" x14ac:dyDescent="0.3">
      <c r="A249" t="s">
        <v>6226</v>
      </c>
      <c r="B249">
        <f>COUNTIF($B$2:$B$223,"4. Config Drift Detection &amp; Lifecycle")</f>
        <v>22</v>
      </c>
      <c r="K249" s="153"/>
    </row>
    <row r="250" spans="1:11" x14ac:dyDescent="0.3">
      <c r="A250" t="s">
        <v>6340</v>
      </c>
      <c r="B250">
        <f>COUNTIF($B$2:$B$223,"5. External System Sync (SYNC Rules)")</f>
        <v>22</v>
      </c>
      <c r="K250" s="153"/>
    </row>
    <row r="251" spans="1:11" x14ac:dyDescent="0.3">
      <c r="A251" t="s">
        <v>6434</v>
      </c>
      <c r="B251">
        <f>COUNTIF($B$2:$B$223,"6. Notification &amp; Escalation Rules")</f>
        <v>28</v>
      </c>
      <c r="K251" s="153"/>
    </row>
    <row r="252" spans="1:11" x14ac:dyDescent="0.3">
      <c r="A252" t="s">
        <v>6529</v>
      </c>
      <c r="B252">
        <f>COUNTIF($B$2:$B$223,"7. Alert Permissions &amp; Visibility")</f>
        <v>20</v>
      </c>
      <c r="K252" s="153"/>
    </row>
    <row r="253" spans="1:11" x14ac:dyDescent="0.3">
      <c r="A253" t="s">
        <v>6623</v>
      </c>
      <c r="B253">
        <f>COUNTIF($B$2:$B$223,"8. Scheduled Jobs &amp; Batch Processing")</f>
        <v>20</v>
      </c>
      <c r="K253" s="153"/>
    </row>
    <row r="254" spans="1:11" x14ac:dyDescent="0.3">
      <c r="A254" t="s">
        <v>6731</v>
      </c>
      <c r="B254">
        <f>COUNTIF($B$2:$B$223,"9. Alert Edge Cases &amp; Error Handling")</f>
        <v>23</v>
      </c>
      <c r="K254" s="153"/>
    </row>
    <row r="255" spans="1:11" x14ac:dyDescent="0.3">
      <c r="A255" t="s">
        <v>6851</v>
      </c>
      <c r="B255">
        <f>COUNTIF($B$2:$B$223,"10. Integration &amp; Cross-Entity Alerts")</f>
        <v>20</v>
      </c>
      <c r="K255" s="153"/>
    </row>
    <row r="256" spans="1:11" x14ac:dyDescent="0.3">
      <c r="K256" s="153"/>
    </row>
    <row r="257" spans="1:11" x14ac:dyDescent="0.3">
      <c r="A257" s="16" t="s">
        <v>6970</v>
      </c>
      <c r="K257" s="153"/>
    </row>
    <row r="258" spans="1:11" x14ac:dyDescent="0.3">
      <c r="A258" s="144" t="s">
        <v>6971</v>
      </c>
      <c r="B258" s="144" t="s">
        <v>6972</v>
      </c>
      <c r="K258" s="153"/>
    </row>
    <row r="259" spans="1:11" x14ac:dyDescent="0.3">
      <c r="A259" t="s">
        <v>6973</v>
      </c>
      <c r="B259" t="s">
        <v>6974</v>
      </c>
      <c r="K259" s="153"/>
    </row>
    <row r="260" spans="1:11" x14ac:dyDescent="0.3">
      <c r="A260" t="s">
        <v>6975</v>
      </c>
      <c r="B260" t="s">
        <v>13548</v>
      </c>
      <c r="K260" s="153"/>
    </row>
    <row r="261" spans="1:11" x14ac:dyDescent="0.3">
      <c r="A261" t="s">
        <v>6976</v>
      </c>
      <c r="B261" t="s">
        <v>13549</v>
      </c>
      <c r="K261" s="153"/>
    </row>
    <row r="262" spans="1:11" x14ac:dyDescent="0.3">
      <c r="A262" t="s">
        <v>3674</v>
      </c>
      <c r="B262" t="s">
        <v>6977</v>
      </c>
      <c r="K262" s="153"/>
    </row>
    <row r="263" spans="1:11" x14ac:dyDescent="0.3">
      <c r="A263" t="s">
        <v>6978</v>
      </c>
      <c r="B263" t="s">
        <v>13550</v>
      </c>
      <c r="K263" s="153"/>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E1D0-503A-4525-BCCA-BFC4FADA08FD}">
  <dimension ref="A1:K226"/>
  <sheetViews>
    <sheetView topLeftCell="G1" workbookViewId="0">
      <pane ySplit="1" topLeftCell="A2" activePane="bottomLeft" state="frozen"/>
      <selection pane="bottomLeft" activeCell="G46" sqref="G46"/>
    </sheetView>
  </sheetViews>
  <sheetFormatPr defaultRowHeight="14.4" x14ac:dyDescent="0.3"/>
  <cols>
    <col min="1" max="1" width="18.5546875" customWidth="1"/>
    <col min="2" max="2" width="40.77734375" customWidth="1"/>
    <col min="3" max="3" width="51.88671875" customWidth="1"/>
    <col min="4" max="4" width="9.21875" customWidth="1"/>
    <col min="5" max="5" width="22.21875" customWidth="1"/>
    <col min="6" max="7" width="51.88671875" customWidth="1"/>
    <col min="8" max="8" width="61.88671875" customWidth="1"/>
    <col min="9" max="9" width="46.3320312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7763</v>
      </c>
      <c r="B2" s="46" t="s">
        <v>7764</v>
      </c>
      <c r="C2" s="46" t="s">
        <v>7765</v>
      </c>
      <c r="D2" s="46" t="s">
        <v>13</v>
      </c>
      <c r="E2" s="46" t="s">
        <v>7766</v>
      </c>
      <c r="F2" s="46" t="s">
        <v>12867</v>
      </c>
      <c r="G2" s="46" t="s">
        <v>7767</v>
      </c>
      <c r="H2" s="46" t="s">
        <v>7768</v>
      </c>
      <c r="I2" s="46" t="s">
        <v>7769</v>
      </c>
      <c r="J2" s="46" t="s">
        <v>1852</v>
      </c>
      <c r="K2" s="155"/>
    </row>
    <row r="3" spans="1:11" x14ac:dyDescent="0.3">
      <c r="A3" s="46" t="s">
        <v>7770</v>
      </c>
      <c r="B3" s="46" t="s">
        <v>7764</v>
      </c>
      <c r="C3" s="46" t="s">
        <v>7771</v>
      </c>
      <c r="D3" s="46" t="s">
        <v>13</v>
      </c>
      <c r="E3" s="46" t="s">
        <v>7772</v>
      </c>
      <c r="F3" s="46" t="s">
        <v>7773</v>
      </c>
      <c r="G3" s="46" t="s">
        <v>7774</v>
      </c>
      <c r="H3" s="46" t="s">
        <v>7775</v>
      </c>
      <c r="I3" s="46" t="s">
        <v>7776</v>
      </c>
      <c r="J3" s="46" t="s">
        <v>1852</v>
      </c>
      <c r="K3" s="153"/>
    </row>
    <row r="4" spans="1:11" x14ac:dyDescent="0.3">
      <c r="A4" s="46" t="s">
        <v>7777</v>
      </c>
      <c r="B4" s="46" t="s">
        <v>7764</v>
      </c>
      <c r="C4" s="46" t="s">
        <v>7778</v>
      </c>
      <c r="D4" s="46" t="s">
        <v>13</v>
      </c>
      <c r="E4" s="46" t="s">
        <v>537</v>
      </c>
      <c r="F4" s="46" t="s">
        <v>7779</v>
      </c>
      <c r="G4" s="46" t="s">
        <v>7780</v>
      </c>
      <c r="H4" s="46" t="s">
        <v>7781</v>
      </c>
      <c r="I4" s="46" t="s">
        <v>14</v>
      </c>
      <c r="J4" s="46" t="s">
        <v>1868</v>
      </c>
      <c r="K4" s="153"/>
    </row>
    <row r="5" spans="1:11" x14ac:dyDescent="0.3">
      <c r="A5" s="46" t="s">
        <v>7782</v>
      </c>
      <c r="B5" s="46" t="s">
        <v>7764</v>
      </c>
      <c r="C5" s="46" t="s">
        <v>7783</v>
      </c>
      <c r="D5" s="46" t="s">
        <v>10</v>
      </c>
      <c r="E5" s="46" t="s">
        <v>537</v>
      </c>
      <c r="F5" s="46" t="s">
        <v>7779</v>
      </c>
      <c r="G5" s="46" t="s">
        <v>7784</v>
      </c>
      <c r="H5" s="46" t="s">
        <v>7785</v>
      </c>
      <c r="I5" s="46" t="s">
        <v>7786</v>
      </c>
      <c r="J5" s="46" t="s">
        <v>1852</v>
      </c>
      <c r="K5" s="153"/>
    </row>
    <row r="6" spans="1:11" x14ac:dyDescent="0.3">
      <c r="A6" s="46" t="s">
        <v>7787</v>
      </c>
      <c r="B6" s="46" t="s">
        <v>7764</v>
      </c>
      <c r="C6" s="46" t="s">
        <v>7788</v>
      </c>
      <c r="D6" s="46" t="s">
        <v>10</v>
      </c>
      <c r="E6" s="46" t="s">
        <v>537</v>
      </c>
      <c r="F6" s="46" t="s">
        <v>7779</v>
      </c>
      <c r="G6" s="46" t="s">
        <v>7789</v>
      </c>
      <c r="H6" s="46" t="s">
        <v>7790</v>
      </c>
      <c r="I6" s="46" t="s">
        <v>7791</v>
      </c>
      <c r="J6" s="46" t="s">
        <v>1852</v>
      </c>
      <c r="K6" s="153"/>
    </row>
    <row r="7" spans="1:11" x14ac:dyDescent="0.3">
      <c r="A7" s="46" t="s">
        <v>7792</v>
      </c>
      <c r="B7" s="46" t="s">
        <v>7764</v>
      </c>
      <c r="C7" s="46" t="s">
        <v>7793</v>
      </c>
      <c r="D7" s="46" t="s">
        <v>13</v>
      </c>
      <c r="E7" s="46" t="s">
        <v>1577</v>
      </c>
      <c r="F7" s="46" t="s">
        <v>7779</v>
      </c>
      <c r="G7" s="46" t="s">
        <v>7794</v>
      </c>
      <c r="H7" s="46" t="s">
        <v>7795</v>
      </c>
      <c r="I7" s="46" t="s">
        <v>14</v>
      </c>
      <c r="J7" s="46" t="s">
        <v>1852</v>
      </c>
      <c r="K7" s="153"/>
    </row>
    <row r="8" spans="1:11" x14ac:dyDescent="0.3">
      <c r="A8" s="46" t="s">
        <v>7796</v>
      </c>
      <c r="B8" s="46" t="s">
        <v>7764</v>
      </c>
      <c r="C8" s="46" t="s">
        <v>7797</v>
      </c>
      <c r="D8" s="46" t="s">
        <v>13</v>
      </c>
      <c r="E8" s="46" t="s">
        <v>1577</v>
      </c>
      <c r="F8" s="46" t="s">
        <v>7779</v>
      </c>
      <c r="G8" s="46" t="s">
        <v>7798</v>
      </c>
      <c r="H8" s="46" t="s">
        <v>7799</v>
      </c>
      <c r="I8" s="46" t="s">
        <v>14</v>
      </c>
      <c r="J8" s="46" t="s">
        <v>1868</v>
      </c>
      <c r="K8" s="153"/>
    </row>
    <row r="9" spans="1:11" x14ac:dyDescent="0.3">
      <c r="A9" s="46" t="s">
        <v>7800</v>
      </c>
      <c r="B9" s="46" t="s">
        <v>7764</v>
      </c>
      <c r="C9" s="46" t="s">
        <v>7801</v>
      </c>
      <c r="D9" s="46" t="s">
        <v>13</v>
      </c>
      <c r="E9" s="46" t="s">
        <v>1577</v>
      </c>
      <c r="F9" s="46" t="s">
        <v>7779</v>
      </c>
      <c r="G9" s="46" t="s">
        <v>7802</v>
      </c>
      <c r="H9" s="46" t="s">
        <v>7803</v>
      </c>
      <c r="I9" s="46" t="s">
        <v>14</v>
      </c>
      <c r="J9" s="46" t="s">
        <v>1868</v>
      </c>
      <c r="K9" s="153"/>
    </row>
    <row r="10" spans="1:11" x14ac:dyDescent="0.3">
      <c r="A10" s="46" t="s">
        <v>7804</v>
      </c>
      <c r="B10" s="46" t="s">
        <v>7764</v>
      </c>
      <c r="C10" s="46" t="s">
        <v>7805</v>
      </c>
      <c r="D10" s="46" t="s">
        <v>10</v>
      </c>
      <c r="E10" s="46" t="s">
        <v>1577</v>
      </c>
      <c r="F10" s="46" t="s">
        <v>7779</v>
      </c>
      <c r="G10" s="46" t="s">
        <v>7806</v>
      </c>
      <c r="H10" s="46" t="s">
        <v>7807</v>
      </c>
      <c r="I10" s="46" t="s">
        <v>7808</v>
      </c>
      <c r="J10" s="46" t="s">
        <v>1852</v>
      </c>
      <c r="K10" s="153"/>
    </row>
    <row r="11" spans="1:11" x14ac:dyDescent="0.3">
      <c r="A11" s="46" t="s">
        <v>7809</v>
      </c>
      <c r="B11" s="46" t="s">
        <v>7764</v>
      </c>
      <c r="C11" s="46" t="s">
        <v>7810</v>
      </c>
      <c r="D11" s="46" t="s">
        <v>10</v>
      </c>
      <c r="E11" s="46" t="s">
        <v>1577</v>
      </c>
      <c r="F11" s="46" t="s">
        <v>7779</v>
      </c>
      <c r="G11" s="46" t="s">
        <v>7811</v>
      </c>
      <c r="H11" s="46" t="s">
        <v>7812</v>
      </c>
      <c r="I11" s="46" t="s">
        <v>7813</v>
      </c>
      <c r="J11" s="46" t="s">
        <v>1852</v>
      </c>
      <c r="K11" s="153"/>
    </row>
    <row r="12" spans="1:11" x14ac:dyDescent="0.3">
      <c r="A12" s="46" t="s">
        <v>7814</v>
      </c>
      <c r="B12" s="46" t="s">
        <v>7764</v>
      </c>
      <c r="C12" s="46" t="s">
        <v>7815</v>
      </c>
      <c r="D12" s="46" t="s">
        <v>13</v>
      </c>
      <c r="E12" s="46" t="s">
        <v>1577</v>
      </c>
      <c r="F12" s="46" t="s">
        <v>7779</v>
      </c>
      <c r="G12" s="46" t="s">
        <v>7816</v>
      </c>
      <c r="H12" s="46" t="s">
        <v>7817</v>
      </c>
      <c r="I12" s="46" t="s">
        <v>14</v>
      </c>
      <c r="J12" s="46" t="s">
        <v>1868</v>
      </c>
      <c r="K12" s="153"/>
    </row>
    <row r="13" spans="1:11" x14ac:dyDescent="0.3">
      <c r="A13" s="46" t="s">
        <v>7818</v>
      </c>
      <c r="B13" s="46" t="s">
        <v>7764</v>
      </c>
      <c r="C13" s="46" t="s">
        <v>7819</v>
      </c>
      <c r="D13" s="46" t="s">
        <v>13</v>
      </c>
      <c r="E13" s="46" t="s">
        <v>1577</v>
      </c>
      <c r="F13" s="46" t="s">
        <v>7820</v>
      </c>
      <c r="G13" s="46" t="s">
        <v>7821</v>
      </c>
      <c r="H13" s="46" t="s">
        <v>7822</v>
      </c>
      <c r="I13" s="46" t="s">
        <v>14</v>
      </c>
      <c r="J13" s="46" t="s">
        <v>1868</v>
      </c>
      <c r="K13" s="153"/>
    </row>
    <row r="14" spans="1:11" x14ac:dyDescent="0.3">
      <c r="A14" s="46" t="s">
        <v>7823</v>
      </c>
      <c r="B14" s="46" t="s">
        <v>7764</v>
      </c>
      <c r="C14" s="46" t="s">
        <v>7824</v>
      </c>
      <c r="D14" s="46" t="s">
        <v>10</v>
      </c>
      <c r="E14" s="46" t="s">
        <v>1577</v>
      </c>
      <c r="F14" s="46" t="s">
        <v>7825</v>
      </c>
      <c r="G14" s="46" t="s">
        <v>7826</v>
      </c>
      <c r="H14" s="46" t="s">
        <v>7827</v>
      </c>
      <c r="I14" s="46" t="s">
        <v>7828</v>
      </c>
      <c r="J14" s="46" t="s">
        <v>1852</v>
      </c>
      <c r="K14" s="153"/>
    </row>
    <row r="15" spans="1:11" x14ac:dyDescent="0.3">
      <c r="A15" s="46" t="s">
        <v>7829</v>
      </c>
      <c r="B15" s="46" t="s">
        <v>7764</v>
      </c>
      <c r="C15" s="46" t="s">
        <v>7830</v>
      </c>
      <c r="D15" s="46" t="s">
        <v>10</v>
      </c>
      <c r="E15" s="46" t="s">
        <v>1577</v>
      </c>
      <c r="F15" s="46" t="s">
        <v>7831</v>
      </c>
      <c r="G15" s="46" t="s">
        <v>7826</v>
      </c>
      <c r="H15" s="46" t="s">
        <v>7832</v>
      </c>
      <c r="I15" s="46" t="s">
        <v>7833</v>
      </c>
      <c r="J15" s="46" t="s">
        <v>1852</v>
      </c>
      <c r="K15" s="153"/>
    </row>
    <row r="16" spans="1:11" x14ac:dyDescent="0.3">
      <c r="A16" s="46" t="s">
        <v>7834</v>
      </c>
      <c r="B16" s="46" t="s">
        <v>7764</v>
      </c>
      <c r="C16" s="46" t="s">
        <v>7835</v>
      </c>
      <c r="D16" s="46" t="s">
        <v>10</v>
      </c>
      <c r="E16" s="46" t="s">
        <v>1813</v>
      </c>
      <c r="F16" s="46" t="s">
        <v>2485</v>
      </c>
      <c r="G16" s="46" t="s">
        <v>7836</v>
      </c>
      <c r="H16" s="46" t="s">
        <v>7837</v>
      </c>
      <c r="I16" s="46" t="s">
        <v>7838</v>
      </c>
      <c r="J16" s="46" t="s">
        <v>1852</v>
      </c>
      <c r="K16" s="153"/>
    </row>
    <row r="17" spans="1:11" x14ac:dyDescent="0.3">
      <c r="A17" s="46" t="s">
        <v>7839</v>
      </c>
      <c r="B17" s="46" t="s">
        <v>7764</v>
      </c>
      <c r="C17" s="46" t="s">
        <v>7840</v>
      </c>
      <c r="D17" s="46" t="s">
        <v>10</v>
      </c>
      <c r="E17" s="46" t="s">
        <v>1813</v>
      </c>
      <c r="F17" s="46" t="s">
        <v>7841</v>
      </c>
      <c r="G17" s="46" t="s">
        <v>7836</v>
      </c>
      <c r="H17" s="46" t="s">
        <v>7837</v>
      </c>
      <c r="I17" s="46" t="s">
        <v>7842</v>
      </c>
      <c r="J17" s="46" t="s">
        <v>1852</v>
      </c>
      <c r="K17" s="153"/>
    </row>
    <row r="18" spans="1:11" x14ac:dyDescent="0.3">
      <c r="A18" s="89" t="s">
        <v>7843</v>
      </c>
      <c r="B18" s="89" t="s">
        <v>7844</v>
      </c>
      <c r="C18" s="89" t="s">
        <v>7845</v>
      </c>
      <c r="D18" s="89" t="s">
        <v>13</v>
      </c>
      <c r="E18" s="89" t="s">
        <v>7846</v>
      </c>
      <c r="F18" s="89" t="s">
        <v>7847</v>
      </c>
      <c r="G18" s="89" t="s">
        <v>7848</v>
      </c>
      <c r="H18" s="89" t="s">
        <v>7849</v>
      </c>
      <c r="I18" s="89" t="s">
        <v>14</v>
      </c>
      <c r="J18" s="89" t="s">
        <v>1852</v>
      </c>
      <c r="K18" s="153"/>
    </row>
    <row r="19" spans="1:11" x14ac:dyDescent="0.3">
      <c r="A19" s="89" t="s">
        <v>7850</v>
      </c>
      <c r="B19" s="89" t="s">
        <v>7844</v>
      </c>
      <c r="C19" s="89" t="s">
        <v>7851</v>
      </c>
      <c r="D19" s="89" t="s">
        <v>13</v>
      </c>
      <c r="E19" s="89" t="s">
        <v>7846</v>
      </c>
      <c r="F19" s="89" t="s">
        <v>7847</v>
      </c>
      <c r="G19" s="89" t="s">
        <v>7852</v>
      </c>
      <c r="H19" s="89" t="s">
        <v>7853</v>
      </c>
      <c r="I19" s="89" t="s">
        <v>14</v>
      </c>
      <c r="J19" s="89" t="s">
        <v>1852</v>
      </c>
      <c r="K19" s="153"/>
    </row>
    <row r="20" spans="1:11" x14ac:dyDescent="0.3">
      <c r="A20" s="89" t="s">
        <v>7854</v>
      </c>
      <c r="B20" s="89" t="s">
        <v>7844</v>
      </c>
      <c r="C20" s="89" t="s">
        <v>7855</v>
      </c>
      <c r="D20" s="89" t="s">
        <v>13</v>
      </c>
      <c r="E20" s="89" t="s">
        <v>7846</v>
      </c>
      <c r="F20" s="89" t="s">
        <v>7856</v>
      </c>
      <c r="G20" s="89" t="s">
        <v>7857</v>
      </c>
      <c r="H20" s="89" t="s">
        <v>7858</v>
      </c>
      <c r="I20" s="89" t="s">
        <v>14</v>
      </c>
      <c r="J20" s="89" t="s">
        <v>1852</v>
      </c>
      <c r="K20" s="153"/>
    </row>
    <row r="21" spans="1:11" x14ac:dyDescent="0.3">
      <c r="A21" s="89" t="s">
        <v>7859</v>
      </c>
      <c r="B21" s="89" t="s">
        <v>7844</v>
      </c>
      <c r="C21" s="89" t="s">
        <v>7860</v>
      </c>
      <c r="D21" s="89" t="s">
        <v>13</v>
      </c>
      <c r="E21" s="89" t="s">
        <v>7846</v>
      </c>
      <c r="F21" s="89" t="s">
        <v>7861</v>
      </c>
      <c r="G21" s="89" t="s">
        <v>7862</v>
      </c>
      <c r="H21" s="89" t="s">
        <v>7863</v>
      </c>
      <c r="I21" s="89" t="s">
        <v>14</v>
      </c>
      <c r="J21" s="89" t="s">
        <v>1852</v>
      </c>
      <c r="K21" s="153"/>
    </row>
    <row r="22" spans="1:11" x14ac:dyDescent="0.3">
      <c r="A22" s="89" t="s">
        <v>7864</v>
      </c>
      <c r="B22" s="89" t="s">
        <v>7844</v>
      </c>
      <c r="C22" s="89" t="s">
        <v>7865</v>
      </c>
      <c r="D22" s="89" t="s">
        <v>13</v>
      </c>
      <c r="E22" s="89" t="s">
        <v>7846</v>
      </c>
      <c r="F22" s="89" t="s">
        <v>7856</v>
      </c>
      <c r="G22" s="89" t="s">
        <v>7852</v>
      </c>
      <c r="H22" s="89" t="s">
        <v>7853</v>
      </c>
      <c r="I22" s="89" t="s">
        <v>14</v>
      </c>
      <c r="J22" s="89" t="s">
        <v>1868</v>
      </c>
      <c r="K22" s="153"/>
    </row>
    <row r="23" spans="1:11" x14ac:dyDescent="0.3">
      <c r="A23" s="89" t="s">
        <v>7866</v>
      </c>
      <c r="B23" s="89" t="s">
        <v>7844</v>
      </c>
      <c r="C23" s="89" t="s">
        <v>7867</v>
      </c>
      <c r="D23" s="89" t="s">
        <v>13</v>
      </c>
      <c r="E23" s="89" t="s">
        <v>7846</v>
      </c>
      <c r="F23" s="89" t="s">
        <v>7868</v>
      </c>
      <c r="G23" s="89" t="s">
        <v>7869</v>
      </c>
      <c r="H23" s="89" t="s">
        <v>7870</v>
      </c>
      <c r="I23" s="89" t="s">
        <v>14</v>
      </c>
      <c r="J23" s="89" t="s">
        <v>1868</v>
      </c>
      <c r="K23" s="153"/>
    </row>
    <row r="24" spans="1:11" x14ac:dyDescent="0.3">
      <c r="A24" s="89" t="s">
        <v>7871</v>
      </c>
      <c r="B24" s="89" t="s">
        <v>7844</v>
      </c>
      <c r="C24" s="89" t="s">
        <v>7872</v>
      </c>
      <c r="D24" s="89" t="s">
        <v>13</v>
      </c>
      <c r="E24" s="89" t="s">
        <v>7846</v>
      </c>
      <c r="F24" s="89" t="s">
        <v>7868</v>
      </c>
      <c r="G24" s="89" t="s">
        <v>7857</v>
      </c>
      <c r="H24" s="89" t="s">
        <v>7858</v>
      </c>
      <c r="I24" s="89" t="s">
        <v>14</v>
      </c>
      <c r="J24" s="89" t="s">
        <v>1852</v>
      </c>
      <c r="K24" s="153"/>
    </row>
    <row r="25" spans="1:11" x14ac:dyDescent="0.3">
      <c r="A25" s="89" t="s">
        <v>7873</v>
      </c>
      <c r="B25" s="89" t="s">
        <v>7844</v>
      </c>
      <c r="C25" s="89" t="s">
        <v>7874</v>
      </c>
      <c r="D25" s="89" t="s">
        <v>13</v>
      </c>
      <c r="E25" s="89" t="s">
        <v>7846</v>
      </c>
      <c r="F25" s="89" t="s">
        <v>7868</v>
      </c>
      <c r="G25" s="89" t="s">
        <v>7875</v>
      </c>
      <c r="H25" s="89" t="s">
        <v>7853</v>
      </c>
      <c r="I25" s="89" t="s">
        <v>14</v>
      </c>
      <c r="J25" s="89" t="s">
        <v>1868</v>
      </c>
      <c r="K25" s="153"/>
    </row>
    <row r="26" spans="1:11" x14ac:dyDescent="0.3">
      <c r="A26" s="89" t="s">
        <v>7876</v>
      </c>
      <c r="B26" s="89" t="s">
        <v>7844</v>
      </c>
      <c r="C26" s="89" t="s">
        <v>7877</v>
      </c>
      <c r="D26" s="89" t="s">
        <v>13</v>
      </c>
      <c r="E26" s="89" t="s">
        <v>7846</v>
      </c>
      <c r="F26" s="89" t="s">
        <v>7878</v>
      </c>
      <c r="G26" s="89" t="s">
        <v>7879</v>
      </c>
      <c r="H26" s="89" t="s">
        <v>7880</v>
      </c>
      <c r="I26" s="89" t="s">
        <v>14</v>
      </c>
      <c r="J26" s="89" t="s">
        <v>1852</v>
      </c>
      <c r="K26" s="153"/>
    </row>
    <row r="27" spans="1:11" x14ac:dyDescent="0.3">
      <c r="A27" s="89" t="s">
        <v>7881</v>
      </c>
      <c r="B27" s="89" t="s">
        <v>7844</v>
      </c>
      <c r="C27" s="89" t="s">
        <v>7882</v>
      </c>
      <c r="D27" s="89" t="s">
        <v>13</v>
      </c>
      <c r="E27" s="89" t="s">
        <v>7846</v>
      </c>
      <c r="F27" s="89" t="s">
        <v>7883</v>
      </c>
      <c r="G27" s="89" t="s">
        <v>7884</v>
      </c>
      <c r="H27" s="89" t="s">
        <v>7885</v>
      </c>
      <c r="I27" s="89" t="s">
        <v>14</v>
      </c>
      <c r="J27" s="89" t="s">
        <v>1852</v>
      </c>
      <c r="K27" s="153"/>
    </row>
    <row r="28" spans="1:11" x14ac:dyDescent="0.3">
      <c r="A28" s="89" t="s">
        <v>7886</v>
      </c>
      <c r="B28" s="89" t="s">
        <v>7844</v>
      </c>
      <c r="C28" s="89" t="s">
        <v>7887</v>
      </c>
      <c r="D28" s="89" t="s">
        <v>13</v>
      </c>
      <c r="E28" s="89" t="s">
        <v>7846</v>
      </c>
      <c r="F28" s="89" t="s">
        <v>7888</v>
      </c>
      <c r="G28" s="89" t="s">
        <v>7889</v>
      </c>
      <c r="H28" s="89" t="s">
        <v>7890</v>
      </c>
      <c r="I28" s="89" t="s">
        <v>14</v>
      </c>
      <c r="J28" s="89" t="s">
        <v>1852</v>
      </c>
      <c r="K28" s="153"/>
    </row>
    <row r="29" spans="1:11" x14ac:dyDescent="0.3">
      <c r="A29" s="89" t="s">
        <v>7891</v>
      </c>
      <c r="B29" s="89" t="s">
        <v>7844</v>
      </c>
      <c r="C29" s="89" t="s">
        <v>7892</v>
      </c>
      <c r="D29" s="89" t="s">
        <v>13</v>
      </c>
      <c r="E29" s="89" t="s">
        <v>7846</v>
      </c>
      <c r="F29" s="89" t="s">
        <v>7893</v>
      </c>
      <c r="G29" s="89" t="s">
        <v>7894</v>
      </c>
      <c r="H29" s="89" t="s">
        <v>7895</v>
      </c>
      <c r="I29" s="89" t="s">
        <v>14</v>
      </c>
      <c r="J29" s="89" t="s">
        <v>1852</v>
      </c>
      <c r="K29" s="153"/>
    </row>
    <row r="30" spans="1:11" x14ac:dyDescent="0.3">
      <c r="A30" s="89" t="s">
        <v>7896</v>
      </c>
      <c r="B30" s="89" t="s">
        <v>7844</v>
      </c>
      <c r="C30" s="89" t="s">
        <v>7897</v>
      </c>
      <c r="D30" s="89" t="s">
        <v>13</v>
      </c>
      <c r="E30" s="89" t="s">
        <v>7846</v>
      </c>
      <c r="F30" s="89" t="s">
        <v>7893</v>
      </c>
      <c r="G30" s="89" t="s">
        <v>7898</v>
      </c>
      <c r="H30" s="89" t="s">
        <v>7895</v>
      </c>
      <c r="I30" s="89" t="s">
        <v>14</v>
      </c>
      <c r="J30" s="89" t="s">
        <v>1852</v>
      </c>
      <c r="K30" s="153"/>
    </row>
    <row r="31" spans="1:11" x14ac:dyDescent="0.3">
      <c r="A31" s="89" t="s">
        <v>7899</v>
      </c>
      <c r="B31" s="89" t="s">
        <v>7844</v>
      </c>
      <c r="C31" s="89" t="s">
        <v>7900</v>
      </c>
      <c r="D31" s="89" t="s">
        <v>13</v>
      </c>
      <c r="E31" s="89" t="s">
        <v>7846</v>
      </c>
      <c r="F31" s="89" t="s">
        <v>7901</v>
      </c>
      <c r="G31" s="89" t="s">
        <v>7902</v>
      </c>
      <c r="H31" s="89" t="s">
        <v>7895</v>
      </c>
      <c r="I31" s="89" t="s">
        <v>14</v>
      </c>
      <c r="J31" s="89" t="s">
        <v>1868</v>
      </c>
      <c r="K31" s="153"/>
    </row>
    <row r="32" spans="1:11" x14ac:dyDescent="0.3">
      <c r="A32" s="47" t="s">
        <v>7903</v>
      </c>
      <c r="B32" s="47" t="s">
        <v>7904</v>
      </c>
      <c r="C32" s="47" t="s">
        <v>7905</v>
      </c>
      <c r="D32" s="47" t="s">
        <v>10</v>
      </c>
      <c r="E32" s="47" t="s">
        <v>7846</v>
      </c>
      <c r="F32" s="47" t="s">
        <v>7847</v>
      </c>
      <c r="G32" s="47" t="s">
        <v>7906</v>
      </c>
      <c r="H32" s="47" t="s">
        <v>7907</v>
      </c>
      <c r="I32" s="47" t="s">
        <v>7908</v>
      </c>
      <c r="J32" s="47" t="s">
        <v>1852</v>
      </c>
      <c r="K32" s="153"/>
    </row>
    <row r="33" spans="1:11" x14ac:dyDescent="0.3">
      <c r="A33" s="47" t="s">
        <v>7909</v>
      </c>
      <c r="B33" s="47" t="s">
        <v>7904</v>
      </c>
      <c r="C33" s="47" t="s">
        <v>7910</v>
      </c>
      <c r="D33" s="47" t="s">
        <v>10</v>
      </c>
      <c r="E33" s="47" t="s">
        <v>7846</v>
      </c>
      <c r="F33" s="47" t="s">
        <v>7847</v>
      </c>
      <c r="G33" s="47" t="s">
        <v>7911</v>
      </c>
      <c r="H33" s="47" t="s">
        <v>7912</v>
      </c>
      <c r="I33" s="47" t="s">
        <v>7913</v>
      </c>
      <c r="J33" s="47" t="s">
        <v>1852</v>
      </c>
      <c r="K33" s="153"/>
    </row>
    <row r="34" spans="1:11" x14ac:dyDescent="0.3">
      <c r="A34" s="47" t="s">
        <v>7914</v>
      </c>
      <c r="B34" s="47" t="s">
        <v>7904</v>
      </c>
      <c r="C34" s="47" t="s">
        <v>7915</v>
      </c>
      <c r="D34" s="47" t="s">
        <v>10</v>
      </c>
      <c r="E34" s="47" t="s">
        <v>7846</v>
      </c>
      <c r="F34" s="47" t="s">
        <v>7847</v>
      </c>
      <c r="G34" s="47" t="s">
        <v>7916</v>
      </c>
      <c r="H34" s="47" t="s">
        <v>7917</v>
      </c>
      <c r="I34" s="47" t="s">
        <v>7918</v>
      </c>
      <c r="J34" s="47" t="s">
        <v>1852</v>
      </c>
      <c r="K34" s="153"/>
    </row>
    <row r="35" spans="1:11" x14ac:dyDescent="0.3">
      <c r="A35" s="47" t="s">
        <v>7919</v>
      </c>
      <c r="B35" s="47" t="s">
        <v>7904</v>
      </c>
      <c r="C35" s="47" t="s">
        <v>7920</v>
      </c>
      <c r="D35" s="47" t="s">
        <v>10</v>
      </c>
      <c r="E35" s="47" t="s">
        <v>7846</v>
      </c>
      <c r="F35" s="47" t="s">
        <v>7856</v>
      </c>
      <c r="G35" s="47" t="s">
        <v>7911</v>
      </c>
      <c r="H35" s="47" t="s">
        <v>7921</v>
      </c>
      <c r="I35" s="47" t="s">
        <v>7922</v>
      </c>
      <c r="J35" s="47" t="s">
        <v>1852</v>
      </c>
      <c r="K35" s="153"/>
    </row>
    <row r="36" spans="1:11" x14ac:dyDescent="0.3">
      <c r="A36" s="47" t="s">
        <v>7923</v>
      </c>
      <c r="B36" s="47" t="s">
        <v>7904</v>
      </c>
      <c r="C36" s="47" t="s">
        <v>7924</v>
      </c>
      <c r="D36" s="47" t="s">
        <v>10</v>
      </c>
      <c r="E36" s="47" t="s">
        <v>7846</v>
      </c>
      <c r="F36" s="47" t="s">
        <v>7856</v>
      </c>
      <c r="G36" s="47" t="s">
        <v>7916</v>
      </c>
      <c r="H36" s="47" t="s">
        <v>7925</v>
      </c>
      <c r="I36" s="47" t="s">
        <v>7926</v>
      </c>
      <c r="J36" s="47" t="s">
        <v>1852</v>
      </c>
      <c r="K36" s="153"/>
    </row>
    <row r="37" spans="1:11" x14ac:dyDescent="0.3">
      <c r="A37" s="47" t="s">
        <v>7927</v>
      </c>
      <c r="B37" s="47" t="s">
        <v>7904</v>
      </c>
      <c r="C37" s="47" t="s">
        <v>7928</v>
      </c>
      <c r="D37" s="47" t="s">
        <v>10</v>
      </c>
      <c r="E37" s="47" t="s">
        <v>7846</v>
      </c>
      <c r="F37" s="47" t="s">
        <v>7868</v>
      </c>
      <c r="G37" s="47" t="s">
        <v>7911</v>
      </c>
      <c r="H37" s="47" t="s">
        <v>7921</v>
      </c>
      <c r="I37" s="47" t="s">
        <v>7929</v>
      </c>
      <c r="J37" s="47" t="s">
        <v>1852</v>
      </c>
      <c r="K37" s="153"/>
    </row>
    <row r="38" spans="1:11" x14ac:dyDescent="0.3">
      <c r="A38" s="47" t="s">
        <v>7930</v>
      </c>
      <c r="B38" s="47" t="s">
        <v>7904</v>
      </c>
      <c r="C38" s="47" t="s">
        <v>7931</v>
      </c>
      <c r="D38" s="47" t="s">
        <v>10</v>
      </c>
      <c r="E38" s="47" t="s">
        <v>7932</v>
      </c>
      <c r="F38" s="47" t="s">
        <v>7933</v>
      </c>
      <c r="G38" s="47" t="s">
        <v>7934</v>
      </c>
      <c r="H38" s="47" t="s">
        <v>7935</v>
      </c>
      <c r="I38" s="47" t="s">
        <v>7936</v>
      </c>
      <c r="J38" s="47" t="s">
        <v>1852</v>
      </c>
      <c r="K38" s="153"/>
    </row>
    <row r="39" spans="1:11" x14ac:dyDescent="0.3">
      <c r="A39" s="47" t="s">
        <v>7937</v>
      </c>
      <c r="B39" s="47" t="s">
        <v>7904</v>
      </c>
      <c r="C39" s="47" t="s">
        <v>7938</v>
      </c>
      <c r="D39" s="47" t="s">
        <v>10</v>
      </c>
      <c r="E39" s="47" t="s">
        <v>7846</v>
      </c>
      <c r="F39" s="47" t="s">
        <v>7939</v>
      </c>
      <c r="G39" s="47" t="s">
        <v>7934</v>
      </c>
      <c r="H39" s="47" t="s">
        <v>7940</v>
      </c>
      <c r="I39" s="47" t="s">
        <v>7941</v>
      </c>
      <c r="J39" s="47" t="s">
        <v>1852</v>
      </c>
      <c r="K39" s="153"/>
    </row>
    <row r="40" spans="1:11" x14ac:dyDescent="0.3">
      <c r="A40" s="47" t="s">
        <v>7942</v>
      </c>
      <c r="B40" s="47" t="s">
        <v>7904</v>
      </c>
      <c r="C40" s="47" t="s">
        <v>7943</v>
      </c>
      <c r="D40" s="47" t="s">
        <v>10</v>
      </c>
      <c r="E40" s="47" t="s">
        <v>7846</v>
      </c>
      <c r="F40" s="47" t="s">
        <v>7878</v>
      </c>
      <c r="G40" s="47" t="s">
        <v>7944</v>
      </c>
      <c r="H40" s="47" t="s">
        <v>7945</v>
      </c>
      <c r="I40" s="47" t="s">
        <v>7946</v>
      </c>
      <c r="J40" s="47" t="s">
        <v>1852</v>
      </c>
      <c r="K40" s="153"/>
    </row>
    <row r="41" spans="1:11" x14ac:dyDescent="0.3">
      <c r="A41" s="47" t="s">
        <v>7947</v>
      </c>
      <c r="B41" s="47" t="s">
        <v>7904</v>
      </c>
      <c r="C41" s="47" t="s">
        <v>7948</v>
      </c>
      <c r="D41" s="47" t="s">
        <v>10</v>
      </c>
      <c r="E41" s="47" t="s">
        <v>7846</v>
      </c>
      <c r="F41" s="47" t="s">
        <v>7888</v>
      </c>
      <c r="G41" s="47" t="s">
        <v>7906</v>
      </c>
      <c r="H41" s="47" t="s">
        <v>7907</v>
      </c>
      <c r="I41" s="47" t="s">
        <v>7949</v>
      </c>
      <c r="J41" s="47" t="s">
        <v>1852</v>
      </c>
      <c r="K41" s="153"/>
    </row>
    <row r="42" spans="1:11" x14ac:dyDescent="0.3">
      <c r="A42" s="47" t="s">
        <v>7950</v>
      </c>
      <c r="B42" s="47" t="s">
        <v>7904</v>
      </c>
      <c r="C42" s="47" t="s">
        <v>7951</v>
      </c>
      <c r="D42" s="47" t="s">
        <v>10</v>
      </c>
      <c r="E42" s="47" t="s">
        <v>7846</v>
      </c>
      <c r="F42" s="47" t="s">
        <v>7888</v>
      </c>
      <c r="G42" s="47" t="s">
        <v>7911</v>
      </c>
      <c r="H42" s="47" t="s">
        <v>7952</v>
      </c>
      <c r="I42" s="47" t="s">
        <v>7953</v>
      </c>
      <c r="J42" s="47" t="s">
        <v>1852</v>
      </c>
      <c r="K42" s="153"/>
    </row>
    <row r="43" spans="1:11" x14ac:dyDescent="0.3">
      <c r="A43" s="47" t="s">
        <v>7954</v>
      </c>
      <c r="B43" s="47" t="s">
        <v>7904</v>
      </c>
      <c r="C43" s="47" t="s">
        <v>7955</v>
      </c>
      <c r="D43" s="47" t="s">
        <v>10</v>
      </c>
      <c r="E43" s="47" t="s">
        <v>7846</v>
      </c>
      <c r="F43" s="47" t="s">
        <v>7956</v>
      </c>
      <c r="G43" s="47" t="s">
        <v>7957</v>
      </c>
      <c r="H43" s="47" t="s">
        <v>7958</v>
      </c>
      <c r="I43" s="47" t="s">
        <v>7959</v>
      </c>
      <c r="J43" s="47" t="s">
        <v>1852</v>
      </c>
      <c r="K43" s="153"/>
    </row>
    <row r="44" spans="1:11" x14ac:dyDescent="0.3">
      <c r="A44" s="47" t="s">
        <v>7960</v>
      </c>
      <c r="B44" s="47" t="s">
        <v>7904</v>
      </c>
      <c r="C44" s="47" t="s">
        <v>7961</v>
      </c>
      <c r="D44" s="47" t="s">
        <v>10</v>
      </c>
      <c r="E44" s="47" t="s">
        <v>7846</v>
      </c>
      <c r="F44" s="47" t="s">
        <v>7962</v>
      </c>
      <c r="G44" s="47" t="s">
        <v>7963</v>
      </c>
      <c r="H44" s="47" t="s">
        <v>7964</v>
      </c>
      <c r="I44" s="47" t="s">
        <v>7965</v>
      </c>
      <c r="J44" s="47" t="s">
        <v>1868</v>
      </c>
      <c r="K44" s="153"/>
    </row>
    <row r="45" spans="1:11" x14ac:dyDescent="0.3">
      <c r="A45" s="47" t="s">
        <v>7966</v>
      </c>
      <c r="B45" s="47" t="s">
        <v>7904</v>
      </c>
      <c r="C45" s="47" t="s">
        <v>7967</v>
      </c>
      <c r="D45" s="47" t="s">
        <v>10</v>
      </c>
      <c r="E45" s="47" t="s">
        <v>1420</v>
      </c>
      <c r="F45" s="47" t="s">
        <v>7968</v>
      </c>
      <c r="G45" s="47" t="s">
        <v>7969</v>
      </c>
      <c r="H45" s="47" t="s">
        <v>7970</v>
      </c>
      <c r="I45" s="47" t="s">
        <v>7971</v>
      </c>
      <c r="J45" s="47" t="s">
        <v>1852</v>
      </c>
      <c r="K45" s="153"/>
    </row>
    <row r="46" spans="1:11" ht="57.6" x14ac:dyDescent="0.3">
      <c r="A46" s="40" t="s">
        <v>7972</v>
      </c>
      <c r="B46" s="40" t="s">
        <v>7973</v>
      </c>
      <c r="C46" s="40" t="s">
        <v>7974</v>
      </c>
      <c r="D46" s="40" t="s">
        <v>10</v>
      </c>
      <c r="E46" s="40" t="s">
        <v>7975</v>
      </c>
      <c r="F46" s="40" t="s">
        <v>7976</v>
      </c>
      <c r="G46" s="40" t="s">
        <v>7977</v>
      </c>
      <c r="H46" s="40" t="s">
        <v>13792</v>
      </c>
      <c r="I46" s="40" t="s">
        <v>7978</v>
      </c>
      <c r="J46" s="40" t="s">
        <v>1852</v>
      </c>
      <c r="K46" s="154" t="s">
        <v>12852</v>
      </c>
    </row>
    <row r="47" spans="1:11" x14ac:dyDescent="0.3">
      <c r="A47" s="40" t="s">
        <v>7979</v>
      </c>
      <c r="B47" s="40" t="s">
        <v>7973</v>
      </c>
      <c r="C47" s="40" t="s">
        <v>7980</v>
      </c>
      <c r="D47" s="40" t="s">
        <v>10</v>
      </c>
      <c r="E47" s="40" t="s">
        <v>16</v>
      </c>
      <c r="F47" s="40" t="s">
        <v>7981</v>
      </c>
      <c r="G47" s="40" t="s">
        <v>7982</v>
      </c>
      <c r="H47" s="40" t="s">
        <v>13782</v>
      </c>
      <c r="I47" s="40" t="s">
        <v>7983</v>
      </c>
      <c r="J47" s="40" t="s">
        <v>1852</v>
      </c>
      <c r="K47" s="153"/>
    </row>
    <row r="48" spans="1:11" x14ac:dyDescent="0.3">
      <c r="A48" s="40" t="s">
        <v>7984</v>
      </c>
      <c r="B48" s="40" t="s">
        <v>7973</v>
      </c>
      <c r="C48" s="40" t="s">
        <v>7985</v>
      </c>
      <c r="D48" s="40" t="s">
        <v>10</v>
      </c>
      <c r="E48" s="40" t="s">
        <v>7986</v>
      </c>
      <c r="F48" s="40" t="s">
        <v>7987</v>
      </c>
      <c r="G48" s="40" t="s">
        <v>7988</v>
      </c>
      <c r="H48" s="40" t="s">
        <v>13783</v>
      </c>
      <c r="I48" s="40" t="s">
        <v>7989</v>
      </c>
      <c r="J48" s="40" t="s">
        <v>1852</v>
      </c>
      <c r="K48" s="153"/>
    </row>
    <row r="49" spans="1:11" x14ac:dyDescent="0.3">
      <c r="A49" s="40" t="s">
        <v>7990</v>
      </c>
      <c r="B49" s="40" t="s">
        <v>7973</v>
      </c>
      <c r="C49" s="40" t="s">
        <v>7991</v>
      </c>
      <c r="D49" s="40" t="s">
        <v>13</v>
      </c>
      <c r="E49" s="40" t="s">
        <v>16</v>
      </c>
      <c r="F49" s="40" t="s">
        <v>7992</v>
      </c>
      <c r="G49" s="40" t="s">
        <v>7993</v>
      </c>
      <c r="H49" s="40" t="s">
        <v>7994</v>
      </c>
      <c r="I49" s="40" t="s">
        <v>14</v>
      </c>
      <c r="J49" s="40" t="s">
        <v>1852</v>
      </c>
      <c r="K49" s="153"/>
    </row>
    <row r="50" spans="1:11" x14ac:dyDescent="0.3">
      <c r="A50" s="40" t="s">
        <v>7995</v>
      </c>
      <c r="B50" s="40" t="s">
        <v>7973</v>
      </c>
      <c r="C50" s="40" t="s">
        <v>7996</v>
      </c>
      <c r="D50" s="40" t="s">
        <v>13</v>
      </c>
      <c r="E50" s="40" t="s">
        <v>7986</v>
      </c>
      <c r="F50" s="40" t="s">
        <v>7997</v>
      </c>
      <c r="G50" s="40" t="s">
        <v>7998</v>
      </c>
      <c r="H50" s="40" t="s">
        <v>7999</v>
      </c>
      <c r="I50" s="40" t="s">
        <v>14</v>
      </c>
      <c r="J50" s="40" t="s">
        <v>1852</v>
      </c>
      <c r="K50" s="153"/>
    </row>
    <row r="51" spans="1:11" x14ac:dyDescent="0.3">
      <c r="A51" s="40" t="s">
        <v>8000</v>
      </c>
      <c r="B51" s="40" t="s">
        <v>7973</v>
      </c>
      <c r="C51" s="40" t="s">
        <v>8001</v>
      </c>
      <c r="D51" s="40" t="s">
        <v>10</v>
      </c>
      <c r="E51" s="40" t="s">
        <v>16</v>
      </c>
      <c r="F51" s="40" t="s">
        <v>8002</v>
      </c>
      <c r="G51" s="40" t="s">
        <v>7982</v>
      </c>
      <c r="H51" s="40" t="s">
        <v>13784</v>
      </c>
      <c r="I51" s="40" t="s">
        <v>8003</v>
      </c>
      <c r="J51" s="40" t="s">
        <v>1852</v>
      </c>
      <c r="K51" s="153"/>
    </row>
    <row r="52" spans="1:11" x14ac:dyDescent="0.3">
      <c r="A52" s="40" t="s">
        <v>8004</v>
      </c>
      <c r="B52" s="40" t="s">
        <v>7973</v>
      </c>
      <c r="C52" s="40" t="s">
        <v>8005</v>
      </c>
      <c r="D52" s="40" t="s">
        <v>13</v>
      </c>
      <c r="E52" s="40" t="s">
        <v>39</v>
      </c>
      <c r="F52" s="40" t="s">
        <v>8006</v>
      </c>
      <c r="G52" s="40" t="s">
        <v>8007</v>
      </c>
      <c r="H52" s="40" t="s">
        <v>8008</v>
      </c>
      <c r="I52" s="40" t="s">
        <v>8009</v>
      </c>
      <c r="J52" s="40" t="s">
        <v>1852</v>
      </c>
      <c r="K52" s="153"/>
    </row>
    <row r="53" spans="1:11" x14ac:dyDescent="0.3">
      <c r="A53" s="40" t="s">
        <v>8010</v>
      </c>
      <c r="B53" s="40" t="s">
        <v>7973</v>
      </c>
      <c r="C53" s="40" t="s">
        <v>8011</v>
      </c>
      <c r="D53" s="40" t="s">
        <v>10</v>
      </c>
      <c r="E53" s="40" t="s">
        <v>39</v>
      </c>
      <c r="F53" s="40" t="s">
        <v>8012</v>
      </c>
      <c r="G53" s="40" t="s">
        <v>8013</v>
      </c>
      <c r="H53" s="40" t="s">
        <v>8014</v>
      </c>
      <c r="I53" s="40" t="s">
        <v>8015</v>
      </c>
      <c r="J53" s="40" t="s">
        <v>1852</v>
      </c>
      <c r="K53" s="153"/>
    </row>
    <row r="54" spans="1:11" x14ac:dyDescent="0.3">
      <c r="A54" s="40" t="s">
        <v>8016</v>
      </c>
      <c r="B54" s="40" t="s">
        <v>7973</v>
      </c>
      <c r="C54" s="40" t="s">
        <v>8017</v>
      </c>
      <c r="D54" s="40" t="s">
        <v>13</v>
      </c>
      <c r="E54" s="40" t="s">
        <v>8018</v>
      </c>
      <c r="F54" s="40" t="s">
        <v>8019</v>
      </c>
      <c r="G54" s="40" t="s">
        <v>8020</v>
      </c>
      <c r="H54" s="40" t="s">
        <v>8021</v>
      </c>
      <c r="I54" s="40" t="s">
        <v>8022</v>
      </c>
      <c r="J54" s="40" t="s">
        <v>1852</v>
      </c>
      <c r="K54" s="153"/>
    </row>
    <row r="55" spans="1:11" x14ac:dyDescent="0.3">
      <c r="A55" s="40" t="s">
        <v>8023</v>
      </c>
      <c r="B55" s="40" t="s">
        <v>7973</v>
      </c>
      <c r="C55" s="40" t="s">
        <v>8024</v>
      </c>
      <c r="D55" s="40" t="s">
        <v>13</v>
      </c>
      <c r="E55" s="40" t="s">
        <v>704</v>
      </c>
      <c r="F55" s="40" t="s">
        <v>8025</v>
      </c>
      <c r="G55" s="40" t="s">
        <v>8026</v>
      </c>
      <c r="H55" s="40" t="s">
        <v>8027</v>
      </c>
      <c r="I55" s="40" t="s">
        <v>8028</v>
      </c>
      <c r="J55" s="40" t="s">
        <v>1852</v>
      </c>
      <c r="K55" s="153"/>
    </row>
    <row r="56" spans="1:11" x14ac:dyDescent="0.3">
      <c r="A56" s="40" t="s">
        <v>8029</v>
      </c>
      <c r="B56" s="40" t="s">
        <v>7973</v>
      </c>
      <c r="C56" s="40" t="s">
        <v>8030</v>
      </c>
      <c r="D56" s="40" t="s">
        <v>13</v>
      </c>
      <c r="E56" s="40" t="s">
        <v>704</v>
      </c>
      <c r="F56" s="40" t="s">
        <v>12868</v>
      </c>
      <c r="G56" s="40" t="s">
        <v>8031</v>
      </c>
      <c r="H56" s="40" t="s">
        <v>8032</v>
      </c>
      <c r="I56" s="40" t="s">
        <v>8033</v>
      </c>
      <c r="J56" s="40" t="s">
        <v>1852</v>
      </c>
      <c r="K56" s="153"/>
    </row>
    <row r="57" spans="1:11" x14ac:dyDescent="0.3">
      <c r="A57" s="40" t="s">
        <v>8034</v>
      </c>
      <c r="B57" s="40" t="s">
        <v>7973</v>
      </c>
      <c r="C57" s="40" t="s">
        <v>8035</v>
      </c>
      <c r="D57" s="40" t="s">
        <v>13</v>
      </c>
      <c r="E57" s="40" t="s">
        <v>704</v>
      </c>
      <c r="F57" s="40" t="s">
        <v>8036</v>
      </c>
      <c r="G57" s="40" t="s">
        <v>8037</v>
      </c>
      <c r="H57" s="40" t="s">
        <v>8038</v>
      </c>
      <c r="I57" s="40" t="s">
        <v>8039</v>
      </c>
      <c r="J57" s="40" t="s">
        <v>1852</v>
      </c>
      <c r="K57" s="153"/>
    </row>
    <row r="58" spans="1:11" x14ac:dyDescent="0.3">
      <c r="A58" s="40" t="s">
        <v>8040</v>
      </c>
      <c r="B58" s="40" t="s">
        <v>7973</v>
      </c>
      <c r="C58" s="40" t="s">
        <v>8041</v>
      </c>
      <c r="D58" s="40" t="s">
        <v>13</v>
      </c>
      <c r="E58" s="40" t="s">
        <v>594</v>
      </c>
      <c r="F58" s="40" t="s">
        <v>8042</v>
      </c>
      <c r="G58" s="40" t="s">
        <v>8043</v>
      </c>
      <c r="H58" s="40" t="s">
        <v>8044</v>
      </c>
      <c r="I58" s="40" t="s">
        <v>14</v>
      </c>
      <c r="J58" s="40" t="s">
        <v>1868</v>
      </c>
      <c r="K58" s="153"/>
    </row>
    <row r="59" spans="1:11" x14ac:dyDescent="0.3">
      <c r="A59" s="40" t="s">
        <v>8045</v>
      </c>
      <c r="B59" s="40" t="s">
        <v>7973</v>
      </c>
      <c r="C59" s="40" t="s">
        <v>8046</v>
      </c>
      <c r="D59" s="40" t="s">
        <v>13</v>
      </c>
      <c r="E59" s="40" t="s">
        <v>594</v>
      </c>
      <c r="F59" s="40" t="s">
        <v>8047</v>
      </c>
      <c r="G59" s="40" t="s">
        <v>8048</v>
      </c>
      <c r="H59" s="40" t="s">
        <v>12904</v>
      </c>
      <c r="I59" s="40" t="s">
        <v>14</v>
      </c>
      <c r="J59" s="40" t="s">
        <v>1868</v>
      </c>
      <c r="K59" s="156"/>
    </row>
    <row r="60" spans="1:11" x14ac:dyDescent="0.3">
      <c r="A60" s="40" t="s">
        <v>8049</v>
      </c>
      <c r="B60" s="40" t="s">
        <v>7973</v>
      </c>
      <c r="C60" s="40" t="s">
        <v>8050</v>
      </c>
      <c r="D60" s="40" t="s">
        <v>13</v>
      </c>
      <c r="E60" s="40" t="s">
        <v>7373</v>
      </c>
      <c r="F60" s="40" t="s">
        <v>8051</v>
      </c>
      <c r="G60" s="40" t="s">
        <v>8052</v>
      </c>
      <c r="H60" s="40" t="s">
        <v>8053</v>
      </c>
      <c r="I60" s="40" t="s">
        <v>14</v>
      </c>
      <c r="J60" s="40" t="s">
        <v>1852</v>
      </c>
      <c r="K60" s="153"/>
    </row>
    <row r="61" spans="1:11" x14ac:dyDescent="0.3">
      <c r="A61" s="40" t="s">
        <v>8054</v>
      </c>
      <c r="B61" s="40" t="s">
        <v>7973</v>
      </c>
      <c r="C61" s="40" t="s">
        <v>8055</v>
      </c>
      <c r="D61" s="40" t="s">
        <v>13</v>
      </c>
      <c r="E61" s="40" t="s">
        <v>1037</v>
      </c>
      <c r="F61" s="40" t="s">
        <v>8056</v>
      </c>
      <c r="G61" s="40" t="s">
        <v>8057</v>
      </c>
      <c r="H61" s="40" t="s">
        <v>8058</v>
      </c>
      <c r="I61" s="40" t="s">
        <v>14</v>
      </c>
      <c r="J61" s="40" t="s">
        <v>1852</v>
      </c>
      <c r="K61" s="153"/>
    </row>
    <row r="62" spans="1:11" x14ac:dyDescent="0.3">
      <c r="A62" s="40" t="s">
        <v>8059</v>
      </c>
      <c r="B62" s="40" t="s">
        <v>7973</v>
      </c>
      <c r="C62" s="40" t="s">
        <v>8060</v>
      </c>
      <c r="D62" s="40" t="s">
        <v>13</v>
      </c>
      <c r="E62" s="40" t="s">
        <v>1037</v>
      </c>
      <c r="F62" s="40" t="s">
        <v>8061</v>
      </c>
      <c r="G62" s="40" t="s">
        <v>8062</v>
      </c>
      <c r="H62" s="40" t="s">
        <v>8063</v>
      </c>
      <c r="I62" s="40" t="s">
        <v>14</v>
      </c>
      <c r="J62" s="40" t="s">
        <v>1852</v>
      </c>
      <c r="K62" s="153"/>
    </row>
    <row r="63" spans="1:11" x14ac:dyDescent="0.3">
      <c r="A63" s="40" t="s">
        <v>8064</v>
      </c>
      <c r="B63" s="40" t="s">
        <v>7973</v>
      </c>
      <c r="C63" s="40" t="s">
        <v>8065</v>
      </c>
      <c r="D63" s="40" t="s">
        <v>13</v>
      </c>
      <c r="E63" s="40" t="s">
        <v>25</v>
      </c>
      <c r="F63" s="40" t="s">
        <v>8066</v>
      </c>
      <c r="G63" s="40" t="s">
        <v>8057</v>
      </c>
      <c r="H63" s="40" t="s">
        <v>8067</v>
      </c>
      <c r="I63" s="40" t="s">
        <v>8068</v>
      </c>
      <c r="J63" s="40" t="s">
        <v>1852</v>
      </c>
      <c r="K63" s="153"/>
    </row>
    <row r="64" spans="1:11" x14ac:dyDescent="0.3">
      <c r="A64" s="90" t="s">
        <v>8069</v>
      </c>
      <c r="B64" s="90" t="s">
        <v>8070</v>
      </c>
      <c r="C64" s="90" t="s">
        <v>2478</v>
      </c>
      <c r="D64" s="90" t="s">
        <v>13</v>
      </c>
      <c r="E64" s="90" t="s">
        <v>643</v>
      </c>
      <c r="F64" s="90" t="s">
        <v>8071</v>
      </c>
      <c r="G64" s="90" t="s">
        <v>8072</v>
      </c>
      <c r="H64" s="90" t="s">
        <v>8073</v>
      </c>
      <c r="I64" s="90" t="s">
        <v>8074</v>
      </c>
      <c r="J64" s="90" t="s">
        <v>1852</v>
      </c>
      <c r="K64" s="153"/>
    </row>
    <row r="65" spans="1:11" x14ac:dyDescent="0.3">
      <c r="A65" s="90" t="s">
        <v>8075</v>
      </c>
      <c r="B65" s="90" t="s">
        <v>8070</v>
      </c>
      <c r="C65" s="90" t="s">
        <v>8076</v>
      </c>
      <c r="D65" s="90" t="s">
        <v>13</v>
      </c>
      <c r="E65" s="90" t="s">
        <v>8077</v>
      </c>
      <c r="F65" s="90" t="s">
        <v>8078</v>
      </c>
      <c r="G65" s="90" t="s">
        <v>8079</v>
      </c>
      <c r="H65" s="90" t="s">
        <v>8080</v>
      </c>
      <c r="I65" s="90" t="s">
        <v>8081</v>
      </c>
      <c r="J65" s="90" t="s">
        <v>1852</v>
      </c>
      <c r="K65" s="153"/>
    </row>
    <row r="66" spans="1:11" x14ac:dyDescent="0.3">
      <c r="A66" s="90" t="s">
        <v>8082</v>
      </c>
      <c r="B66" s="90" t="s">
        <v>8070</v>
      </c>
      <c r="C66" s="90" t="s">
        <v>8083</v>
      </c>
      <c r="D66" s="90" t="s">
        <v>13</v>
      </c>
      <c r="E66" s="90" t="s">
        <v>7846</v>
      </c>
      <c r="F66" s="90" t="s">
        <v>8084</v>
      </c>
      <c r="G66" s="90" t="s">
        <v>8079</v>
      </c>
      <c r="H66" s="90" t="s">
        <v>8080</v>
      </c>
      <c r="I66" s="90" t="s">
        <v>7941</v>
      </c>
      <c r="J66" s="90" t="s">
        <v>1852</v>
      </c>
      <c r="K66" s="153"/>
    </row>
    <row r="67" spans="1:11" ht="43.2" x14ac:dyDescent="0.3">
      <c r="A67" s="90" t="s">
        <v>8085</v>
      </c>
      <c r="B67" s="90" t="s">
        <v>8070</v>
      </c>
      <c r="C67" s="90" t="s">
        <v>8086</v>
      </c>
      <c r="D67" s="90" t="s">
        <v>13</v>
      </c>
      <c r="E67" s="90" t="s">
        <v>1813</v>
      </c>
      <c r="F67" s="90" t="s">
        <v>8087</v>
      </c>
      <c r="G67" s="90" t="s">
        <v>8088</v>
      </c>
      <c r="H67" s="90" t="s">
        <v>8089</v>
      </c>
      <c r="I67" s="90" t="s">
        <v>8090</v>
      </c>
      <c r="J67" s="90" t="s">
        <v>1852</v>
      </c>
      <c r="K67" s="154" t="s">
        <v>12853</v>
      </c>
    </row>
    <row r="68" spans="1:11" x14ac:dyDescent="0.3">
      <c r="A68" s="90" t="s">
        <v>8091</v>
      </c>
      <c r="B68" s="90" t="s">
        <v>8070</v>
      </c>
      <c r="C68" s="90" t="s">
        <v>8092</v>
      </c>
      <c r="D68" s="90" t="s">
        <v>10</v>
      </c>
      <c r="E68" s="90" t="s">
        <v>1813</v>
      </c>
      <c r="F68" s="90" t="s">
        <v>2485</v>
      </c>
      <c r="G68" s="90" t="s">
        <v>7836</v>
      </c>
      <c r="H68" s="90" t="s">
        <v>8093</v>
      </c>
      <c r="I68" s="90" t="s">
        <v>8094</v>
      </c>
      <c r="J68" s="90" t="s">
        <v>1852</v>
      </c>
      <c r="K68" s="153"/>
    </row>
    <row r="69" spans="1:11" x14ac:dyDescent="0.3">
      <c r="A69" s="90" t="s">
        <v>8095</v>
      </c>
      <c r="B69" s="90" t="s">
        <v>8070</v>
      </c>
      <c r="C69" s="90" t="s">
        <v>12870</v>
      </c>
      <c r="D69" s="90" t="s">
        <v>13</v>
      </c>
      <c r="E69" s="90" t="s">
        <v>1813</v>
      </c>
      <c r="F69" s="90" t="s">
        <v>12869</v>
      </c>
      <c r="G69" s="90" t="s">
        <v>8096</v>
      </c>
      <c r="H69" s="90" t="s">
        <v>8097</v>
      </c>
      <c r="I69" s="90" t="s">
        <v>14</v>
      </c>
      <c r="J69" s="90" t="s">
        <v>1868</v>
      </c>
      <c r="K69" s="153"/>
    </row>
    <row r="70" spans="1:11" x14ac:dyDescent="0.3">
      <c r="A70" s="90" t="s">
        <v>8098</v>
      </c>
      <c r="B70" s="90" t="s">
        <v>8070</v>
      </c>
      <c r="C70" s="90" t="s">
        <v>8099</v>
      </c>
      <c r="D70" s="90" t="s">
        <v>13</v>
      </c>
      <c r="E70" s="90" t="s">
        <v>1813</v>
      </c>
      <c r="F70" s="90" t="s">
        <v>8100</v>
      </c>
      <c r="G70" s="90" t="s">
        <v>8101</v>
      </c>
      <c r="H70" s="90" t="s">
        <v>8097</v>
      </c>
      <c r="I70" s="90" t="s">
        <v>14</v>
      </c>
      <c r="J70" s="90" t="s">
        <v>1868</v>
      </c>
      <c r="K70" s="153"/>
    </row>
    <row r="71" spans="1:11" x14ac:dyDescent="0.3">
      <c r="A71" s="90" t="s">
        <v>8102</v>
      </c>
      <c r="B71" s="90" t="s">
        <v>8070</v>
      </c>
      <c r="C71" s="90" t="s">
        <v>8103</v>
      </c>
      <c r="D71" s="90" t="s">
        <v>13</v>
      </c>
      <c r="E71" s="90" t="s">
        <v>1813</v>
      </c>
      <c r="F71" s="90" t="s">
        <v>8104</v>
      </c>
      <c r="G71" s="90" t="s">
        <v>8105</v>
      </c>
      <c r="H71" s="90" t="s">
        <v>8097</v>
      </c>
      <c r="I71" s="90" t="s">
        <v>14</v>
      </c>
      <c r="J71" s="90" t="s">
        <v>1868</v>
      </c>
      <c r="K71" s="153"/>
    </row>
    <row r="72" spans="1:11" x14ac:dyDescent="0.3">
      <c r="A72" s="90" t="s">
        <v>8106</v>
      </c>
      <c r="B72" s="90" t="s">
        <v>8070</v>
      </c>
      <c r="C72" s="90" t="s">
        <v>8107</v>
      </c>
      <c r="D72" s="90" t="s">
        <v>10</v>
      </c>
      <c r="E72" s="90" t="s">
        <v>537</v>
      </c>
      <c r="F72" s="90" t="s">
        <v>8108</v>
      </c>
      <c r="G72" s="90" t="s">
        <v>8109</v>
      </c>
      <c r="H72" s="90" t="s">
        <v>8110</v>
      </c>
      <c r="I72" s="90" t="s">
        <v>7786</v>
      </c>
      <c r="J72" s="90" t="s">
        <v>1868</v>
      </c>
      <c r="K72" s="153"/>
    </row>
    <row r="73" spans="1:11" x14ac:dyDescent="0.3">
      <c r="A73" s="90" t="s">
        <v>8111</v>
      </c>
      <c r="B73" s="90" t="s">
        <v>8070</v>
      </c>
      <c r="C73" s="90" t="s">
        <v>8112</v>
      </c>
      <c r="D73" s="90" t="s">
        <v>10</v>
      </c>
      <c r="E73" s="90" t="s">
        <v>643</v>
      </c>
      <c r="F73" s="90" t="s">
        <v>8113</v>
      </c>
      <c r="G73" s="90" t="s">
        <v>8114</v>
      </c>
      <c r="H73" s="90" t="s">
        <v>8115</v>
      </c>
      <c r="I73" s="90" t="s">
        <v>7936</v>
      </c>
      <c r="J73" s="90" t="s">
        <v>1852</v>
      </c>
      <c r="K73" s="153"/>
    </row>
    <row r="74" spans="1:11" x14ac:dyDescent="0.3">
      <c r="A74" s="90" t="s">
        <v>8116</v>
      </c>
      <c r="B74" s="90" t="s">
        <v>8070</v>
      </c>
      <c r="C74" s="90" t="s">
        <v>8117</v>
      </c>
      <c r="D74" s="90" t="s">
        <v>13</v>
      </c>
      <c r="E74" s="90" t="s">
        <v>4088</v>
      </c>
      <c r="F74" s="90" t="s">
        <v>8118</v>
      </c>
      <c r="G74" s="90" t="s">
        <v>8119</v>
      </c>
      <c r="H74" s="90" t="s">
        <v>8120</v>
      </c>
      <c r="I74" s="90" t="s">
        <v>14</v>
      </c>
      <c r="J74" s="90" t="s">
        <v>1868</v>
      </c>
      <c r="K74" s="153"/>
    </row>
    <row r="75" spans="1:11" x14ac:dyDescent="0.3">
      <c r="A75" s="90" t="s">
        <v>8121</v>
      </c>
      <c r="B75" s="90" t="s">
        <v>8070</v>
      </c>
      <c r="C75" s="90" t="s">
        <v>8122</v>
      </c>
      <c r="D75" s="90" t="s">
        <v>10</v>
      </c>
      <c r="E75" s="90" t="s">
        <v>1577</v>
      </c>
      <c r="F75" s="90" t="s">
        <v>8123</v>
      </c>
      <c r="G75" s="90" t="s">
        <v>8124</v>
      </c>
      <c r="H75" s="90" t="s">
        <v>8125</v>
      </c>
      <c r="I75" s="90" t="s">
        <v>8126</v>
      </c>
      <c r="J75" s="90" t="s">
        <v>1852</v>
      </c>
      <c r="K75" s="153"/>
    </row>
    <row r="76" spans="1:11" x14ac:dyDescent="0.3">
      <c r="A76" s="90" t="s">
        <v>8127</v>
      </c>
      <c r="B76" s="90" t="s">
        <v>8070</v>
      </c>
      <c r="C76" s="90" t="s">
        <v>8128</v>
      </c>
      <c r="D76" s="90" t="s">
        <v>13</v>
      </c>
      <c r="E76" s="90" t="s">
        <v>1577</v>
      </c>
      <c r="F76" s="90" t="s">
        <v>7956</v>
      </c>
      <c r="G76" s="90" t="s">
        <v>8129</v>
      </c>
      <c r="H76" s="90" t="s">
        <v>8130</v>
      </c>
      <c r="I76" s="90" t="s">
        <v>14</v>
      </c>
      <c r="J76" s="90" t="s">
        <v>1868</v>
      </c>
      <c r="K76" s="153"/>
    </row>
    <row r="77" spans="1:11" x14ac:dyDescent="0.3">
      <c r="A77" s="90" t="s">
        <v>8131</v>
      </c>
      <c r="B77" s="90" t="s">
        <v>8070</v>
      </c>
      <c r="C77" s="90" t="s">
        <v>8132</v>
      </c>
      <c r="D77" s="90" t="s">
        <v>10</v>
      </c>
      <c r="E77" s="90" t="s">
        <v>643</v>
      </c>
      <c r="F77" s="90" t="s">
        <v>8133</v>
      </c>
      <c r="G77" s="90" t="s">
        <v>8134</v>
      </c>
      <c r="H77" s="90" t="s">
        <v>8135</v>
      </c>
      <c r="I77" s="90" t="s">
        <v>8074</v>
      </c>
      <c r="J77" s="90" t="s">
        <v>1852</v>
      </c>
      <c r="K77" s="153"/>
    </row>
    <row r="78" spans="1:11" x14ac:dyDescent="0.3">
      <c r="A78" s="91" t="s">
        <v>8136</v>
      </c>
      <c r="B78" s="91" t="s">
        <v>8137</v>
      </c>
      <c r="C78" s="91" t="s">
        <v>8138</v>
      </c>
      <c r="D78" s="91" t="s">
        <v>13</v>
      </c>
      <c r="E78" s="91" t="s">
        <v>41</v>
      </c>
      <c r="F78" s="91" t="s">
        <v>8139</v>
      </c>
      <c r="G78" s="91" t="s">
        <v>8140</v>
      </c>
      <c r="H78" s="91" t="s">
        <v>8141</v>
      </c>
      <c r="I78" s="91" t="s">
        <v>8142</v>
      </c>
      <c r="J78" s="91" t="s">
        <v>1852</v>
      </c>
      <c r="K78" s="153"/>
    </row>
    <row r="79" spans="1:11" x14ac:dyDescent="0.3">
      <c r="A79" s="91" t="s">
        <v>8143</v>
      </c>
      <c r="B79" s="91" t="s">
        <v>8137</v>
      </c>
      <c r="C79" s="91" t="s">
        <v>8144</v>
      </c>
      <c r="D79" s="91" t="s">
        <v>13</v>
      </c>
      <c r="E79" s="91" t="s">
        <v>41</v>
      </c>
      <c r="F79" s="91" t="s">
        <v>8145</v>
      </c>
      <c r="G79" s="91" t="s">
        <v>8140</v>
      </c>
      <c r="H79" s="91" t="s">
        <v>8146</v>
      </c>
      <c r="I79" s="91" t="s">
        <v>14</v>
      </c>
      <c r="J79" s="91" t="s">
        <v>1868</v>
      </c>
      <c r="K79" s="153"/>
    </row>
    <row r="80" spans="1:11" x14ac:dyDescent="0.3">
      <c r="A80" s="91" t="s">
        <v>8147</v>
      </c>
      <c r="B80" s="91" t="s">
        <v>8137</v>
      </c>
      <c r="C80" s="91" t="s">
        <v>8148</v>
      </c>
      <c r="D80" s="91" t="s">
        <v>13</v>
      </c>
      <c r="E80" s="91" t="s">
        <v>41</v>
      </c>
      <c r="F80" s="91" t="s">
        <v>8149</v>
      </c>
      <c r="G80" s="91" t="s">
        <v>8140</v>
      </c>
      <c r="H80" s="91" t="s">
        <v>8150</v>
      </c>
      <c r="I80" s="91" t="s">
        <v>14</v>
      </c>
      <c r="J80" s="91" t="s">
        <v>1868</v>
      </c>
      <c r="K80" s="153"/>
    </row>
    <row r="81" spans="1:11" x14ac:dyDescent="0.3">
      <c r="A81" s="91" t="s">
        <v>8151</v>
      </c>
      <c r="B81" s="91" t="s">
        <v>8137</v>
      </c>
      <c r="C81" s="91" t="s">
        <v>8152</v>
      </c>
      <c r="D81" s="91" t="s">
        <v>13</v>
      </c>
      <c r="E81" s="91" t="s">
        <v>41</v>
      </c>
      <c r="F81" s="91" t="s">
        <v>8153</v>
      </c>
      <c r="G81" s="91" t="s">
        <v>8140</v>
      </c>
      <c r="H81" s="91" t="s">
        <v>8154</v>
      </c>
      <c r="I81" s="91" t="s">
        <v>8155</v>
      </c>
      <c r="J81" s="91" t="s">
        <v>1868</v>
      </c>
      <c r="K81" s="153"/>
    </row>
    <row r="82" spans="1:11" x14ac:dyDescent="0.3">
      <c r="A82" s="91" t="s">
        <v>8156</v>
      </c>
      <c r="B82" s="91" t="s">
        <v>8137</v>
      </c>
      <c r="C82" s="91" t="s">
        <v>8157</v>
      </c>
      <c r="D82" s="91" t="s">
        <v>13</v>
      </c>
      <c r="E82" s="91" t="s">
        <v>41</v>
      </c>
      <c r="F82" s="91" t="s">
        <v>8158</v>
      </c>
      <c r="G82" s="91" t="s">
        <v>8140</v>
      </c>
      <c r="H82" s="91" t="s">
        <v>8159</v>
      </c>
      <c r="I82" s="91" t="s">
        <v>14</v>
      </c>
      <c r="J82" s="91" t="s">
        <v>1868</v>
      </c>
      <c r="K82" s="153"/>
    </row>
    <row r="83" spans="1:11" x14ac:dyDescent="0.3">
      <c r="A83" s="91" t="s">
        <v>8160</v>
      </c>
      <c r="B83" s="91" t="s">
        <v>8137</v>
      </c>
      <c r="C83" s="91" t="s">
        <v>8161</v>
      </c>
      <c r="D83" s="91" t="s">
        <v>13</v>
      </c>
      <c r="E83" s="91" t="s">
        <v>41</v>
      </c>
      <c r="F83" s="91" t="s">
        <v>8162</v>
      </c>
      <c r="G83" s="91" t="s">
        <v>8140</v>
      </c>
      <c r="H83" s="91" t="s">
        <v>8163</v>
      </c>
      <c r="I83" s="91" t="s">
        <v>8164</v>
      </c>
      <c r="J83" s="91" t="s">
        <v>1852</v>
      </c>
      <c r="K83" s="153"/>
    </row>
    <row r="84" spans="1:11" x14ac:dyDescent="0.3">
      <c r="A84" s="91" t="s">
        <v>8165</v>
      </c>
      <c r="B84" s="91" t="s">
        <v>8137</v>
      </c>
      <c r="C84" s="91" t="s">
        <v>8166</v>
      </c>
      <c r="D84" s="91" t="s">
        <v>13</v>
      </c>
      <c r="E84" s="91" t="s">
        <v>41</v>
      </c>
      <c r="F84" s="91" t="s">
        <v>8167</v>
      </c>
      <c r="G84" s="91" t="s">
        <v>8168</v>
      </c>
      <c r="H84" s="91" t="s">
        <v>8169</v>
      </c>
      <c r="I84" s="91" t="s">
        <v>14</v>
      </c>
      <c r="J84" s="91" t="s">
        <v>1852</v>
      </c>
      <c r="K84" s="153"/>
    </row>
    <row r="85" spans="1:11" x14ac:dyDescent="0.3">
      <c r="A85" s="91" t="s">
        <v>8170</v>
      </c>
      <c r="B85" s="91" t="s">
        <v>8137</v>
      </c>
      <c r="C85" s="91" t="s">
        <v>8171</v>
      </c>
      <c r="D85" s="91" t="s">
        <v>13</v>
      </c>
      <c r="E85" s="91" t="s">
        <v>8172</v>
      </c>
      <c r="F85" s="91" t="s">
        <v>8173</v>
      </c>
      <c r="G85" s="91" t="s">
        <v>8168</v>
      </c>
      <c r="H85" s="91" t="s">
        <v>8174</v>
      </c>
      <c r="I85" s="91" t="s">
        <v>14</v>
      </c>
      <c r="J85" s="91" t="s">
        <v>1868</v>
      </c>
      <c r="K85" s="153"/>
    </row>
    <row r="86" spans="1:11" x14ac:dyDescent="0.3">
      <c r="A86" s="91" t="s">
        <v>8175</v>
      </c>
      <c r="B86" s="91" t="s">
        <v>8137</v>
      </c>
      <c r="C86" s="91" t="s">
        <v>8176</v>
      </c>
      <c r="D86" s="91" t="s">
        <v>21</v>
      </c>
      <c r="E86" s="91" t="s">
        <v>41</v>
      </c>
      <c r="F86" s="91" t="s">
        <v>8177</v>
      </c>
      <c r="G86" s="91" t="s">
        <v>8178</v>
      </c>
      <c r="H86" s="91" t="s">
        <v>8179</v>
      </c>
      <c r="I86" s="91" t="s">
        <v>14</v>
      </c>
      <c r="J86" s="91" t="s">
        <v>1868</v>
      </c>
      <c r="K86" s="153"/>
    </row>
    <row r="87" spans="1:11" x14ac:dyDescent="0.3">
      <c r="A87" s="91" t="s">
        <v>8180</v>
      </c>
      <c r="B87" s="91" t="s">
        <v>8137</v>
      </c>
      <c r="C87" s="91" t="s">
        <v>8181</v>
      </c>
      <c r="D87" s="91" t="s">
        <v>13</v>
      </c>
      <c r="E87" s="91" t="s">
        <v>41</v>
      </c>
      <c r="F87" s="91" t="s">
        <v>8182</v>
      </c>
      <c r="G87" s="91" t="s">
        <v>8140</v>
      </c>
      <c r="H87" s="91" t="s">
        <v>8183</v>
      </c>
      <c r="I87" s="91" t="s">
        <v>14</v>
      </c>
      <c r="J87" s="91" t="s">
        <v>1868</v>
      </c>
      <c r="K87" s="153"/>
    </row>
    <row r="88" spans="1:11" x14ac:dyDescent="0.3">
      <c r="A88" s="91" t="s">
        <v>8184</v>
      </c>
      <c r="B88" s="91" t="s">
        <v>8137</v>
      </c>
      <c r="C88" s="91" t="s">
        <v>8185</v>
      </c>
      <c r="D88" s="91" t="s">
        <v>13</v>
      </c>
      <c r="E88" s="91" t="s">
        <v>41</v>
      </c>
      <c r="F88" s="91" t="s">
        <v>8133</v>
      </c>
      <c r="G88" s="91" t="s">
        <v>8140</v>
      </c>
      <c r="H88" s="91" t="s">
        <v>8186</v>
      </c>
      <c r="I88" s="91" t="s">
        <v>14</v>
      </c>
      <c r="J88" s="91" t="s">
        <v>1868</v>
      </c>
      <c r="K88" s="153"/>
    </row>
    <row r="89" spans="1:11" x14ac:dyDescent="0.3">
      <c r="A89" s="91" t="s">
        <v>8187</v>
      </c>
      <c r="B89" s="91" t="s">
        <v>8137</v>
      </c>
      <c r="C89" s="91" t="s">
        <v>8188</v>
      </c>
      <c r="D89" s="91" t="s">
        <v>21</v>
      </c>
      <c r="E89" s="91" t="s">
        <v>41</v>
      </c>
      <c r="F89" s="91" t="s">
        <v>8189</v>
      </c>
      <c r="G89" s="91" t="s">
        <v>8140</v>
      </c>
      <c r="H89" s="91" t="s">
        <v>8190</v>
      </c>
      <c r="I89" s="91" t="s">
        <v>8191</v>
      </c>
      <c r="J89" s="91" t="s">
        <v>1852</v>
      </c>
      <c r="K89" s="153"/>
    </row>
    <row r="90" spans="1:11" x14ac:dyDescent="0.3">
      <c r="A90" s="92" t="s">
        <v>8192</v>
      </c>
      <c r="B90" s="92" t="s">
        <v>8193</v>
      </c>
      <c r="C90" s="92" t="s">
        <v>13038</v>
      </c>
      <c r="D90" s="92" t="s">
        <v>13</v>
      </c>
      <c r="E90" s="92" t="s">
        <v>13026</v>
      </c>
      <c r="F90" s="92" t="s">
        <v>8047</v>
      </c>
      <c r="G90" s="92" t="s">
        <v>8194</v>
      </c>
      <c r="H90" s="92" t="s">
        <v>13046</v>
      </c>
      <c r="I90" s="92" t="s">
        <v>13047</v>
      </c>
      <c r="J90" s="92" t="s">
        <v>1852</v>
      </c>
      <c r="K90" s="154"/>
    </row>
    <row r="91" spans="1:11" x14ac:dyDescent="0.3">
      <c r="A91" s="92" t="s">
        <v>8195</v>
      </c>
      <c r="B91" s="92" t="s">
        <v>8193</v>
      </c>
      <c r="C91" s="92" t="s">
        <v>8196</v>
      </c>
      <c r="D91" s="92" t="s">
        <v>13</v>
      </c>
      <c r="E91" s="92" t="s">
        <v>721</v>
      </c>
      <c r="F91" s="92" t="s">
        <v>8197</v>
      </c>
      <c r="G91" s="92" t="s">
        <v>8198</v>
      </c>
      <c r="H91" s="92" t="s">
        <v>8199</v>
      </c>
      <c r="I91" s="92" t="s">
        <v>8200</v>
      </c>
      <c r="J91" s="92" t="s">
        <v>1852</v>
      </c>
      <c r="K91" s="153"/>
    </row>
    <row r="92" spans="1:11" x14ac:dyDescent="0.3">
      <c r="A92" s="92" t="s">
        <v>8201</v>
      </c>
      <c r="B92" s="92" t="s">
        <v>8193</v>
      </c>
      <c r="C92" s="92" t="s">
        <v>8202</v>
      </c>
      <c r="D92" s="92" t="s">
        <v>13</v>
      </c>
      <c r="E92" s="92" t="s">
        <v>714</v>
      </c>
      <c r="F92" s="92" t="s">
        <v>8203</v>
      </c>
      <c r="G92" s="92" t="s">
        <v>8204</v>
      </c>
      <c r="H92" s="92" t="s">
        <v>8205</v>
      </c>
      <c r="I92" s="92" t="s">
        <v>8206</v>
      </c>
      <c r="J92" s="92" t="s">
        <v>1852</v>
      </c>
      <c r="K92" s="153"/>
    </row>
    <row r="93" spans="1:11" x14ac:dyDescent="0.3">
      <c r="A93" s="92" t="s">
        <v>8207</v>
      </c>
      <c r="B93" s="92" t="s">
        <v>8193</v>
      </c>
      <c r="C93" s="92" t="s">
        <v>8208</v>
      </c>
      <c r="D93" s="92" t="s">
        <v>13</v>
      </c>
      <c r="E93" s="92" t="s">
        <v>704</v>
      </c>
      <c r="F93" s="92" t="s">
        <v>12871</v>
      </c>
      <c r="G93" s="92" t="s">
        <v>8209</v>
      </c>
      <c r="H93" s="92" t="s">
        <v>8210</v>
      </c>
      <c r="I93" s="92" t="s">
        <v>8211</v>
      </c>
      <c r="J93" s="92" t="s">
        <v>1852</v>
      </c>
      <c r="K93" s="153"/>
    </row>
    <row r="94" spans="1:11" x14ac:dyDescent="0.3">
      <c r="A94" s="92" t="s">
        <v>8212</v>
      </c>
      <c r="B94" s="92" t="s">
        <v>8193</v>
      </c>
      <c r="C94" s="92" t="s">
        <v>8213</v>
      </c>
      <c r="D94" s="92" t="s">
        <v>13</v>
      </c>
      <c r="E94" s="92" t="s">
        <v>704</v>
      </c>
      <c r="F94" s="92" t="s">
        <v>8214</v>
      </c>
      <c r="G94" s="92" t="s">
        <v>8215</v>
      </c>
      <c r="H94" s="92" t="s">
        <v>8216</v>
      </c>
      <c r="I94" s="92" t="s">
        <v>8217</v>
      </c>
      <c r="J94" s="92" t="s">
        <v>1852</v>
      </c>
      <c r="K94" s="153"/>
    </row>
    <row r="95" spans="1:11" x14ac:dyDescent="0.3">
      <c r="A95" s="92" t="s">
        <v>8218</v>
      </c>
      <c r="B95" s="92" t="s">
        <v>8193</v>
      </c>
      <c r="C95" s="92" t="s">
        <v>8219</v>
      </c>
      <c r="D95" s="92" t="s">
        <v>13</v>
      </c>
      <c r="E95" s="92" t="s">
        <v>8018</v>
      </c>
      <c r="F95" s="92" t="s">
        <v>8220</v>
      </c>
      <c r="G95" s="92" t="s">
        <v>8221</v>
      </c>
      <c r="H95" s="92" t="s">
        <v>8222</v>
      </c>
      <c r="I95" s="92" t="s">
        <v>8223</v>
      </c>
      <c r="J95" s="92" t="s">
        <v>1852</v>
      </c>
      <c r="K95" s="153"/>
    </row>
    <row r="96" spans="1:11" x14ac:dyDescent="0.3">
      <c r="A96" s="92" t="s">
        <v>8224</v>
      </c>
      <c r="B96" s="92" t="s">
        <v>8193</v>
      </c>
      <c r="C96" s="92" t="s">
        <v>8225</v>
      </c>
      <c r="D96" s="92" t="s">
        <v>13</v>
      </c>
      <c r="E96" s="92" t="s">
        <v>709</v>
      </c>
      <c r="F96" s="92" t="s">
        <v>8226</v>
      </c>
      <c r="G96" s="92" t="s">
        <v>8227</v>
      </c>
      <c r="H96" s="92" t="s">
        <v>8228</v>
      </c>
      <c r="I96" s="92" t="s">
        <v>8229</v>
      </c>
      <c r="J96" s="92" t="s">
        <v>1852</v>
      </c>
      <c r="K96" s="153"/>
    </row>
    <row r="97" spans="1:11" x14ac:dyDescent="0.3">
      <c r="A97" s="92" t="s">
        <v>8230</v>
      </c>
      <c r="B97" s="92" t="s">
        <v>8193</v>
      </c>
      <c r="C97" s="92" t="s">
        <v>8231</v>
      </c>
      <c r="D97" s="92" t="s">
        <v>10</v>
      </c>
      <c r="E97" s="92" t="s">
        <v>8232</v>
      </c>
      <c r="F97" s="92" t="s">
        <v>8233</v>
      </c>
      <c r="G97" s="92" t="s">
        <v>8234</v>
      </c>
      <c r="H97" s="92" t="s">
        <v>8235</v>
      </c>
      <c r="I97" s="92" t="s">
        <v>8236</v>
      </c>
      <c r="J97" s="92" t="s">
        <v>1852</v>
      </c>
      <c r="K97" s="153"/>
    </row>
    <row r="98" spans="1:11" x14ac:dyDescent="0.3">
      <c r="A98" s="92" t="s">
        <v>8237</v>
      </c>
      <c r="B98" s="92" t="s">
        <v>8193</v>
      </c>
      <c r="C98" s="92" t="s">
        <v>8238</v>
      </c>
      <c r="D98" s="92" t="s">
        <v>13</v>
      </c>
      <c r="E98" s="92" t="s">
        <v>709</v>
      </c>
      <c r="F98" s="92" t="s">
        <v>8239</v>
      </c>
      <c r="G98" s="92" t="s">
        <v>8240</v>
      </c>
      <c r="H98" s="92" t="s">
        <v>8241</v>
      </c>
      <c r="I98" s="92" t="s">
        <v>14</v>
      </c>
      <c r="J98" s="92" t="s">
        <v>1852</v>
      </c>
      <c r="K98" s="153"/>
    </row>
    <row r="99" spans="1:11" x14ac:dyDescent="0.3">
      <c r="A99" s="92" t="s">
        <v>8242</v>
      </c>
      <c r="B99" s="92" t="s">
        <v>8193</v>
      </c>
      <c r="C99" s="92" t="s">
        <v>8243</v>
      </c>
      <c r="D99" s="92" t="s">
        <v>13</v>
      </c>
      <c r="E99" s="92" t="s">
        <v>704</v>
      </c>
      <c r="F99" s="92" t="s">
        <v>8244</v>
      </c>
      <c r="G99" s="92" t="s">
        <v>8245</v>
      </c>
      <c r="H99" s="92" t="s">
        <v>8246</v>
      </c>
      <c r="I99" s="92" t="s">
        <v>8247</v>
      </c>
      <c r="J99" s="92" t="s">
        <v>1852</v>
      </c>
      <c r="K99" s="153"/>
    </row>
    <row r="100" spans="1:11" x14ac:dyDescent="0.3">
      <c r="A100" s="92" t="s">
        <v>8248</v>
      </c>
      <c r="B100" s="92" t="s">
        <v>8193</v>
      </c>
      <c r="C100" s="92" t="s">
        <v>8249</v>
      </c>
      <c r="D100" s="92" t="s">
        <v>13</v>
      </c>
      <c r="E100" s="92" t="s">
        <v>704</v>
      </c>
      <c r="F100" s="92" t="s">
        <v>8250</v>
      </c>
      <c r="G100" s="92" t="s">
        <v>8251</v>
      </c>
      <c r="H100" s="92" t="s">
        <v>8252</v>
      </c>
      <c r="I100" s="92" t="s">
        <v>8253</v>
      </c>
      <c r="J100" s="92" t="s">
        <v>1852</v>
      </c>
      <c r="K100" s="153"/>
    </row>
    <row r="101" spans="1:11" x14ac:dyDescent="0.3">
      <c r="A101" s="92" t="s">
        <v>8254</v>
      </c>
      <c r="B101" s="92" t="s">
        <v>8193</v>
      </c>
      <c r="C101" s="92" t="s">
        <v>8255</v>
      </c>
      <c r="D101" s="92" t="s">
        <v>13</v>
      </c>
      <c r="E101" s="92" t="s">
        <v>8256</v>
      </c>
      <c r="F101" s="92" t="s">
        <v>8257</v>
      </c>
      <c r="G101" s="92" t="s">
        <v>8258</v>
      </c>
      <c r="H101" s="92" t="s">
        <v>8259</v>
      </c>
      <c r="I101" s="92" t="s">
        <v>8260</v>
      </c>
      <c r="J101" s="92" t="s">
        <v>1868</v>
      </c>
      <c r="K101" s="153"/>
    </row>
    <row r="102" spans="1:11" x14ac:dyDescent="0.3">
      <c r="A102" s="92" t="s">
        <v>8261</v>
      </c>
      <c r="B102" s="92" t="s">
        <v>8193</v>
      </c>
      <c r="C102" s="92" t="s">
        <v>8262</v>
      </c>
      <c r="D102" s="92" t="s">
        <v>13</v>
      </c>
      <c r="E102" s="92" t="s">
        <v>704</v>
      </c>
      <c r="F102" s="92" t="s">
        <v>8263</v>
      </c>
      <c r="G102" s="92" t="s">
        <v>8264</v>
      </c>
      <c r="H102" s="92" t="s">
        <v>8265</v>
      </c>
      <c r="I102" s="92" t="s">
        <v>8266</v>
      </c>
      <c r="J102" s="92" t="s">
        <v>1868</v>
      </c>
      <c r="K102" s="153"/>
    </row>
    <row r="103" spans="1:11" x14ac:dyDescent="0.3">
      <c r="A103" s="92" t="s">
        <v>8267</v>
      </c>
      <c r="B103" s="92" t="s">
        <v>8193</v>
      </c>
      <c r="C103" s="92" t="s">
        <v>8268</v>
      </c>
      <c r="D103" s="92" t="s">
        <v>13</v>
      </c>
      <c r="E103" s="92" t="s">
        <v>8269</v>
      </c>
      <c r="F103" s="92" t="s">
        <v>8270</v>
      </c>
      <c r="G103" s="92" t="s">
        <v>8271</v>
      </c>
      <c r="H103" s="92" t="s">
        <v>8272</v>
      </c>
      <c r="I103" s="92" t="s">
        <v>8273</v>
      </c>
      <c r="J103" s="92" t="s">
        <v>1868</v>
      </c>
      <c r="K103" s="153"/>
    </row>
    <row r="104" spans="1:11" x14ac:dyDescent="0.3">
      <c r="A104" s="93" t="s">
        <v>8274</v>
      </c>
      <c r="B104" s="93" t="s">
        <v>8275</v>
      </c>
      <c r="C104" s="93" t="s">
        <v>8276</v>
      </c>
      <c r="D104" s="93" t="s">
        <v>13</v>
      </c>
      <c r="E104" s="93" t="s">
        <v>1420</v>
      </c>
      <c r="F104" s="93" t="s">
        <v>8277</v>
      </c>
      <c r="G104" s="93" t="s">
        <v>8278</v>
      </c>
      <c r="H104" s="93" t="s">
        <v>8279</v>
      </c>
      <c r="I104" s="93" t="s">
        <v>14</v>
      </c>
      <c r="J104" s="93" t="s">
        <v>1852</v>
      </c>
      <c r="K104" s="153"/>
    </row>
    <row r="105" spans="1:11" x14ac:dyDescent="0.3">
      <c r="A105" s="93" t="s">
        <v>8280</v>
      </c>
      <c r="B105" s="93" t="s">
        <v>8275</v>
      </c>
      <c r="C105" s="93" t="s">
        <v>8281</v>
      </c>
      <c r="D105" s="93" t="s">
        <v>13</v>
      </c>
      <c r="E105" s="93" t="s">
        <v>1420</v>
      </c>
      <c r="F105" s="93" t="s">
        <v>8282</v>
      </c>
      <c r="G105" s="93" t="s">
        <v>8283</v>
      </c>
      <c r="H105" s="93" t="s">
        <v>8279</v>
      </c>
      <c r="I105" s="93" t="s">
        <v>14</v>
      </c>
      <c r="J105" s="93" t="s">
        <v>1852</v>
      </c>
      <c r="K105" s="153"/>
    </row>
    <row r="106" spans="1:11" x14ac:dyDescent="0.3">
      <c r="A106" s="93" t="s">
        <v>8284</v>
      </c>
      <c r="B106" s="93" t="s">
        <v>8275</v>
      </c>
      <c r="C106" s="93" t="s">
        <v>8285</v>
      </c>
      <c r="D106" s="93" t="s">
        <v>13</v>
      </c>
      <c r="E106" s="93" t="s">
        <v>1420</v>
      </c>
      <c r="F106" s="93" t="s">
        <v>8286</v>
      </c>
      <c r="G106" s="93" t="s">
        <v>8287</v>
      </c>
      <c r="H106" s="93" t="s">
        <v>8279</v>
      </c>
      <c r="I106" s="93" t="s">
        <v>14</v>
      </c>
      <c r="J106" s="93" t="s">
        <v>1852</v>
      </c>
      <c r="K106" s="153"/>
    </row>
    <row r="107" spans="1:11" x14ac:dyDescent="0.3">
      <c r="A107" s="93" t="s">
        <v>8288</v>
      </c>
      <c r="B107" s="93" t="s">
        <v>8275</v>
      </c>
      <c r="C107" s="93" t="s">
        <v>8289</v>
      </c>
      <c r="D107" s="93" t="s">
        <v>10</v>
      </c>
      <c r="E107" s="93" t="s">
        <v>1420</v>
      </c>
      <c r="F107" s="93" t="s">
        <v>8290</v>
      </c>
      <c r="G107" s="93" t="s">
        <v>8291</v>
      </c>
      <c r="H107" s="93" t="s">
        <v>8292</v>
      </c>
      <c r="I107" s="93" t="s">
        <v>8293</v>
      </c>
      <c r="J107" s="93" t="s">
        <v>1852</v>
      </c>
      <c r="K107" s="153"/>
    </row>
    <row r="108" spans="1:11" x14ac:dyDescent="0.3">
      <c r="A108" s="93" t="s">
        <v>8294</v>
      </c>
      <c r="B108" s="93" t="s">
        <v>8275</v>
      </c>
      <c r="C108" s="93" t="s">
        <v>8295</v>
      </c>
      <c r="D108" s="93" t="s">
        <v>13</v>
      </c>
      <c r="E108" s="93" t="s">
        <v>1420</v>
      </c>
      <c r="F108" s="93" t="s">
        <v>3052</v>
      </c>
      <c r="G108" s="93" t="s">
        <v>8296</v>
      </c>
      <c r="H108" s="93" t="s">
        <v>8297</v>
      </c>
      <c r="I108" s="93" t="s">
        <v>14</v>
      </c>
      <c r="J108" s="93" t="s">
        <v>1868</v>
      </c>
      <c r="K108" s="153"/>
    </row>
    <row r="109" spans="1:11" x14ac:dyDescent="0.3">
      <c r="A109" s="93" t="s">
        <v>8298</v>
      </c>
      <c r="B109" s="93" t="s">
        <v>8275</v>
      </c>
      <c r="C109" s="93" t="s">
        <v>8299</v>
      </c>
      <c r="D109" s="93" t="s">
        <v>10</v>
      </c>
      <c r="E109" s="93" t="s">
        <v>1420</v>
      </c>
      <c r="F109" s="93" t="s">
        <v>8300</v>
      </c>
      <c r="G109" s="93" t="s">
        <v>8301</v>
      </c>
      <c r="H109" s="93" t="s">
        <v>8302</v>
      </c>
      <c r="I109" s="93" t="s">
        <v>8303</v>
      </c>
      <c r="J109" s="93" t="s">
        <v>1852</v>
      </c>
      <c r="K109" s="153"/>
    </row>
    <row r="110" spans="1:11" x14ac:dyDescent="0.3">
      <c r="A110" s="93" t="s">
        <v>8304</v>
      </c>
      <c r="B110" s="93" t="s">
        <v>8275</v>
      </c>
      <c r="C110" s="93" t="s">
        <v>8305</v>
      </c>
      <c r="D110" s="93" t="s">
        <v>13</v>
      </c>
      <c r="E110" s="93" t="s">
        <v>1420</v>
      </c>
      <c r="F110" s="93" t="s">
        <v>8306</v>
      </c>
      <c r="G110" s="93" t="s">
        <v>8307</v>
      </c>
      <c r="H110" s="93" t="s">
        <v>8308</v>
      </c>
      <c r="I110" s="93" t="s">
        <v>14</v>
      </c>
      <c r="J110" s="93" t="s">
        <v>1868</v>
      </c>
      <c r="K110" s="153"/>
    </row>
    <row r="111" spans="1:11" x14ac:dyDescent="0.3">
      <c r="A111" s="93" t="s">
        <v>8309</v>
      </c>
      <c r="B111" s="93" t="s">
        <v>8275</v>
      </c>
      <c r="C111" s="93" t="s">
        <v>8310</v>
      </c>
      <c r="D111" s="93" t="s">
        <v>10</v>
      </c>
      <c r="E111" s="93" t="s">
        <v>1420</v>
      </c>
      <c r="F111" s="93" t="s">
        <v>8311</v>
      </c>
      <c r="G111" s="93" t="s">
        <v>8312</v>
      </c>
      <c r="H111" s="93" t="s">
        <v>8313</v>
      </c>
      <c r="I111" s="93" t="s">
        <v>8314</v>
      </c>
      <c r="J111" s="93" t="s">
        <v>1852</v>
      </c>
      <c r="K111" s="153"/>
    </row>
    <row r="112" spans="1:11" x14ac:dyDescent="0.3">
      <c r="A112" s="93" t="s">
        <v>8315</v>
      </c>
      <c r="B112" s="93" t="s">
        <v>8275</v>
      </c>
      <c r="C112" s="93" t="s">
        <v>8316</v>
      </c>
      <c r="D112" s="93" t="s">
        <v>10</v>
      </c>
      <c r="E112" s="93" t="s">
        <v>8317</v>
      </c>
      <c r="F112" s="93" t="s">
        <v>8318</v>
      </c>
      <c r="G112" s="93" t="s">
        <v>8319</v>
      </c>
      <c r="H112" s="93" t="s">
        <v>8320</v>
      </c>
      <c r="I112" s="93" t="s">
        <v>163</v>
      </c>
      <c r="J112" s="93" t="s">
        <v>1852</v>
      </c>
      <c r="K112" s="153"/>
    </row>
    <row r="113" spans="1:11" x14ac:dyDescent="0.3">
      <c r="A113" s="93" t="s">
        <v>8321</v>
      </c>
      <c r="B113" s="93" t="s">
        <v>8275</v>
      </c>
      <c r="C113" s="93" t="s">
        <v>8322</v>
      </c>
      <c r="D113" s="93" t="s">
        <v>13</v>
      </c>
      <c r="E113" s="93" t="s">
        <v>1420</v>
      </c>
      <c r="F113" s="93" t="s">
        <v>8323</v>
      </c>
      <c r="G113" s="93" t="s">
        <v>8324</v>
      </c>
      <c r="H113" s="93" t="s">
        <v>8325</v>
      </c>
      <c r="I113" s="93" t="s">
        <v>14</v>
      </c>
      <c r="J113" s="93" t="s">
        <v>1868</v>
      </c>
      <c r="K113" s="153"/>
    </row>
    <row r="114" spans="1:11" x14ac:dyDescent="0.3">
      <c r="A114" s="93" t="s">
        <v>8326</v>
      </c>
      <c r="B114" s="93" t="s">
        <v>8275</v>
      </c>
      <c r="C114" s="93" t="s">
        <v>8327</v>
      </c>
      <c r="D114" s="93" t="s">
        <v>13</v>
      </c>
      <c r="E114" s="93" t="s">
        <v>1420</v>
      </c>
      <c r="F114" s="93" t="s">
        <v>8328</v>
      </c>
      <c r="G114" s="93" t="s">
        <v>8329</v>
      </c>
      <c r="H114" s="93" t="s">
        <v>8330</v>
      </c>
      <c r="I114" s="93" t="s">
        <v>14</v>
      </c>
      <c r="J114" s="93" t="s">
        <v>1868</v>
      </c>
      <c r="K114" s="153"/>
    </row>
    <row r="115" spans="1:11" x14ac:dyDescent="0.3">
      <c r="A115" s="93" t="s">
        <v>8331</v>
      </c>
      <c r="B115" s="93" t="s">
        <v>8275</v>
      </c>
      <c r="C115" s="93" t="s">
        <v>8332</v>
      </c>
      <c r="D115" s="93" t="s">
        <v>13</v>
      </c>
      <c r="E115" s="93" t="s">
        <v>694</v>
      </c>
      <c r="F115" s="93" t="s">
        <v>8333</v>
      </c>
      <c r="G115" s="93" t="s">
        <v>8334</v>
      </c>
      <c r="H115" s="93" t="s">
        <v>8335</v>
      </c>
      <c r="I115" s="93" t="s">
        <v>14</v>
      </c>
      <c r="J115" s="93" t="s">
        <v>1868</v>
      </c>
      <c r="K115" s="153"/>
    </row>
    <row r="116" spans="1:11" x14ac:dyDescent="0.3">
      <c r="A116" s="87" t="s">
        <v>8336</v>
      </c>
      <c r="B116" s="87" t="s">
        <v>7475</v>
      </c>
      <c r="C116" s="87" t="s">
        <v>8337</v>
      </c>
      <c r="D116" s="87" t="s">
        <v>13</v>
      </c>
      <c r="E116" s="87" t="s">
        <v>4088</v>
      </c>
      <c r="F116" s="87" t="s">
        <v>8338</v>
      </c>
      <c r="G116" s="87" t="s">
        <v>8339</v>
      </c>
      <c r="H116" s="87" t="s">
        <v>8340</v>
      </c>
      <c r="I116" s="87" t="s">
        <v>14</v>
      </c>
      <c r="J116" s="87" t="s">
        <v>1852</v>
      </c>
      <c r="K116" s="153"/>
    </row>
    <row r="117" spans="1:11" x14ac:dyDescent="0.3">
      <c r="A117" s="87" t="s">
        <v>8341</v>
      </c>
      <c r="B117" s="87" t="s">
        <v>7475</v>
      </c>
      <c r="C117" s="87" t="s">
        <v>8342</v>
      </c>
      <c r="D117" s="87" t="s">
        <v>13</v>
      </c>
      <c r="E117" s="87" t="s">
        <v>4088</v>
      </c>
      <c r="F117" s="87" t="s">
        <v>8343</v>
      </c>
      <c r="G117" s="87" t="s">
        <v>8339</v>
      </c>
      <c r="H117" s="87" t="s">
        <v>8344</v>
      </c>
      <c r="I117" s="87" t="s">
        <v>14</v>
      </c>
      <c r="J117" s="87" t="s">
        <v>1852</v>
      </c>
      <c r="K117" s="153"/>
    </row>
    <row r="118" spans="1:11" x14ac:dyDescent="0.3">
      <c r="A118" s="87" t="s">
        <v>8345</v>
      </c>
      <c r="B118" s="87" t="s">
        <v>7475</v>
      </c>
      <c r="C118" s="87" t="s">
        <v>8346</v>
      </c>
      <c r="D118" s="87" t="s">
        <v>13</v>
      </c>
      <c r="E118" s="87" t="s">
        <v>4088</v>
      </c>
      <c r="F118" s="87" t="s">
        <v>8347</v>
      </c>
      <c r="G118" s="87" t="s">
        <v>8339</v>
      </c>
      <c r="H118" s="87" t="s">
        <v>8348</v>
      </c>
      <c r="I118" s="87" t="s">
        <v>14</v>
      </c>
      <c r="J118" s="87" t="s">
        <v>1852</v>
      </c>
      <c r="K118" s="153"/>
    </row>
    <row r="119" spans="1:11" x14ac:dyDescent="0.3">
      <c r="A119" s="87" t="s">
        <v>8349</v>
      </c>
      <c r="B119" s="87" t="s">
        <v>7475</v>
      </c>
      <c r="C119" s="87" t="s">
        <v>8350</v>
      </c>
      <c r="D119" s="87" t="s">
        <v>13</v>
      </c>
      <c r="E119" s="87" t="s">
        <v>4088</v>
      </c>
      <c r="F119" s="87" t="s">
        <v>8351</v>
      </c>
      <c r="G119" s="87" t="s">
        <v>8339</v>
      </c>
      <c r="H119" s="87" t="s">
        <v>8352</v>
      </c>
      <c r="I119" s="87" t="s">
        <v>14</v>
      </c>
      <c r="J119" s="87" t="s">
        <v>1852</v>
      </c>
      <c r="K119" s="153"/>
    </row>
    <row r="120" spans="1:11" x14ac:dyDescent="0.3">
      <c r="A120" s="87" t="s">
        <v>8353</v>
      </c>
      <c r="B120" s="87" t="s">
        <v>7475</v>
      </c>
      <c r="C120" s="87" t="s">
        <v>8354</v>
      </c>
      <c r="D120" s="87" t="s">
        <v>13</v>
      </c>
      <c r="E120" s="87" t="s">
        <v>8269</v>
      </c>
      <c r="F120" s="87" t="s">
        <v>8355</v>
      </c>
      <c r="G120" s="87" t="s">
        <v>8356</v>
      </c>
      <c r="H120" s="87" t="s">
        <v>8357</v>
      </c>
      <c r="I120" s="87" t="s">
        <v>14</v>
      </c>
      <c r="J120" s="87" t="s">
        <v>1852</v>
      </c>
      <c r="K120" s="153"/>
    </row>
    <row r="121" spans="1:11" x14ac:dyDescent="0.3">
      <c r="A121" s="87" t="s">
        <v>8358</v>
      </c>
      <c r="B121" s="87" t="s">
        <v>7475</v>
      </c>
      <c r="C121" s="87" t="s">
        <v>8359</v>
      </c>
      <c r="D121" s="87" t="s">
        <v>13</v>
      </c>
      <c r="E121" s="87" t="s">
        <v>4088</v>
      </c>
      <c r="F121" s="87" t="s">
        <v>8360</v>
      </c>
      <c r="G121" s="87" t="s">
        <v>8339</v>
      </c>
      <c r="H121" s="87" t="s">
        <v>8361</v>
      </c>
      <c r="I121" s="87" t="s">
        <v>14</v>
      </c>
      <c r="J121" s="87" t="s">
        <v>1868</v>
      </c>
      <c r="K121" s="153"/>
    </row>
    <row r="122" spans="1:11" x14ac:dyDescent="0.3">
      <c r="A122" s="87" t="s">
        <v>8362</v>
      </c>
      <c r="B122" s="87" t="s">
        <v>7475</v>
      </c>
      <c r="C122" s="87" t="s">
        <v>8363</v>
      </c>
      <c r="D122" s="87" t="s">
        <v>13</v>
      </c>
      <c r="E122" s="87" t="s">
        <v>4088</v>
      </c>
      <c r="F122" s="87" t="s">
        <v>8364</v>
      </c>
      <c r="G122" s="87" t="s">
        <v>8339</v>
      </c>
      <c r="H122" s="87" t="s">
        <v>8365</v>
      </c>
      <c r="I122" s="87" t="s">
        <v>14</v>
      </c>
      <c r="J122" s="87" t="s">
        <v>1868</v>
      </c>
      <c r="K122" s="153"/>
    </row>
    <row r="123" spans="1:11" x14ac:dyDescent="0.3">
      <c r="A123" s="87" t="s">
        <v>8366</v>
      </c>
      <c r="B123" s="87" t="s">
        <v>7475</v>
      </c>
      <c r="C123" s="87" t="s">
        <v>8367</v>
      </c>
      <c r="D123" s="87" t="s">
        <v>13</v>
      </c>
      <c r="E123" s="87" t="s">
        <v>8368</v>
      </c>
      <c r="F123" s="87" t="s">
        <v>8369</v>
      </c>
      <c r="G123" s="87" t="s">
        <v>8370</v>
      </c>
      <c r="H123" s="87" t="s">
        <v>8371</v>
      </c>
      <c r="I123" s="87" t="s">
        <v>14</v>
      </c>
      <c r="J123" s="87" t="s">
        <v>1868</v>
      </c>
      <c r="K123" s="153"/>
    </row>
    <row r="124" spans="1:11" x14ac:dyDescent="0.3">
      <c r="A124" s="87" t="s">
        <v>8372</v>
      </c>
      <c r="B124" s="87" t="s">
        <v>7475</v>
      </c>
      <c r="C124" s="87" t="s">
        <v>8373</v>
      </c>
      <c r="D124" s="87" t="s">
        <v>13</v>
      </c>
      <c r="E124" s="87" t="s">
        <v>4088</v>
      </c>
      <c r="F124" s="87" t="s">
        <v>8374</v>
      </c>
      <c r="G124" s="87" t="s">
        <v>8339</v>
      </c>
      <c r="H124" s="87" t="s">
        <v>8375</v>
      </c>
      <c r="I124" s="87" t="s">
        <v>14</v>
      </c>
      <c r="J124" s="87" t="s">
        <v>1868</v>
      </c>
      <c r="K124" s="153"/>
    </row>
    <row r="125" spans="1:11" x14ac:dyDescent="0.3">
      <c r="A125" s="87" t="s">
        <v>8376</v>
      </c>
      <c r="B125" s="87" t="s">
        <v>7475</v>
      </c>
      <c r="C125" s="87" t="s">
        <v>8377</v>
      </c>
      <c r="D125" s="87" t="s">
        <v>13</v>
      </c>
      <c r="E125" s="87" t="s">
        <v>4088</v>
      </c>
      <c r="F125" s="87" t="s">
        <v>8378</v>
      </c>
      <c r="G125" s="87" t="s">
        <v>8379</v>
      </c>
      <c r="H125" s="87" t="s">
        <v>8380</v>
      </c>
      <c r="I125" s="87" t="s">
        <v>14</v>
      </c>
      <c r="J125" s="87" t="s">
        <v>1868</v>
      </c>
      <c r="K125" s="153"/>
    </row>
    <row r="126" spans="1:11" x14ac:dyDescent="0.3">
      <c r="A126" s="87" t="s">
        <v>8381</v>
      </c>
      <c r="B126" s="87" t="s">
        <v>7475</v>
      </c>
      <c r="C126" s="87" t="s">
        <v>8382</v>
      </c>
      <c r="D126" s="87" t="s">
        <v>13</v>
      </c>
      <c r="E126" s="87" t="s">
        <v>8383</v>
      </c>
      <c r="F126" s="87" t="s">
        <v>8384</v>
      </c>
      <c r="G126" s="87" t="s">
        <v>8385</v>
      </c>
      <c r="H126" s="87" t="s">
        <v>8386</v>
      </c>
      <c r="I126" s="87" t="s">
        <v>14</v>
      </c>
      <c r="J126" s="87" t="s">
        <v>1868</v>
      </c>
      <c r="K126" s="153"/>
    </row>
    <row r="127" spans="1:11" x14ac:dyDescent="0.3">
      <c r="A127" s="87" t="s">
        <v>8387</v>
      </c>
      <c r="B127" s="87" t="s">
        <v>7475</v>
      </c>
      <c r="C127" s="87" t="s">
        <v>8388</v>
      </c>
      <c r="D127" s="87" t="s">
        <v>13</v>
      </c>
      <c r="E127" s="87" t="s">
        <v>4088</v>
      </c>
      <c r="F127" s="87" t="s">
        <v>8389</v>
      </c>
      <c r="G127" s="87" t="s">
        <v>8339</v>
      </c>
      <c r="H127" s="87" t="s">
        <v>8390</v>
      </c>
      <c r="I127" s="87" t="s">
        <v>14</v>
      </c>
      <c r="J127" s="87" t="s">
        <v>1868</v>
      </c>
      <c r="K127" s="153"/>
    </row>
    <row r="128" spans="1:11" x14ac:dyDescent="0.3">
      <c r="A128" s="148" t="s">
        <v>8391</v>
      </c>
      <c r="B128" s="148" t="s">
        <v>8392</v>
      </c>
      <c r="C128" s="148" t="s">
        <v>8393</v>
      </c>
      <c r="D128" s="148" t="s">
        <v>13</v>
      </c>
      <c r="E128" s="148" t="s">
        <v>4204</v>
      </c>
      <c r="F128" s="148" t="s">
        <v>2810</v>
      </c>
      <c r="G128" s="148" t="s">
        <v>8394</v>
      </c>
      <c r="H128" s="148" t="s">
        <v>8395</v>
      </c>
      <c r="I128" s="148" t="s">
        <v>8396</v>
      </c>
      <c r="J128" s="148" t="s">
        <v>1852</v>
      </c>
      <c r="K128" s="153"/>
    </row>
    <row r="129" spans="1:11" x14ac:dyDescent="0.3">
      <c r="A129" s="148" t="s">
        <v>8397</v>
      </c>
      <c r="B129" s="148" t="s">
        <v>8392</v>
      </c>
      <c r="C129" s="148" t="s">
        <v>8398</v>
      </c>
      <c r="D129" s="148" t="s">
        <v>13</v>
      </c>
      <c r="E129" s="148" t="s">
        <v>4204</v>
      </c>
      <c r="F129" s="148" t="s">
        <v>8399</v>
      </c>
      <c r="G129" s="148" t="s">
        <v>8394</v>
      </c>
      <c r="H129" s="148" t="s">
        <v>8400</v>
      </c>
      <c r="I129" s="148" t="s">
        <v>8401</v>
      </c>
      <c r="J129" s="148" t="s">
        <v>1852</v>
      </c>
      <c r="K129" s="153"/>
    </row>
    <row r="130" spans="1:11" x14ac:dyDescent="0.3">
      <c r="A130" s="148" t="s">
        <v>8402</v>
      </c>
      <c r="B130" s="148" t="s">
        <v>8392</v>
      </c>
      <c r="C130" s="148" t="s">
        <v>8403</v>
      </c>
      <c r="D130" s="148" t="s">
        <v>13</v>
      </c>
      <c r="E130" s="148" t="s">
        <v>4204</v>
      </c>
      <c r="F130" s="148" t="s">
        <v>8404</v>
      </c>
      <c r="G130" s="148" t="s">
        <v>8394</v>
      </c>
      <c r="H130" s="148" t="s">
        <v>8405</v>
      </c>
      <c r="I130" s="148" t="s">
        <v>8406</v>
      </c>
      <c r="J130" s="148" t="s">
        <v>1852</v>
      </c>
      <c r="K130" s="153"/>
    </row>
    <row r="131" spans="1:11" x14ac:dyDescent="0.3">
      <c r="A131" s="148" t="s">
        <v>8407</v>
      </c>
      <c r="B131" s="148" t="s">
        <v>8392</v>
      </c>
      <c r="C131" s="148" t="s">
        <v>8408</v>
      </c>
      <c r="D131" s="148" t="s">
        <v>13</v>
      </c>
      <c r="E131" s="148" t="s">
        <v>8172</v>
      </c>
      <c r="F131" s="148" t="s">
        <v>8409</v>
      </c>
      <c r="G131" s="148" t="s">
        <v>8410</v>
      </c>
      <c r="H131" s="148" t="s">
        <v>8411</v>
      </c>
      <c r="I131" s="148" t="s">
        <v>8412</v>
      </c>
      <c r="J131" s="148" t="s">
        <v>1852</v>
      </c>
      <c r="K131" s="153"/>
    </row>
    <row r="132" spans="1:11" x14ac:dyDescent="0.3">
      <c r="A132" s="148" t="s">
        <v>8413</v>
      </c>
      <c r="B132" s="148" t="s">
        <v>8392</v>
      </c>
      <c r="C132" s="148" t="s">
        <v>8414</v>
      </c>
      <c r="D132" s="148" t="s">
        <v>13</v>
      </c>
      <c r="E132" s="148" t="s">
        <v>8415</v>
      </c>
      <c r="F132" s="148" t="s">
        <v>8416</v>
      </c>
      <c r="G132" s="148" t="s">
        <v>8394</v>
      </c>
      <c r="H132" s="148" t="s">
        <v>8417</v>
      </c>
      <c r="I132" s="148" t="s">
        <v>8418</v>
      </c>
      <c r="J132" s="148" t="s">
        <v>1852</v>
      </c>
      <c r="K132" s="153"/>
    </row>
    <row r="133" spans="1:11" x14ac:dyDescent="0.3">
      <c r="A133" s="148" t="s">
        <v>8419</v>
      </c>
      <c r="B133" s="148" t="s">
        <v>8392</v>
      </c>
      <c r="C133" s="148" t="s">
        <v>8420</v>
      </c>
      <c r="D133" s="148" t="s">
        <v>13</v>
      </c>
      <c r="E133" s="148" t="s">
        <v>8421</v>
      </c>
      <c r="F133" s="148" t="s">
        <v>8422</v>
      </c>
      <c r="G133" s="148" t="s">
        <v>8394</v>
      </c>
      <c r="H133" s="148" t="s">
        <v>8417</v>
      </c>
      <c r="I133" s="148" t="s">
        <v>8423</v>
      </c>
      <c r="J133" s="148" t="s">
        <v>1852</v>
      </c>
      <c r="K133" s="153"/>
    </row>
    <row r="134" spans="1:11" x14ac:dyDescent="0.3">
      <c r="A134" s="148" t="s">
        <v>8424</v>
      </c>
      <c r="B134" s="148" t="s">
        <v>8392</v>
      </c>
      <c r="C134" s="148" t="s">
        <v>8425</v>
      </c>
      <c r="D134" s="148" t="s">
        <v>13</v>
      </c>
      <c r="E134" s="148" t="s">
        <v>4204</v>
      </c>
      <c r="F134" s="148" t="s">
        <v>8426</v>
      </c>
      <c r="G134" s="148" t="s">
        <v>8394</v>
      </c>
      <c r="H134" s="148" t="s">
        <v>8427</v>
      </c>
      <c r="I134" s="148" t="s">
        <v>8428</v>
      </c>
      <c r="J134" s="148" t="s">
        <v>1868</v>
      </c>
      <c r="K134" s="153"/>
    </row>
    <row r="135" spans="1:11" x14ac:dyDescent="0.3">
      <c r="A135" s="148" t="s">
        <v>8429</v>
      </c>
      <c r="B135" s="148" t="s">
        <v>8392</v>
      </c>
      <c r="C135" s="148" t="s">
        <v>8430</v>
      </c>
      <c r="D135" s="148" t="s">
        <v>13</v>
      </c>
      <c r="E135" s="148" t="s">
        <v>4204</v>
      </c>
      <c r="F135" s="148" t="s">
        <v>8431</v>
      </c>
      <c r="G135" s="148" t="s">
        <v>8432</v>
      </c>
      <c r="H135" s="148" t="s">
        <v>8433</v>
      </c>
      <c r="I135" s="148" t="s">
        <v>8434</v>
      </c>
      <c r="J135" s="148" t="s">
        <v>1852</v>
      </c>
      <c r="K135" s="153"/>
    </row>
    <row r="136" spans="1:11" x14ac:dyDescent="0.3">
      <c r="A136" s="148" t="s">
        <v>8435</v>
      </c>
      <c r="B136" s="148" t="s">
        <v>8392</v>
      </c>
      <c r="C136" s="148" t="s">
        <v>5677</v>
      </c>
      <c r="D136" s="148" t="s">
        <v>13</v>
      </c>
      <c r="E136" s="148" t="s">
        <v>4204</v>
      </c>
      <c r="F136" s="148" t="s">
        <v>8436</v>
      </c>
      <c r="G136" s="148" t="s">
        <v>8437</v>
      </c>
      <c r="H136" s="148" t="s">
        <v>8438</v>
      </c>
      <c r="I136" s="148" t="s">
        <v>14</v>
      </c>
      <c r="J136" s="148" t="s">
        <v>1868</v>
      </c>
      <c r="K136" s="153"/>
    </row>
    <row r="137" spans="1:11" x14ac:dyDescent="0.3">
      <c r="A137" s="148" t="s">
        <v>8439</v>
      </c>
      <c r="B137" s="148" t="s">
        <v>8392</v>
      </c>
      <c r="C137" s="148" t="s">
        <v>8440</v>
      </c>
      <c r="D137" s="148" t="s">
        <v>13</v>
      </c>
      <c r="E137" s="148" t="s">
        <v>4204</v>
      </c>
      <c r="F137" s="148" t="s">
        <v>8441</v>
      </c>
      <c r="G137" s="148" t="s">
        <v>8394</v>
      </c>
      <c r="H137" s="148" t="s">
        <v>8442</v>
      </c>
      <c r="I137" s="148" t="s">
        <v>14</v>
      </c>
      <c r="J137" s="148" t="s">
        <v>1868</v>
      </c>
      <c r="K137" s="153"/>
    </row>
    <row r="138" spans="1:11" x14ac:dyDescent="0.3">
      <c r="A138" s="148" t="s">
        <v>8443</v>
      </c>
      <c r="B138" s="148" t="s">
        <v>8392</v>
      </c>
      <c r="C138" s="148" t="s">
        <v>8444</v>
      </c>
      <c r="D138" s="148" t="s">
        <v>21</v>
      </c>
      <c r="E138" s="148" t="s">
        <v>4204</v>
      </c>
      <c r="F138" s="148" t="s">
        <v>8445</v>
      </c>
      <c r="G138" s="148" t="s">
        <v>8446</v>
      </c>
      <c r="H138" s="148" t="s">
        <v>8447</v>
      </c>
      <c r="I138" s="148" t="s">
        <v>8448</v>
      </c>
      <c r="J138" s="148" t="s">
        <v>1868</v>
      </c>
      <c r="K138" s="153"/>
    </row>
    <row r="139" spans="1:11" x14ac:dyDescent="0.3">
      <c r="A139" s="148" t="s">
        <v>8449</v>
      </c>
      <c r="B139" s="148" t="s">
        <v>8392</v>
      </c>
      <c r="C139" s="148" t="s">
        <v>13048</v>
      </c>
      <c r="D139" s="148" t="s">
        <v>13</v>
      </c>
      <c r="E139" s="148" t="s">
        <v>13030</v>
      </c>
      <c r="F139" s="148" t="s">
        <v>8450</v>
      </c>
      <c r="G139" s="148" t="s">
        <v>8451</v>
      </c>
      <c r="H139" s="148" t="s">
        <v>8452</v>
      </c>
      <c r="I139" s="148" t="s">
        <v>13049</v>
      </c>
      <c r="J139" s="148" t="s">
        <v>1868</v>
      </c>
      <c r="K139" s="153"/>
    </row>
    <row r="140" spans="1:11" x14ac:dyDescent="0.3">
      <c r="A140" s="149" t="s">
        <v>8453</v>
      </c>
      <c r="B140" s="149" t="s">
        <v>8454</v>
      </c>
      <c r="C140" s="149" t="s">
        <v>8455</v>
      </c>
      <c r="D140" s="149" t="s">
        <v>13</v>
      </c>
      <c r="E140" s="149" t="s">
        <v>1577</v>
      </c>
      <c r="F140" s="149" t="s">
        <v>8037</v>
      </c>
      <c r="G140" s="149" t="s">
        <v>8456</v>
      </c>
      <c r="H140" s="149" t="s">
        <v>8457</v>
      </c>
      <c r="I140" s="149" t="s">
        <v>14</v>
      </c>
      <c r="J140" s="149" t="s">
        <v>1852</v>
      </c>
      <c r="K140" s="153"/>
    </row>
    <row r="141" spans="1:11" x14ac:dyDescent="0.3">
      <c r="A141" s="149" t="s">
        <v>8458</v>
      </c>
      <c r="B141" s="149" t="s">
        <v>8454</v>
      </c>
      <c r="C141" s="149" t="s">
        <v>8459</v>
      </c>
      <c r="D141" s="149" t="s">
        <v>13</v>
      </c>
      <c r="E141" s="149" t="s">
        <v>1577</v>
      </c>
      <c r="F141" s="149" t="s">
        <v>8460</v>
      </c>
      <c r="G141" s="149" t="s">
        <v>8456</v>
      </c>
      <c r="H141" s="149" t="s">
        <v>8461</v>
      </c>
      <c r="I141" s="149" t="s">
        <v>14</v>
      </c>
      <c r="J141" s="149" t="s">
        <v>1868</v>
      </c>
      <c r="K141" s="153"/>
    </row>
    <row r="142" spans="1:11" x14ac:dyDescent="0.3">
      <c r="A142" s="149" t="s">
        <v>8462</v>
      </c>
      <c r="B142" s="149" t="s">
        <v>8454</v>
      </c>
      <c r="C142" s="149" t="s">
        <v>8463</v>
      </c>
      <c r="D142" s="149" t="s">
        <v>13</v>
      </c>
      <c r="E142" s="149" t="s">
        <v>1577</v>
      </c>
      <c r="F142" s="149" t="s">
        <v>8464</v>
      </c>
      <c r="G142" s="149" t="s">
        <v>8456</v>
      </c>
      <c r="H142" s="149" t="s">
        <v>8465</v>
      </c>
      <c r="I142" s="149" t="s">
        <v>14</v>
      </c>
      <c r="J142" s="149" t="s">
        <v>1868</v>
      </c>
      <c r="K142" s="153"/>
    </row>
    <row r="143" spans="1:11" x14ac:dyDescent="0.3">
      <c r="A143" s="149" t="s">
        <v>8466</v>
      </c>
      <c r="B143" s="149" t="s">
        <v>8454</v>
      </c>
      <c r="C143" s="149" t="s">
        <v>8467</v>
      </c>
      <c r="D143" s="149" t="s">
        <v>13</v>
      </c>
      <c r="E143" s="149" t="s">
        <v>1577</v>
      </c>
      <c r="F143" s="149" t="s">
        <v>8468</v>
      </c>
      <c r="G143" s="149" t="s">
        <v>8456</v>
      </c>
      <c r="H143" s="149" t="s">
        <v>8469</v>
      </c>
      <c r="I143" s="149" t="s">
        <v>14</v>
      </c>
      <c r="J143" s="149" t="s">
        <v>1868</v>
      </c>
      <c r="K143" s="153"/>
    </row>
    <row r="144" spans="1:11" x14ac:dyDescent="0.3">
      <c r="A144" s="149" t="s">
        <v>8470</v>
      </c>
      <c r="B144" s="149" t="s">
        <v>8454</v>
      </c>
      <c r="C144" s="149" t="s">
        <v>8471</v>
      </c>
      <c r="D144" s="149" t="s">
        <v>13</v>
      </c>
      <c r="E144" s="149" t="s">
        <v>1577</v>
      </c>
      <c r="F144" s="149" t="s">
        <v>8472</v>
      </c>
      <c r="G144" s="149" t="s">
        <v>8473</v>
      </c>
      <c r="H144" s="149" t="s">
        <v>8474</v>
      </c>
      <c r="I144" s="149" t="s">
        <v>14</v>
      </c>
      <c r="J144" s="149" t="s">
        <v>1852</v>
      </c>
      <c r="K144" s="153"/>
    </row>
    <row r="145" spans="1:11" x14ac:dyDescent="0.3">
      <c r="A145" s="149" t="s">
        <v>8475</v>
      </c>
      <c r="B145" s="149" t="s">
        <v>8454</v>
      </c>
      <c r="C145" s="149" t="s">
        <v>8476</v>
      </c>
      <c r="D145" s="149" t="s">
        <v>13</v>
      </c>
      <c r="E145" s="149" t="s">
        <v>1577</v>
      </c>
      <c r="F145" s="149" t="s">
        <v>8477</v>
      </c>
      <c r="G145" s="149" t="s">
        <v>8478</v>
      </c>
      <c r="H145" s="149" t="s">
        <v>8479</v>
      </c>
      <c r="I145" s="149" t="s">
        <v>14</v>
      </c>
      <c r="J145" s="149" t="s">
        <v>1868</v>
      </c>
      <c r="K145" s="153"/>
    </row>
    <row r="146" spans="1:11" x14ac:dyDescent="0.3">
      <c r="A146" s="149" t="s">
        <v>8480</v>
      </c>
      <c r="B146" s="149" t="s">
        <v>8454</v>
      </c>
      <c r="C146" s="149" t="s">
        <v>8481</v>
      </c>
      <c r="D146" s="149" t="s">
        <v>10</v>
      </c>
      <c r="E146" s="149" t="s">
        <v>643</v>
      </c>
      <c r="F146" s="149" t="s">
        <v>8133</v>
      </c>
      <c r="G146" s="149" t="s">
        <v>8482</v>
      </c>
      <c r="H146" s="149" t="s">
        <v>8135</v>
      </c>
      <c r="I146" s="149" t="s">
        <v>8074</v>
      </c>
      <c r="J146" s="149" t="s">
        <v>1852</v>
      </c>
      <c r="K146" s="153"/>
    </row>
    <row r="147" spans="1:11" x14ac:dyDescent="0.3">
      <c r="A147" s="149" t="s">
        <v>8483</v>
      </c>
      <c r="B147" s="149" t="s">
        <v>8454</v>
      </c>
      <c r="C147" s="149" t="s">
        <v>8484</v>
      </c>
      <c r="D147" s="149" t="s">
        <v>13</v>
      </c>
      <c r="E147" s="149" t="s">
        <v>1577</v>
      </c>
      <c r="F147" s="149" t="s">
        <v>8485</v>
      </c>
      <c r="G147" s="149" t="s">
        <v>8486</v>
      </c>
      <c r="H147" s="149" t="s">
        <v>8487</v>
      </c>
      <c r="I147" s="149" t="s">
        <v>14</v>
      </c>
      <c r="J147" s="149" t="s">
        <v>1868</v>
      </c>
      <c r="K147" s="153"/>
    </row>
    <row r="148" spans="1:11" x14ac:dyDescent="0.3">
      <c r="A148" s="149" t="s">
        <v>8488</v>
      </c>
      <c r="B148" s="149" t="s">
        <v>8454</v>
      </c>
      <c r="C148" s="149" t="s">
        <v>8489</v>
      </c>
      <c r="D148" s="149" t="s">
        <v>10</v>
      </c>
      <c r="E148" s="149" t="s">
        <v>1577</v>
      </c>
      <c r="F148" s="149" t="s">
        <v>8490</v>
      </c>
      <c r="G148" s="149" t="s">
        <v>8491</v>
      </c>
      <c r="H148" s="149" t="s">
        <v>8492</v>
      </c>
      <c r="I148" s="149" t="s">
        <v>8493</v>
      </c>
      <c r="J148" s="149" t="s">
        <v>1852</v>
      </c>
      <c r="K148" s="153"/>
    </row>
    <row r="149" spans="1:11" x14ac:dyDescent="0.3">
      <c r="A149" s="149" t="s">
        <v>8494</v>
      </c>
      <c r="B149" s="149" t="s">
        <v>8454</v>
      </c>
      <c r="C149" s="149" t="s">
        <v>8495</v>
      </c>
      <c r="D149" s="149" t="s">
        <v>13</v>
      </c>
      <c r="E149" s="149" t="s">
        <v>704</v>
      </c>
      <c r="F149" s="149" t="s">
        <v>8496</v>
      </c>
      <c r="G149" s="149" t="s">
        <v>8497</v>
      </c>
      <c r="H149" s="149" t="s">
        <v>8498</v>
      </c>
      <c r="I149" s="149" t="s">
        <v>8499</v>
      </c>
      <c r="J149" s="149" t="s">
        <v>1868</v>
      </c>
      <c r="K149" s="153"/>
    </row>
    <row r="150" spans="1:11" x14ac:dyDescent="0.3">
      <c r="A150" s="149" t="s">
        <v>8500</v>
      </c>
      <c r="B150" s="149" t="s">
        <v>8454</v>
      </c>
      <c r="C150" s="149" t="s">
        <v>8501</v>
      </c>
      <c r="D150" s="149" t="s">
        <v>13</v>
      </c>
      <c r="E150" s="149" t="s">
        <v>1037</v>
      </c>
      <c r="F150" s="149" t="s">
        <v>8502</v>
      </c>
      <c r="G150" s="149" t="s">
        <v>8503</v>
      </c>
      <c r="H150" s="149" t="s">
        <v>8504</v>
      </c>
      <c r="I150" s="149" t="s">
        <v>14</v>
      </c>
      <c r="J150" s="149" t="s">
        <v>1852</v>
      </c>
      <c r="K150" s="153"/>
    </row>
    <row r="151" spans="1:11" x14ac:dyDescent="0.3">
      <c r="A151" s="149" t="s">
        <v>8505</v>
      </c>
      <c r="B151" s="149" t="s">
        <v>8454</v>
      </c>
      <c r="C151" s="149" t="s">
        <v>8506</v>
      </c>
      <c r="D151" s="149" t="s">
        <v>13</v>
      </c>
      <c r="E151" s="149" t="s">
        <v>4088</v>
      </c>
      <c r="F151" s="149" t="s">
        <v>8507</v>
      </c>
      <c r="G151" s="149" t="s">
        <v>8508</v>
      </c>
      <c r="H151" s="149" t="s">
        <v>8509</v>
      </c>
      <c r="I151" s="149" t="s">
        <v>14</v>
      </c>
      <c r="J151" s="149" t="s">
        <v>1868</v>
      </c>
      <c r="K151" s="153"/>
    </row>
    <row r="152" spans="1:11" x14ac:dyDescent="0.3">
      <c r="A152" s="95" t="s">
        <v>8510</v>
      </c>
      <c r="B152" s="95" t="s">
        <v>8511</v>
      </c>
      <c r="C152" s="95" t="s">
        <v>8512</v>
      </c>
      <c r="D152" s="95" t="s">
        <v>21</v>
      </c>
      <c r="E152" s="95" t="s">
        <v>86</v>
      </c>
      <c r="F152" s="95" t="s">
        <v>8513</v>
      </c>
      <c r="G152" s="95" t="s">
        <v>8514</v>
      </c>
      <c r="H152" s="95" t="s">
        <v>8515</v>
      </c>
      <c r="I152" s="95" t="s">
        <v>90</v>
      </c>
      <c r="J152" s="95" t="s">
        <v>1852</v>
      </c>
      <c r="K152" s="153"/>
    </row>
    <row r="153" spans="1:11" x14ac:dyDescent="0.3">
      <c r="A153" s="95" t="s">
        <v>8516</v>
      </c>
      <c r="B153" s="95" t="s">
        <v>8511</v>
      </c>
      <c r="C153" s="95" t="s">
        <v>8517</v>
      </c>
      <c r="D153" s="95" t="s">
        <v>21</v>
      </c>
      <c r="E153" s="95" t="s">
        <v>86</v>
      </c>
      <c r="F153" s="95" t="s">
        <v>8518</v>
      </c>
      <c r="G153" s="95" t="s">
        <v>101</v>
      </c>
      <c r="H153" s="95" t="s">
        <v>8519</v>
      </c>
      <c r="I153" s="95" t="s">
        <v>14</v>
      </c>
      <c r="J153" s="95" t="s">
        <v>1852</v>
      </c>
      <c r="K153" s="153"/>
    </row>
    <row r="154" spans="1:11" x14ac:dyDescent="0.3">
      <c r="A154" s="95" t="s">
        <v>8520</v>
      </c>
      <c r="B154" s="95" t="s">
        <v>8511</v>
      </c>
      <c r="C154" s="95" t="s">
        <v>8521</v>
      </c>
      <c r="D154" s="95" t="s">
        <v>21</v>
      </c>
      <c r="E154" s="95" t="s">
        <v>195</v>
      </c>
      <c r="F154" s="95" t="s">
        <v>8522</v>
      </c>
      <c r="G154" s="95" t="s">
        <v>8523</v>
      </c>
      <c r="H154" s="95" t="s">
        <v>198</v>
      </c>
      <c r="I154" s="95" t="s">
        <v>14</v>
      </c>
      <c r="J154" s="95" t="s">
        <v>1868</v>
      </c>
      <c r="K154" s="153"/>
    </row>
    <row r="155" spans="1:11" x14ac:dyDescent="0.3">
      <c r="A155" s="95" t="s">
        <v>8524</v>
      </c>
      <c r="B155" s="95" t="s">
        <v>8511</v>
      </c>
      <c r="C155" s="95" t="s">
        <v>8525</v>
      </c>
      <c r="D155" s="95" t="s">
        <v>21</v>
      </c>
      <c r="E155" s="95" t="s">
        <v>195</v>
      </c>
      <c r="F155" s="95" t="s">
        <v>8526</v>
      </c>
      <c r="G155" s="95" t="s">
        <v>8527</v>
      </c>
      <c r="H155" s="95" t="s">
        <v>8528</v>
      </c>
      <c r="I155" s="95" t="s">
        <v>14</v>
      </c>
      <c r="J155" s="95" t="s">
        <v>1868</v>
      </c>
      <c r="K155" s="153"/>
    </row>
    <row r="156" spans="1:11" ht="43.2" x14ac:dyDescent="0.3">
      <c r="A156" s="95" t="s">
        <v>8529</v>
      </c>
      <c r="B156" s="95" t="s">
        <v>8511</v>
      </c>
      <c r="C156" s="95" t="s">
        <v>8530</v>
      </c>
      <c r="D156" s="95" t="s">
        <v>21</v>
      </c>
      <c r="E156" s="95" t="s">
        <v>1577</v>
      </c>
      <c r="F156" s="95" t="s">
        <v>8531</v>
      </c>
      <c r="G156" s="95" t="s">
        <v>8532</v>
      </c>
      <c r="H156" s="95" t="s">
        <v>8533</v>
      </c>
      <c r="I156" s="95" t="s">
        <v>14</v>
      </c>
      <c r="J156" s="95" t="s">
        <v>1868</v>
      </c>
      <c r="K156" s="156" t="s">
        <v>12854</v>
      </c>
    </row>
    <row r="157" spans="1:11" x14ac:dyDescent="0.3">
      <c r="A157" s="95" t="s">
        <v>8534</v>
      </c>
      <c r="B157" s="95" t="s">
        <v>8511</v>
      </c>
      <c r="C157" s="95" t="s">
        <v>8535</v>
      </c>
      <c r="D157" s="95" t="s">
        <v>21</v>
      </c>
      <c r="E157" s="95" t="s">
        <v>1577</v>
      </c>
      <c r="F157" s="95" t="s">
        <v>8536</v>
      </c>
      <c r="G157" s="95" t="s">
        <v>8537</v>
      </c>
      <c r="H157" s="95" t="s">
        <v>8538</v>
      </c>
      <c r="I157" s="95" t="s">
        <v>14</v>
      </c>
      <c r="J157" s="95" t="s">
        <v>1852</v>
      </c>
      <c r="K157" s="153"/>
    </row>
    <row r="158" spans="1:11" x14ac:dyDescent="0.3">
      <c r="A158" s="95" t="s">
        <v>8539</v>
      </c>
      <c r="B158" s="95" t="s">
        <v>8511</v>
      </c>
      <c r="C158" s="95" t="s">
        <v>8540</v>
      </c>
      <c r="D158" s="95" t="s">
        <v>21</v>
      </c>
      <c r="E158" s="95" t="s">
        <v>1577</v>
      </c>
      <c r="F158" s="95" t="s">
        <v>8541</v>
      </c>
      <c r="G158" s="95" t="s">
        <v>8537</v>
      </c>
      <c r="H158" s="95" t="s">
        <v>8542</v>
      </c>
      <c r="I158" s="95" t="s">
        <v>14</v>
      </c>
      <c r="J158" s="95" t="s">
        <v>1868</v>
      </c>
      <c r="K158" s="153"/>
    </row>
    <row r="159" spans="1:11" x14ac:dyDescent="0.3">
      <c r="A159" s="95" t="s">
        <v>8543</v>
      </c>
      <c r="B159" s="95" t="s">
        <v>8511</v>
      </c>
      <c r="C159" s="95" t="s">
        <v>8544</v>
      </c>
      <c r="D159" s="95" t="s">
        <v>21</v>
      </c>
      <c r="E159" s="95" t="s">
        <v>86</v>
      </c>
      <c r="F159" s="95" t="s">
        <v>8545</v>
      </c>
      <c r="G159" s="95" t="s">
        <v>8546</v>
      </c>
      <c r="H159" s="95" t="s">
        <v>8547</v>
      </c>
      <c r="I159" s="95" t="s">
        <v>14</v>
      </c>
      <c r="J159" s="95" t="s">
        <v>1868</v>
      </c>
      <c r="K159" s="153"/>
    </row>
    <row r="160" spans="1:11" x14ac:dyDescent="0.3">
      <c r="A160" s="95" t="s">
        <v>8548</v>
      </c>
      <c r="B160" s="95" t="s">
        <v>8511</v>
      </c>
      <c r="C160" s="95" t="s">
        <v>8549</v>
      </c>
      <c r="D160" s="95" t="s">
        <v>21</v>
      </c>
      <c r="E160" s="95" t="s">
        <v>134</v>
      </c>
      <c r="F160" s="95" t="s">
        <v>8550</v>
      </c>
      <c r="G160" s="95" t="s">
        <v>8551</v>
      </c>
      <c r="H160" s="95" t="s">
        <v>137</v>
      </c>
      <c r="I160" s="95" t="s">
        <v>14</v>
      </c>
      <c r="J160" s="95" t="s">
        <v>1852</v>
      </c>
      <c r="K160" s="153"/>
    </row>
    <row r="161" spans="1:11" x14ac:dyDescent="0.3">
      <c r="A161" s="95" t="s">
        <v>8552</v>
      </c>
      <c r="B161" s="95" t="s">
        <v>8511</v>
      </c>
      <c r="C161" s="95" t="s">
        <v>8553</v>
      </c>
      <c r="D161" s="95" t="s">
        <v>21</v>
      </c>
      <c r="E161" s="95" t="s">
        <v>152</v>
      </c>
      <c r="F161" s="95" t="s">
        <v>8554</v>
      </c>
      <c r="G161" s="95" t="s">
        <v>154</v>
      </c>
      <c r="H161" s="95" t="s">
        <v>155</v>
      </c>
      <c r="I161" s="95" t="s">
        <v>156</v>
      </c>
      <c r="J161" s="95" t="s">
        <v>1852</v>
      </c>
      <c r="K161" s="153"/>
    </row>
    <row r="162" spans="1:11" x14ac:dyDescent="0.3">
      <c r="A162" s="95" t="s">
        <v>8555</v>
      </c>
      <c r="B162" s="95" t="s">
        <v>8511</v>
      </c>
      <c r="C162" s="95" t="s">
        <v>175</v>
      </c>
      <c r="D162" s="95" t="s">
        <v>21</v>
      </c>
      <c r="E162" s="95" t="s">
        <v>8232</v>
      </c>
      <c r="F162" s="95" t="s">
        <v>8556</v>
      </c>
      <c r="G162" s="95" t="s">
        <v>8557</v>
      </c>
      <c r="H162" s="95" t="s">
        <v>8558</v>
      </c>
      <c r="I162" s="95" t="s">
        <v>180</v>
      </c>
      <c r="J162" s="95" t="s">
        <v>1852</v>
      </c>
      <c r="K162" s="153"/>
    </row>
    <row r="163" spans="1:11" x14ac:dyDescent="0.3">
      <c r="A163" s="95" t="s">
        <v>8559</v>
      </c>
      <c r="B163" s="95" t="s">
        <v>8511</v>
      </c>
      <c r="C163" s="95" t="s">
        <v>8560</v>
      </c>
      <c r="D163" s="95" t="s">
        <v>21</v>
      </c>
      <c r="E163" s="95" t="s">
        <v>176</v>
      </c>
      <c r="F163" s="95" t="s">
        <v>8561</v>
      </c>
      <c r="G163" s="95" t="s">
        <v>8562</v>
      </c>
      <c r="H163" s="95" t="s">
        <v>8563</v>
      </c>
      <c r="I163" s="95" t="s">
        <v>14</v>
      </c>
      <c r="J163" s="95" t="s">
        <v>1868</v>
      </c>
      <c r="K163" s="153"/>
    </row>
    <row r="164" spans="1:11" x14ac:dyDescent="0.3">
      <c r="A164" s="95" t="s">
        <v>8564</v>
      </c>
      <c r="B164" s="95" t="s">
        <v>8511</v>
      </c>
      <c r="C164" s="95" t="s">
        <v>8565</v>
      </c>
      <c r="D164" s="95" t="s">
        <v>21</v>
      </c>
      <c r="E164" s="95" t="s">
        <v>106</v>
      </c>
      <c r="F164" s="95" t="s">
        <v>8566</v>
      </c>
      <c r="G164" s="95" t="s">
        <v>8491</v>
      </c>
      <c r="H164" s="95" t="s">
        <v>8567</v>
      </c>
      <c r="I164" s="95" t="s">
        <v>14</v>
      </c>
      <c r="J164" s="95" t="s">
        <v>1868</v>
      </c>
      <c r="K164" s="153"/>
    </row>
    <row r="165" spans="1:11" x14ac:dyDescent="0.3">
      <c r="A165" s="95" t="s">
        <v>8568</v>
      </c>
      <c r="B165" s="95" t="s">
        <v>8511</v>
      </c>
      <c r="C165" s="95" t="s">
        <v>8569</v>
      </c>
      <c r="D165" s="95" t="s">
        <v>21</v>
      </c>
      <c r="E165" s="95" t="s">
        <v>106</v>
      </c>
      <c r="F165" s="95" t="s">
        <v>8570</v>
      </c>
      <c r="G165" s="95" t="s">
        <v>8571</v>
      </c>
      <c r="H165" s="95" t="s">
        <v>8572</v>
      </c>
      <c r="I165" s="95" t="s">
        <v>14</v>
      </c>
      <c r="J165" s="95" t="s">
        <v>1868</v>
      </c>
      <c r="K165" s="153"/>
    </row>
    <row r="166" spans="1:11" x14ac:dyDescent="0.3">
      <c r="A166" s="95" t="s">
        <v>8573</v>
      </c>
      <c r="B166" s="95" t="s">
        <v>8511</v>
      </c>
      <c r="C166" s="95" t="s">
        <v>8574</v>
      </c>
      <c r="D166" s="95" t="s">
        <v>21</v>
      </c>
      <c r="E166" s="95" t="s">
        <v>8575</v>
      </c>
      <c r="F166" s="95" t="s">
        <v>8576</v>
      </c>
      <c r="G166" s="95" t="s">
        <v>8577</v>
      </c>
      <c r="H166" s="95" t="s">
        <v>8578</v>
      </c>
      <c r="I166" s="95" t="s">
        <v>8579</v>
      </c>
      <c r="J166" s="95" t="s">
        <v>1868</v>
      </c>
      <c r="K166" s="153"/>
    </row>
    <row r="167" spans="1:11" x14ac:dyDescent="0.3">
      <c r="A167" s="95" t="s">
        <v>8580</v>
      </c>
      <c r="B167" s="95" t="s">
        <v>8511</v>
      </c>
      <c r="C167" s="95" t="s">
        <v>13050</v>
      </c>
      <c r="D167" s="95" t="s">
        <v>21</v>
      </c>
      <c r="E167" s="95" t="s">
        <v>8581</v>
      </c>
      <c r="F167" s="95" t="s">
        <v>8582</v>
      </c>
      <c r="G167" s="95" t="s">
        <v>8583</v>
      </c>
      <c r="H167" s="95" t="s">
        <v>13051</v>
      </c>
      <c r="I167" s="95" t="s">
        <v>14</v>
      </c>
      <c r="J167" s="95" t="s">
        <v>1868</v>
      </c>
      <c r="K167" s="153"/>
    </row>
    <row r="168" spans="1:11" x14ac:dyDescent="0.3">
      <c r="A168" s="95" t="s">
        <v>8584</v>
      </c>
      <c r="B168" s="95" t="s">
        <v>8511</v>
      </c>
      <c r="C168" s="95" t="s">
        <v>8585</v>
      </c>
      <c r="D168" s="95" t="s">
        <v>21</v>
      </c>
      <c r="E168" s="95" t="s">
        <v>152</v>
      </c>
      <c r="F168" s="95" t="s">
        <v>8586</v>
      </c>
      <c r="G168" s="95" t="s">
        <v>8587</v>
      </c>
      <c r="H168" s="95" t="s">
        <v>168</v>
      </c>
      <c r="I168" s="95" t="s">
        <v>14</v>
      </c>
      <c r="J168" s="95" t="s">
        <v>1852</v>
      </c>
      <c r="K168" s="153"/>
    </row>
    <row r="169" spans="1:11" x14ac:dyDescent="0.3">
      <c r="A169" s="95" t="s">
        <v>8588</v>
      </c>
      <c r="B169" s="95" t="s">
        <v>8511</v>
      </c>
      <c r="C169" s="95" t="s">
        <v>8589</v>
      </c>
      <c r="D169" s="95" t="s">
        <v>21</v>
      </c>
      <c r="E169" s="95" t="s">
        <v>152</v>
      </c>
      <c r="F169" s="95" t="s">
        <v>8590</v>
      </c>
      <c r="G169" s="95" t="s">
        <v>172</v>
      </c>
      <c r="H169" s="95" t="s">
        <v>173</v>
      </c>
      <c r="I169" s="95" t="s">
        <v>14</v>
      </c>
      <c r="J169" s="95" t="s">
        <v>1852</v>
      </c>
      <c r="K169" s="153"/>
    </row>
    <row r="170" spans="1:11" x14ac:dyDescent="0.3">
      <c r="A170" s="95" t="s">
        <v>8591</v>
      </c>
      <c r="B170" s="95" t="s">
        <v>8511</v>
      </c>
      <c r="C170" s="95" t="s">
        <v>8592</v>
      </c>
      <c r="D170" s="95" t="s">
        <v>21</v>
      </c>
      <c r="E170" s="95" t="s">
        <v>134</v>
      </c>
      <c r="F170" s="95" t="s">
        <v>8593</v>
      </c>
      <c r="G170" s="95" t="s">
        <v>148</v>
      </c>
      <c r="H170" s="95" t="s">
        <v>149</v>
      </c>
      <c r="I170" s="95" t="s">
        <v>14</v>
      </c>
      <c r="J170" s="95" t="s">
        <v>1868</v>
      </c>
      <c r="K170" s="153"/>
    </row>
    <row r="171" spans="1:11" x14ac:dyDescent="0.3">
      <c r="A171" s="95" t="s">
        <v>8594</v>
      </c>
      <c r="B171" s="95" t="s">
        <v>8511</v>
      </c>
      <c r="C171" s="95" t="s">
        <v>8595</v>
      </c>
      <c r="D171" s="95" t="s">
        <v>21</v>
      </c>
      <c r="E171" s="95" t="s">
        <v>8596</v>
      </c>
      <c r="F171" s="95" t="s">
        <v>8597</v>
      </c>
      <c r="G171" s="95" t="s">
        <v>142</v>
      </c>
      <c r="H171" s="95" t="s">
        <v>8598</v>
      </c>
      <c r="I171" s="95" t="s">
        <v>144</v>
      </c>
      <c r="J171" s="95" t="s">
        <v>1852</v>
      </c>
      <c r="K171" s="153"/>
    </row>
    <row r="172" spans="1:11" x14ac:dyDescent="0.3">
      <c r="A172" s="95" t="s">
        <v>8599</v>
      </c>
      <c r="B172" s="95" t="s">
        <v>8511</v>
      </c>
      <c r="C172" s="95" t="s">
        <v>8600</v>
      </c>
      <c r="D172" s="95" t="s">
        <v>21</v>
      </c>
      <c r="E172" s="95" t="s">
        <v>1577</v>
      </c>
      <c r="F172" s="95" t="s">
        <v>8601</v>
      </c>
      <c r="G172" s="95" t="s">
        <v>8602</v>
      </c>
      <c r="H172" s="95" t="s">
        <v>8603</v>
      </c>
      <c r="I172" s="95" t="s">
        <v>14</v>
      </c>
      <c r="J172" s="95" t="s">
        <v>1868</v>
      </c>
      <c r="K172" s="153"/>
    </row>
    <row r="173" spans="1:11" x14ac:dyDescent="0.3">
      <c r="A173" s="95" t="s">
        <v>8604</v>
      </c>
      <c r="B173" s="95" t="s">
        <v>8511</v>
      </c>
      <c r="C173" s="95" t="s">
        <v>8605</v>
      </c>
      <c r="D173" s="95" t="s">
        <v>21</v>
      </c>
      <c r="E173" s="95" t="s">
        <v>8606</v>
      </c>
      <c r="F173" s="95" t="s">
        <v>8607</v>
      </c>
      <c r="G173" s="95" t="s">
        <v>8608</v>
      </c>
      <c r="H173" s="95" t="s">
        <v>8609</v>
      </c>
      <c r="I173" s="95" t="s">
        <v>8610</v>
      </c>
      <c r="J173" s="95" t="s">
        <v>1852</v>
      </c>
      <c r="K173" s="153"/>
    </row>
    <row r="174" spans="1:11" x14ac:dyDescent="0.3">
      <c r="A174" s="95" t="s">
        <v>8611</v>
      </c>
      <c r="B174" s="95" t="s">
        <v>8511</v>
      </c>
      <c r="C174" s="95" t="s">
        <v>8612</v>
      </c>
      <c r="D174" s="95" t="s">
        <v>21</v>
      </c>
      <c r="E174" s="95" t="s">
        <v>1577</v>
      </c>
      <c r="F174" s="95" t="s">
        <v>8613</v>
      </c>
      <c r="G174" s="95" t="s">
        <v>8614</v>
      </c>
      <c r="H174" s="95" t="s">
        <v>8615</v>
      </c>
      <c r="I174" s="95" t="s">
        <v>8616</v>
      </c>
      <c r="J174" s="95" t="s">
        <v>1868</v>
      </c>
      <c r="K174" s="153"/>
    </row>
    <row r="175" spans="1:11" x14ac:dyDescent="0.3">
      <c r="A175" s="95" t="s">
        <v>8617</v>
      </c>
      <c r="B175" s="95" t="s">
        <v>8511</v>
      </c>
      <c r="C175" s="95" t="s">
        <v>8618</v>
      </c>
      <c r="D175" s="95" t="s">
        <v>21</v>
      </c>
      <c r="E175" s="95" t="s">
        <v>134</v>
      </c>
      <c r="F175" s="95" t="s">
        <v>8619</v>
      </c>
      <c r="G175" s="95" t="s">
        <v>8620</v>
      </c>
      <c r="H175" s="95" t="s">
        <v>8621</v>
      </c>
      <c r="I175" s="95" t="s">
        <v>8622</v>
      </c>
      <c r="J175" s="95" t="s">
        <v>1868</v>
      </c>
      <c r="K175" s="153"/>
    </row>
    <row r="176" spans="1:11" x14ac:dyDescent="0.3">
      <c r="K176" s="153"/>
    </row>
    <row r="177" spans="1:11" x14ac:dyDescent="0.3">
      <c r="K177" s="153"/>
    </row>
    <row r="178" spans="1:11" ht="18" x14ac:dyDescent="0.35">
      <c r="A178" s="150" t="s">
        <v>8623</v>
      </c>
      <c r="K178" s="153"/>
    </row>
    <row r="179" spans="1:11" x14ac:dyDescent="0.3">
      <c r="K179" s="153"/>
    </row>
    <row r="180" spans="1:11" x14ac:dyDescent="0.3">
      <c r="A180" s="16" t="s">
        <v>5883</v>
      </c>
      <c r="B180">
        <f>COUNTIF(A2:A175,"BLK-TC-*")</f>
        <v>174</v>
      </c>
      <c r="K180" s="153"/>
    </row>
    <row r="181" spans="1:11" x14ac:dyDescent="0.3">
      <c r="K181" s="153"/>
    </row>
    <row r="182" spans="1:11" x14ac:dyDescent="0.3">
      <c r="A182" s="16" t="s">
        <v>5884</v>
      </c>
      <c r="K182" s="153"/>
    </row>
    <row r="183" spans="1:11" x14ac:dyDescent="0.3">
      <c r="A183" t="s">
        <v>5885</v>
      </c>
      <c r="B183">
        <f>COUNTIF(D2:D175,"P")</f>
        <v>108</v>
      </c>
      <c r="K183" s="153"/>
    </row>
    <row r="184" spans="1:11" x14ac:dyDescent="0.3">
      <c r="A184" t="s">
        <v>5886</v>
      </c>
      <c r="B184">
        <f>COUNTIF(D2:D175,"N")</f>
        <v>39</v>
      </c>
      <c r="K184" s="153"/>
    </row>
    <row r="185" spans="1:11" x14ac:dyDescent="0.3">
      <c r="A185" t="s">
        <v>5887</v>
      </c>
      <c r="B185">
        <f>COUNTIF(D2:D175,"E")</f>
        <v>27</v>
      </c>
      <c r="K185" s="153"/>
    </row>
    <row r="186" spans="1:11" x14ac:dyDescent="0.3">
      <c r="K186" s="153"/>
    </row>
    <row r="187" spans="1:11" x14ac:dyDescent="0.3">
      <c r="A187" s="16" t="s">
        <v>5888</v>
      </c>
      <c r="K187" s="153"/>
    </row>
    <row r="188" spans="1:11" x14ac:dyDescent="0.3">
      <c r="A188" t="s">
        <v>5889</v>
      </c>
      <c r="B188">
        <f>COUNTIF(J2:J175,"P1")</f>
        <v>107</v>
      </c>
      <c r="K188" s="153"/>
    </row>
    <row r="189" spans="1:11" x14ac:dyDescent="0.3">
      <c r="A189" t="s">
        <v>5890</v>
      </c>
      <c r="B189">
        <f>COUNTIF(J2:J175,"P2")</f>
        <v>67</v>
      </c>
      <c r="K189" s="153"/>
    </row>
    <row r="190" spans="1:11" x14ac:dyDescent="0.3">
      <c r="K190" s="153"/>
    </row>
    <row r="191" spans="1:11" x14ac:dyDescent="0.3">
      <c r="A191" s="16" t="s">
        <v>5891</v>
      </c>
      <c r="K191" s="153"/>
    </row>
    <row r="192" spans="1:11" x14ac:dyDescent="0.3">
      <c r="A192" t="s">
        <v>7764</v>
      </c>
      <c r="B192">
        <f>COUNTIF(B2:B175,"1. Blocker Creation &amp; Field Validation")</f>
        <v>16</v>
      </c>
      <c r="K192" s="153"/>
    </row>
    <row r="193" spans="1:11" x14ac:dyDescent="0.3">
      <c r="A193" t="s">
        <v>7844</v>
      </c>
      <c r="B193">
        <f>COUNTIF(B2:B175,"2. Blocker Status Transitions - Happy Path")</f>
        <v>14</v>
      </c>
      <c r="K193" s="153"/>
    </row>
    <row r="194" spans="1:11" x14ac:dyDescent="0.3">
      <c r="A194" t="s">
        <v>7904</v>
      </c>
      <c r="B194">
        <f>COUNTIF(B2:B175,"3. Blocker Status Transitions - Negative")</f>
        <v>14</v>
      </c>
      <c r="K194" s="153"/>
    </row>
    <row r="195" spans="1:11" x14ac:dyDescent="0.3">
      <c r="A195" t="s">
        <v>7973</v>
      </c>
      <c r="B195">
        <f>COUNTIF(B2:B175,"4. Blocker Impact on Release Transitions")</f>
        <v>18</v>
      </c>
      <c r="K195" s="153"/>
    </row>
    <row r="196" spans="1:11" x14ac:dyDescent="0.3">
      <c r="A196" t="s">
        <v>8070</v>
      </c>
      <c r="B196">
        <f>COUNTIF(B2:B175,"5. Blocker Locking &amp; Immutability")</f>
        <v>14</v>
      </c>
      <c r="K196" s="153"/>
    </row>
    <row r="197" spans="1:11" x14ac:dyDescent="0.3">
      <c r="A197" t="s">
        <v>8137</v>
      </c>
      <c r="B197">
        <f>COUNTIF(B2:B175,"6. Stale Blocker Alerts")</f>
        <v>12</v>
      </c>
      <c r="K197" s="153"/>
    </row>
    <row r="198" spans="1:11" x14ac:dyDescent="0.3">
      <c r="A198" t="s">
        <v>8193</v>
      </c>
      <c r="B198">
        <f>COUNTIF(B2:B175,"7. Cascading Behaviors")</f>
        <v>14</v>
      </c>
      <c r="K198" s="153"/>
    </row>
    <row r="199" spans="1:11" x14ac:dyDescent="0.3">
      <c r="A199" t="s">
        <v>8275</v>
      </c>
      <c r="B199">
        <f>COUNTIF(B2:B175,"8. Permissions &amp; Access Control")</f>
        <v>12</v>
      </c>
      <c r="K199" s="153"/>
    </row>
    <row r="200" spans="1:11" x14ac:dyDescent="0.3">
      <c r="A200" t="s">
        <v>7475</v>
      </c>
      <c r="B200">
        <f>COUNTIF(B2:B175,"9. Audit Trail &amp; History")</f>
        <v>12</v>
      </c>
      <c r="K200" s="153"/>
    </row>
    <row r="201" spans="1:11" x14ac:dyDescent="0.3">
      <c r="A201" t="s">
        <v>8392</v>
      </c>
      <c r="B201">
        <f>COUNTIF(B2:B175,"10. Notifications")</f>
        <v>12</v>
      </c>
      <c r="K201" s="153"/>
    </row>
    <row r="202" spans="1:11" x14ac:dyDescent="0.3">
      <c r="A202" t="s">
        <v>8454</v>
      </c>
      <c r="B202">
        <f>COUNTIF(B2:B175,"11. Severity &amp; Priority Handling")</f>
        <v>12</v>
      </c>
      <c r="K202" s="153"/>
    </row>
    <row r="203" spans="1:11" x14ac:dyDescent="0.3">
      <c r="A203" t="s">
        <v>8511</v>
      </c>
      <c r="B203">
        <f>COUNTIF(B2:B175,"12. Blocker Edge Cases")</f>
        <v>24</v>
      </c>
      <c r="K203" s="153"/>
    </row>
    <row r="204" spans="1:11" x14ac:dyDescent="0.3">
      <c r="K204" s="153"/>
    </row>
    <row r="205" spans="1:11" x14ac:dyDescent="0.3">
      <c r="A205" s="16" t="s">
        <v>5892</v>
      </c>
      <c r="K205" s="153"/>
    </row>
    <row r="206" spans="1:11" x14ac:dyDescent="0.3">
      <c r="A206" t="s">
        <v>8624</v>
      </c>
      <c r="B206" t="s">
        <v>5893</v>
      </c>
      <c r="K206" s="153"/>
    </row>
    <row r="207" spans="1:11" x14ac:dyDescent="0.3">
      <c r="A207" t="s">
        <v>8625</v>
      </c>
      <c r="B207" t="s">
        <v>5893</v>
      </c>
      <c r="K207" s="153"/>
    </row>
    <row r="208" spans="1:11" x14ac:dyDescent="0.3">
      <c r="A208" t="s">
        <v>7751</v>
      </c>
      <c r="B208" t="s">
        <v>5893</v>
      </c>
      <c r="K208" s="153"/>
    </row>
    <row r="209" spans="1:11" x14ac:dyDescent="0.3">
      <c r="A209" t="s">
        <v>7747</v>
      </c>
      <c r="B209" t="s">
        <v>5893</v>
      </c>
      <c r="K209" s="153"/>
    </row>
    <row r="210" spans="1:11" x14ac:dyDescent="0.3">
      <c r="A210" t="s">
        <v>8626</v>
      </c>
      <c r="B210" t="s">
        <v>5893</v>
      </c>
      <c r="K210" s="153"/>
    </row>
    <row r="211" spans="1:11" x14ac:dyDescent="0.3">
      <c r="A211" t="s">
        <v>8627</v>
      </c>
      <c r="B211" t="s">
        <v>5893</v>
      </c>
      <c r="K211" s="153"/>
    </row>
    <row r="212" spans="1:11" x14ac:dyDescent="0.3">
      <c r="A212" t="s">
        <v>8628</v>
      </c>
      <c r="B212" t="s">
        <v>5893</v>
      </c>
      <c r="K212" s="153"/>
    </row>
    <row r="213" spans="1:11" x14ac:dyDescent="0.3">
      <c r="A213" t="s">
        <v>8629</v>
      </c>
      <c r="B213" t="s">
        <v>5893</v>
      </c>
      <c r="K213" s="153"/>
    </row>
    <row r="214" spans="1:11" x14ac:dyDescent="0.3">
      <c r="A214" t="s">
        <v>8630</v>
      </c>
      <c r="B214" t="s">
        <v>5893</v>
      </c>
      <c r="K214" s="153"/>
    </row>
    <row r="215" spans="1:11" x14ac:dyDescent="0.3">
      <c r="A215" t="s">
        <v>8631</v>
      </c>
      <c r="B215" t="s">
        <v>5893</v>
      </c>
      <c r="K215" s="153"/>
    </row>
    <row r="216" spans="1:11" x14ac:dyDescent="0.3">
      <c r="A216" t="s">
        <v>8632</v>
      </c>
      <c r="B216" t="s">
        <v>5893</v>
      </c>
      <c r="K216" s="153"/>
    </row>
    <row r="217" spans="1:11" x14ac:dyDescent="0.3">
      <c r="A217" t="s">
        <v>8633</v>
      </c>
      <c r="B217" t="s">
        <v>5893</v>
      </c>
      <c r="K217" s="153"/>
    </row>
    <row r="218" spans="1:11" x14ac:dyDescent="0.3">
      <c r="A218" t="s">
        <v>7753</v>
      </c>
      <c r="B218" t="s">
        <v>5893</v>
      </c>
      <c r="K218" s="153"/>
    </row>
    <row r="219" spans="1:11" x14ac:dyDescent="0.3">
      <c r="A219" t="s">
        <v>8634</v>
      </c>
      <c r="B219" t="s">
        <v>5893</v>
      </c>
      <c r="K219" s="153"/>
    </row>
    <row r="220" spans="1:11" x14ac:dyDescent="0.3">
      <c r="A220" t="s">
        <v>8635</v>
      </c>
      <c r="B220" t="s">
        <v>5893</v>
      </c>
      <c r="K220" s="153"/>
    </row>
    <row r="221" spans="1:11" x14ac:dyDescent="0.3">
      <c r="A221" t="s">
        <v>8636</v>
      </c>
      <c r="B221" t="s">
        <v>5893</v>
      </c>
      <c r="K221" s="153"/>
    </row>
    <row r="222" spans="1:11" x14ac:dyDescent="0.3">
      <c r="A222" t="s">
        <v>8637</v>
      </c>
      <c r="B222" t="s">
        <v>5893</v>
      </c>
      <c r="K222" s="153"/>
    </row>
    <row r="223" spans="1:11" x14ac:dyDescent="0.3">
      <c r="A223" t="s">
        <v>5899</v>
      </c>
      <c r="B223" t="s">
        <v>5893</v>
      </c>
      <c r="K223" s="153"/>
    </row>
    <row r="224" spans="1:11" x14ac:dyDescent="0.3">
      <c r="A224" t="s">
        <v>8638</v>
      </c>
      <c r="B224" t="s">
        <v>5893</v>
      </c>
      <c r="K224" s="153"/>
    </row>
    <row r="225" spans="1:11" x14ac:dyDescent="0.3">
      <c r="A225" t="s">
        <v>7759</v>
      </c>
      <c r="B225" t="s">
        <v>5893</v>
      </c>
      <c r="K225" s="153"/>
    </row>
    <row r="226" spans="1:11" x14ac:dyDescent="0.3">
      <c r="A226" t="s">
        <v>8639</v>
      </c>
      <c r="B226" t="s">
        <v>5893</v>
      </c>
      <c r="K226" s="153"/>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DAA8-B968-4596-81F2-6DF2DCEF5B7E}">
  <dimension ref="A1:K127"/>
  <sheetViews>
    <sheetView workbookViewId="0">
      <pane ySplit="1" topLeftCell="A2" activePane="bottomLeft" state="frozen"/>
      <selection pane="bottomLeft"/>
    </sheetView>
  </sheetViews>
  <sheetFormatPr defaultRowHeight="14.4" x14ac:dyDescent="0.3"/>
  <cols>
    <col min="1" max="1" width="16.6640625" customWidth="1"/>
    <col min="2" max="2" width="33.33203125" customWidth="1"/>
    <col min="3" max="3" width="51.88671875" customWidth="1"/>
    <col min="4" max="4" width="9.21875" customWidth="1"/>
    <col min="5" max="5" width="22.21875" customWidth="1"/>
    <col min="6" max="8" width="46.33203125" customWidth="1"/>
    <col min="9"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10920</v>
      </c>
      <c r="B2" s="46" t="s">
        <v>10921</v>
      </c>
      <c r="C2" s="46" t="s">
        <v>10922</v>
      </c>
      <c r="D2" s="46" t="s">
        <v>13</v>
      </c>
      <c r="E2" s="46" t="s">
        <v>57</v>
      </c>
      <c r="F2" s="46" t="s">
        <v>10923</v>
      </c>
      <c r="G2" s="46" t="s">
        <v>10924</v>
      </c>
      <c r="H2" s="46" t="s">
        <v>10925</v>
      </c>
      <c r="I2" s="46" t="s">
        <v>14</v>
      </c>
      <c r="J2" s="46" t="s">
        <v>1852</v>
      </c>
      <c r="K2" s="153"/>
    </row>
    <row r="3" spans="1:11" x14ac:dyDescent="0.3">
      <c r="A3" s="46" t="s">
        <v>10926</v>
      </c>
      <c r="B3" s="46" t="s">
        <v>10921</v>
      </c>
      <c r="C3" s="46" t="s">
        <v>10927</v>
      </c>
      <c r="D3" s="46" t="s">
        <v>13</v>
      </c>
      <c r="E3" s="46" t="s">
        <v>57</v>
      </c>
      <c r="F3" s="46" t="s">
        <v>10928</v>
      </c>
      <c r="G3" s="46" t="s">
        <v>10924</v>
      </c>
      <c r="H3" s="46" t="s">
        <v>10929</v>
      </c>
      <c r="I3" s="46" t="s">
        <v>14</v>
      </c>
      <c r="J3" s="46" t="s">
        <v>1852</v>
      </c>
      <c r="K3" s="153"/>
    </row>
    <row r="4" spans="1:11" x14ac:dyDescent="0.3">
      <c r="A4" s="46" t="s">
        <v>10930</v>
      </c>
      <c r="B4" s="46" t="s">
        <v>10921</v>
      </c>
      <c r="C4" s="46" t="s">
        <v>10931</v>
      </c>
      <c r="D4" s="46" t="s">
        <v>13</v>
      </c>
      <c r="E4" s="46" t="s">
        <v>57</v>
      </c>
      <c r="F4" s="46" t="s">
        <v>10932</v>
      </c>
      <c r="G4" s="46" t="s">
        <v>10924</v>
      </c>
      <c r="H4" s="46" t="s">
        <v>10933</v>
      </c>
      <c r="I4" s="46" t="s">
        <v>14</v>
      </c>
      <c r="J4" s="46" t="s">
        <v>1852</v>
      </c>
      <c r="K4" s="153"/>
    </row>
    <row r="5" spans="1:11" x14ac:dyDescent="0.3">
      <c r="A5" s="46" t="s">
        <v>10934</v>
      </c>
      <c r="B5" s="46" t="s">
        <v>10921</v>
      </c>
      <c r="C5" s="46" t="s">
        <v>10935</v>
      </c>
      <c r="D5" s="46" t="s">
        <v>13</v>
      </c>
      <c r="E5" s="46" t="s">
        <v>57</v>
      </c>
      <c r="F5" s="46" t="s">
        <v>10936</v>
      </c>
      <c r="G5" s="46" t="s">
        <v>10924</v>
      </c>
      <c r="H5" s="46" t="s">
        <v>10937</v>
      </c>
      <c r="I5" s="46" t="s">
        <v>14</v>
      </c>
      <c r="J5" s="46" t="s">
        <v>1868</v>
      </c>
      <c r="K5" s="153"/>
    </row>
    <row r="6" spans="1:11" x14ac:dyDescent="0.3">
      <c r="A6" s="46" t="s">
        <v>10938</v>
      </c>
      <c r="B6" s="46" t="s">
        <v>10921</v>
      </c>
      <c r="C6" s="46" t="s">
        <v>10939</v>
      </c>
      <c r="D6" s="46" t="s">
        <v>21</v>
      </c>
      <c r="E6" s="46" t="s">
        <v>57</v>
      </c>
      <c r="F6" s="46" t="s">
        <v>10940</v>
      </c>
      <c r="G6" s="46" t="s">
        <v>10924</v>
      </c>
      <c r="H6" s="46" t="s">
        <v>10941</v>
      </c>
      <c r="I6" s="46" t="s">
        <v>14</v>
      </c>
      <c r="J6" s="46" t="s">
        <v>1868</v>
      </c>
      <c r="K6" s="153"/>
    </row>
    <row r="7" spans="1:11" x14ac:dyDescent="0.3">
      <c r="A7" s="46" t="s">
        <v>10942</v>
      </c>
      <c r="B7" s="46" t="s">
        <v>10921</v>
      </c>
      <c r="C7" s="46" t="s">
        <v>10943</v>
      </c>
      <c r="D7" s="46" t="s">
        <v>21</v>
      </c>
      <c r="E7" s="46" t="s">
        <v>10944</v>
      </c>
      <c r="F7" s="46" t="s">
        <v>10945</v>
      </c>
      <c r="G7" s="46" t="s">
        <v>10946</v>
      </c>
      <c r="H7" s="46" t="s">
        <v>10947</v>
      </c>
      <c r="I7" s="46" t="s">
        <v>10948</v>
      </c>
      <c r="J7" s="46" t="s">
        <v>1852</v>
      </c>
      <c r="K7" s="153"/>
    </row>
    <row r="8" spans="1:11" x14ac:dyDescent="0.3">
      <c r="A8" s="46" t="s">
        <v>10949</v>
      </c>
      <c r="B8" s="46" t="s">
        <v>10921</v>
      </c>
      <c r="C8" s="46" t="s">
        <v>10950</v>
      </c>
      <c r="D8" s="46" t="s">
        <v>21</v>
      </c>
      <c r="E8" s="46" t="s">
        <v>10944</v>
      </c>
      <c r="F8" s="46" t="s">
        <v>10951</v>
      </c>
      <c r="G8" s="46" t="s">
        <v>10952</v>
      </c>
      <c r="H8" s="46" t="s">
        <v>10953</v>
      </c>
      <c r="I8" s="46" t="s">
        <v>14</v>
      </c>
      <c r="J8" s="46" t="s">
        <v>1852</v>
      </c>
      <c r="K8" s="153"/>
    </row>
    <row r="9" spans="1:11" x14ac:dyDescent="0.3">
      <c r="A9" s="46" t="s">
        <v>10954</v>
      </c>
      <c r="B9" s="46" t="s">
        <v>10921</v>
      </c>
      <c r="C9" s="46" t="s">
        <v>10955</v>
      </c>
      <c r="D9" s="46" t="s">
        <v>13</v>
      </c>
      <c r="E9" s="46" t="s">
        <v>10956</v>
      </c>
      <c r="F9" s="46" t="s">
        <v>10957</v>
      </c>
      <c r="G9" s="46" t="s">
        <v>10958</v>
      </c>
      <c r="H9" s="46" t="s">
        <v>10959</v>
      </c>
      <c r="I9" s="46" t="s">
        <v>14</v>
      </c>
      <c r="J9" s="46" t="s">
        <v>1868</v>
      </c>
      <c r="K9" s="153"/>
    </row>
    <row r="10" spans="1:11" x14ac:dyDescent="0.3">
      <c r="A10" s="46" t="s">
        <v>10960</v>
      </c>
      <c r="B10" s="46" t="s">
        <v>10921</v>
      </c>
      <c r="C10" s="46" t="s">
        <v>10961</v>
      </c>
      <c r="D10" s="46" t="s">
        <v>13</v>
      </c>
      <c r="E10" s="46" t="s">
        <v>57</v>
      </c>
      <c r="F10" s="46" t="s">
        <v>10962</v>
      </c>
      <c r="G10" s="46" t="s">
        <v>10924</v>
      </c>
      <c r="H10" s="46" t="s">
        <v>10963</v>
      </c>
      <c r="I10" s="46" t="s">
        <v>14</v>
      </c>
      <c r="J10" s="46" t="s">
        <v>1868</v>
      </c>
      <c r="K10" s="153"/>
    </row>
    <row r="11" spans="1:11" x14ac:dyDescent="0.3">
      <c r="A11" s="46" t="s">
        <v>10964</v>
      </c>
      <c r="B11" s="46" t="s">
        <v>10921</v>
      </c>
      <c r="C11" s="46" t="s">
        <v>10965</v>
      </c>
      <c r="D11" s="46" t="s">
        <v>13</v>
      </c>
      <c r="E11" s="46" t="s">
        <v>57</v>
      </c>
      <c r="F11" s="46" t="s">
        <v>10966</v>
      </c>
      <c r="G11" s="46" t="s">
        <v>10924</v>
      </c>
      <c r="H11" s="46" t="s">
        <v>10967</v>
      </c>
      <c r="I11" s="46" t="s">
        <v>14</v>
      </c>
      <c r="J11" s="46" t="s">
        <v>1868</v>
      </c>
      <c r="K11" s="153"/>
    </row>
    <row r="12" spans="1:11" x14ac:dyDescent="0.3">
      <c r="A12" s="46" t="s">
        <v>10968</v>
      </c>
      <c r="B12" s="46" t="s">
        <v>10921</v>
      </c>
      <c r="C12" s="46" t="s">
        <v>10969</v>
      </c>
      <c r="D12" s="46" t="s">
        <v>21</v>
      </c>
      <c r="E12" s="46" t="s">
        <v>57</v>
      </c>
      <c r="F12" s="46" t="s">
        <v>10970</v>
      </c>
      <c r="G12" s="46" t="s">
        <v>10924</v>
      </c>
      <c r="H12" s="46" t="s">
        <v>10971</v>
      </c>
      <c r="I12" s="46" t="s">
        <v>14</v>
      </c>
      <c r="J12" s="46" t="s">
        <v>1868</v>
      </c>
      <c r="K12" s="153"/>
    </row>
    <row r="13" spans="1:11" x14ac:dyDescent="0.3">
      <c r="A13" s="46" t="s">
        <v>10972</v>
      </c>
      <c r="B13" s="46" t="s">
        <v>10921</v>
      </c>
      <c r="C13" s="46" t="s">
        <v>10973</v>
      </c>
      <c r="D13" s="46" t="s">
        <v>13</v>
      </c>
      <c r="E13" s="46" t="s">
        <v>57</v>
      </c>
      <c r="F13" s="46" t="s">
        <v>10974</v>
      </c>
      <c r="G13" s="46" t="s">
        <v>10924</v>
      </c>
      <c r="H13" s="46" t="s">
        <v>10975</v>
      </c>
      <c r="I13" s="46" t="s">
        <v>14</v>
      </c>
      <c r="J13" s="46" t="s">
        <v>1868</v>
      </c>
      <c r="K13" s="153"/>
    </row>
    <row r="14" spans="1:11" x14ac:dyDescent="0.3">
      <c r="A14" s="46" t="s">
        <v>10976</v>
      </c>
      <c r="B14" s="46" t="s">
        <v>10921</v>
      </c>
      <c r="C14" s="46" t="s">
        <v>10977</v>
      </c>
      <c r="D14" s="46" t="s">
        <v>13</v>
      </c>
      <c r="E14" s="46" t="s">
        <v>57</v>
      </c>
      <c r="F14" s="46" t="s">
        <v>10978</v>
      </c>
      <c r="G14" s="46" t="s">
        <v>10924</v>
      </c>
      <c r="H14" s="46" t="s">
        <v>10979</v>
      </c>
      <c r="I14" s="46" t="s">
        <v>14</v>
      </c>
      <c r="J14" s="46" t="s">
        <v>1873</v>
      </c>
      <c r="K14" s="153"/>
    </row>
    <row r="15" spans="1:11" x14ac:dyDescent="0.3">
      <c r="A15" s="46" t="s">
        <v>10980</v>
      </c>
      <c r="B15" s="46" t="s">
        <v>10921</v>
      </c>
      <c r="C15" s="46" t="s">
        <v>10981</v>
      </c>
      <c r="D15" s="46" t="s">
        <v>21</v>
      </c>
      <c r="E15" s="46" t="s">
        <v>10982</v>
      </c>
      <c r="F15" s="46" t="s">
        <v>10983</v>
      </c>
      <c r="G15" s="46" t="s">
        <v>10924</v>
      </c>
      <c r="H15" s="46" t="s">
        <v>10984</v>
      </c>
      <c r="I15" s="46" t="s">
        <v>14</v>
      </c>
      <c r="J15" s="46" t="s">
        <v>1868</v>
      </c>
      <c r="K15" s="153"/>
    </row>
    <row r="16" spans="1:11" x14ac:dyDescent="0.3">
      <c r="A16" s="46" t="s">
        <v>10985</v>
      </c>
      <c r="B16" s="46" t="s">
        <v>10921</v>
      </c>
      <c r="C16" s="46" t="s">
        <v>10986</v>
      </c>
      <c r="D16" s="46" t="s">
        <v>13</v>
      </c>
      <c r="E16" s="46" t="s">
        <v>57</v>
      </c>
      <c r="F16" s="46" t="s">
        <v>10987</v>
      </c>
      <c r="G16" s="46" t="s">
        <v>10988</v>
      </c>
      <c r="H16" s="46" t="s">
        <v>10989</v>
      </c>
      <c r="I16" s="46" t="s">
        <v>14</v>
      </c>
      <c r="J16" s="46" t="s">
        <v>1868</v>
      </c>
      <c r="K16" s="153"/>
    </row>
    <row r="17" spans="1:11" x14ac:dyDescent="0.3">
      <c r="A17" s="46" t="s">
        <v>10990</v>
      </c>
      <c r="B17" s="46" t="s">
        <v>10921</v>
      </c>
      <c r="C17" s="46" t="s">
        <v>10991</v>
      </c>
      <c r="D17" s="46" t="s">
        <v>13</v>
      </c>
      <c r="E17" s="46" t="s">
        <v>10992</v>
      </c>
      <c r="F17" s="46" t="s">
        <v>10993</v>
      </c>
      <c r="G17" s="46" t="s">
        <v>10994</v>
      </c>
      <c r="H17" s="46" t="s">
        <v>10995</v>
      </c>
      <c r="I17" s="46" t="s">
        <v>14</v>
      </c>
      <c r="J17" s="46" t="s">
        <v>1873</v>
      </c>
      <c r="K17" s="153"/>
    </row>
    <row r="18" spans="1:11" x14ac:dyDescent="0.3">
      <c r="A18" s="89" t="s">
        <v>10996</v>
      </c>
      <c r="B18" s="89" t="s">
        <v>10997</v>
      </c>
      <c r="C18" s="89" t="s">
        <v>10998</v>
      </c>
      <c r="D18" s="89" t="s">
        <v>13</v>
      </c>
      <c r="E18" s="89" t="s">
        <v>30</v>
      </c>
      <c r="F18" s="89" t="s">
        <v>10999</v>
      </c>
      <c r="G18" s="89" t="s">
        <v>11000</v>
      </c>
      <c r="H18" s="89" t="s">
        <v>11001</v>
      </c>
      <c r="I18" s="89" t="s">
        <v>11002</v>
      </c>
      <c r="J18" s="89" t="s">
        <v>1852</v>
      </c>
      <c r="K18" s="153"/>
    </row>
    <row r="19" spans="1:11" x14ac:dyDescent="0.3">
      <c r="A19" s="89" t="s">
        <v>11003</v>
      </c>
      <c r="B19" s="89" t="s">
        <v>10997</v>
      </c>
      <c r="C19" s="89" t="s">
        <v>11004</v>
      </c>
      <c r="D19" s="89" t="s">
        <v>13</v>
      </c>
      <c r="E19" s="89" t="s">
        <v>30</v>
      </c>
      <c r="F19" s="89" t="s">
        <v>11005</v>
      </c>
      <c r="G19" s="89" t="s">
        <v>11000</v>
      </c>
      <c r="H19" s="89" t="s">
        <v>11006</v>
      </c>
      <c r="I19" s="89" t="s">
        <v>14</v>
      </c>
      <c r="J19" s="89" t="s">
        <v>1852</v>
      </c>
      <c r="K19" s="153"/>
    </row>
    <row r="20" spans="1:11" x14ac:dyDescent="0.3">
      <c r="A20" s="89" t="s">
        <v>11007</v>
      </c>
      <c r="B20" s="89" t="s">
        <v>10997</v>
      </c>
      <c r="C20" s="89" t="s">
        <v>11008</v>
      </c>
      <c r="D20" s="89" t="s">
        <v>13</v>
      </c>
      <c r="E20" s="89" t="s">
        <v>30</v>
      </c>
      <c r="F20" s="89" t="s">
        <v>11009</v>
      </c>
      <c r="G20" s="89" t="s">
        <v>11010</v>
      </c>
      <c r="H20" s="89" t="s">
        <v>11011</v>
      </c>
      <c r="I20" s="89" t="s">
        <v>11012</v>
      </c>
      <c r="J20" s="89" t="s">
        <v>1852</v>
      </c>
      <c r="K20" s="153"/>
    </row>
    <row r="21" spans="1:11" x14ac:dyDescent="0.3">
      <c r="A21" s="89" t="s">
        <v>11013</v>
      </c>
      <c r="B21" s="89" t="s">
        <v>10997</v>
      </c>
      <c r="C21" s="89" t="s">
        <v>11014</v>
      </c>
      <c r="D21" s="89" t="s">
        <v>13</v>
      </c>
      <c r="E21" s="89" t="s">
        <v>30</v>
      </c>
      <c r="F21" s="89" t="s">
        <v>11015</v>
      </c>
      <c r="G21" s="89" t="s">
        <v>11010</v>
      </c>
      <c r="H21" s="89" t="s">
        <v>11011</v>
      </c>
      <c r="I21" s="89" t="s">
        <v>11016</v>
      </c>
      <c r="J21" s="89" t="s">
        <v>1852</v>
      </c>
      <c r="K21" s="153"/>
    </row>
    <row r="22" spans="1:11" x14ac:dyDescent="0.3">
      <c r="A22" s="89" t="s">
        <v>11017</v>
      </c>
      <c r="B22" s="89" t="s">
        <v>10997</v>
      </c>
      <c r="C22" s="89" t="s">
        <v>11018</v>
      </c>
      <c r="D22" s="89" t="s">
        <v>13</v>
      </c>
      <c r="E22" s="89" t="s">
        <v>30</v>
      </c>
      <c r="F22" s="89" t="s">
        <v>11019</v>
      </c>
      <c r="G22" s="89" t="s">
        <v>11020</v>
      </c>
      <c r="H22" s="89" t="s">
        <v>11021</v>
      </c>
      <c r="I22" s="89" t="s">
        <v>14</v>
      </c>
      <c r="J22" s="89" t="s">
        <v>1868</v>
      </c>
      <c r="K22" s="153"/>
    </row>
    <row r="23" spans="1:11" x14ac:dyDescent="0.3">
      <c r="A23" s="89" t="s">
        <v>11022</v>
      </c>
      <c r="B23" s="89" t="s">
        <v>10997</v>
      </c>
      <c r="C23" s="89" t="s">
        <v>11023</v>
      </c>
      <c r="D23" s="89" t="s">
        <v>13</v>
      </c>
      <c r="E23" s="89" t="s">
        <v>30</v>
      </c>
      <c r="F23" s="89" t="s">
        <v>11024</v>
      </c>
      <c r="G23" s="89" t="s">
        <v>11025</v>
      </c>
      <c r="H23" s="89" t="s">
        <v>11026</v>
      </c>
      <c r="I23" s="89" t="s">
        <v>14</v>
      </c>
      <c r="J23" s="89" t="s">
        <v>1852</v>
      </c>
      <c r="K23" s="153"/>
    </row>
    <row r="24" spans="1:11" x14ac:dyDescent="0.3">
      <c r="A24" s="89" t="s">
        <v>11027</v>
      </c>
      <c r="B24" s="89" t="s">
        <v>10997</v>
      </c>
      <c r="C24" s="89" t="s">
        <v>11028</v>
      </c>
      <c r="D24" s="89" t="s">
        <v>13</v>
      </c>
      <c r="E24" s="89" t="s">
        <v>11029</v>
      </c>
      <c r="F24" s="89" t="s">
        <v>11024</v>
      </c>
      <c r="G24" s="89" t="s">
        <v>11030</v>
      </c>
      <c r="H24" s="89" t="s">
        <v>11031</v>
      </c>
      <c r="I24" s="89" t="s">
        <v>14</v>
      </c>
      <c r="J24" s="89" t="s">
        <v>1852</v>
      </c>
      <c r="K24" s="153"/>
    </row>
    <row r="25" spans="1:11" x14ac:dyDescent="0.3">
      <c r="A25" s="89" t="s">
        <v>11032</v>
      </c>
      <c r="B25" s="89" t="s">
        <v>10997</v>
      </c>
      <c r="C25" s="89" t="s">
        <v>11033</v>
      </c>
      <c r="D25" s="89" t="s">
        <v>13</v>
      </c>
      <c r="E25" s="89" t="s">
        <v>30</v>
      </c>
      <c r="F25" s="89" t="s">
        <v>11034</v>
      </c>
      <c r="G25" s="89" t="s">
        <v>11035</v>
      </c>
      <c r="H25" s="89" t="s">
        <v>11036</v>
      </c>
      <c r="I25" s="89" t="s">
        <v>11037</v>
      </c>
      <c r="J25" s="89" t="s">
        <v>1868</v>
      </c>
      <c r="K25" s="153"/>
    </row>
    <row r="26" spans="1:11" x14ac:dyDescent="0.3">
      <c r="A26" s="89" t="s">
        <v>11038</v>
      </c>
      <c r="B26" s="89" t="s">
        <v>10997</v>
      </c>
      <c r="C26" s="89" t="s">
        <v>11039</v>
      </c>
      <c r="D26" s="89" t="s">
        <v>21</v>
      </c>
      <c r="E26" s="89" t="s">
        <v>30</v>
      </c>
      <c r="F26" s="89" t="s">
        <v>11040</v>
      </c>
      <c r="G26" s="89" t="s">
        <v>11035</v>
      </c>
      <c r="H26" s="89" t="s">
        <v>11041</v>
      </c>
      <c r="I26" s="89" t="s">
        <v>11042</v>
      </c>
      <c r="J26" s="89" t="s">
        <v>1868</v>
      </c>
      <c r="K26" s="153"/>
    </row>
    <row r="27" spans="1:11" x14ac:dyDescent="0.3">
      <c r="A27" s="89" t="s">
        <v>11043</v>
      </c>
      <c r="B27" s="89" t="s">
        <v>10997</v>
      </c>
      <c r="C27" s="89" t="s">
        <v>11044</v>
      </c>
      <c r="D27" s="89" t="s">
        <v>13</v>
      </c>
      <c r="E27" s="89" t="s">
        <v>11029</v>
      </c>
      <c r="F27" s="89" t="s">
        <v>11045</v>
      </c>
      <c r="G27" s="89" t="s">
        <v>11046</v>
      </c>
      <c r="H27" s="89" t="s">
        <v>11047</v>
      </c>
      <c r="I27" s="89" t="s">
        <v>11048</v>
      </c>
      <c r="J27" s="89" t="s">
        <v>1852</v>
      </c>
      <c r="K27" s="153"/>
    </row>
    <row r="28" spans="1:11" x14ac:dyDescent="0.3">
      <c r="A28" s="89" t="s">
        <v>11049</v>
      </c>
      <c r="B28" s="89" t="s">
        <v>10997</v>
      </c>
      <c r="C28" s="89" t="s">
        <v>11050</v>
      </c>
      <c r="D28" s="89" t="s">
        <v>21</v>
      </c>
      <c r="E28" s="89" t="s">
        <v>30</v>
      </c>
      <c r="F28" s="89" t="s">
        <v>11051</v>
      </c>
      <c r="G28" s="89" t="s">
        <v>11010</v>
      </c>
      <c r="H28" s="89" t="s">
        <v>11052</v>
      </c>
      <c r="I28" s="89" t="s">
        <v>11053</v>
      </c>
      <c r="J28" s="89" t="s">
        <v>1868</v>
      </c>
      <c r="K28" s="153"/>
    </row>
    <row r="29" spans="1:11" x14ac:dyDescent="0.3">
      <c r="A29" s="89" t="s">
        <v>11054</v>
      </c>
      <c r="B29" s="89" t="s">
        <v>10997</v>
      </c>
      <c r="C29" s="89" t="s">
        <v>11055</v>
      </c>
      <c r="D29" s="89" t="s">
        <v>13</v>
      </c>
      <c r="E29" s="89" t="s">
        <v>30</v>
      </c>
      <c r="F29" s="89" t="s">
        <v>11056</v>
      </c>
      <c r="G29" s="89" t="s">
        <v>11057</v>
      </c>
      <c r="H29" s="89" t="s">
        <v>11058</v>
      </c>
      <c r="I29" s="89" t="s">
        <v>11059</v>
      </c>
      <c r="J29" s="89" t="s">
        <v>1868</v>
      </c>
      <c r="K29" s="153"/>
    </row>
    <row r="30" spans="1:11" x14ac:dyDescent="0.3">
      <c r="A30" s="89" t="s">
        <v>11060</v>
      </c>
      <c r="B30" s="89" t="s">
        <v>10997</v>
      </c>
      <c r="C30" s="89" t="s">
        <v>11061</v>
      </c>
      <c r="D30" s="89" t="s">
        <v>13</v>
      </c>
      <c r="E30" s="89" t="s">
        <v>30</v>
      </c>
      <c r="F30" s="89" t="s">
        <v>11062</v>
      </c>
      <c r="G30" s="89" t="s">
        <v>11063</v>
      </c>
      <c r="H30" s="89" t="s">
        <v>11064</v>
      </c>
      <c r="I30" s="89" t="s">
        <v>14</v>
      </c>
      <c r="J30" s="89" t="s">
        <v>1852</v>
      </c>
      <c r="K30" s="153"/>
    </row>
    <row r="31" spans="1:11" x14ac:dyDescent="0.3">
      <c r="A31" s="89" t="s">
        <v>11065</v>
      </c>
      <c r="B31" s="89" t="s">
        <v>10997</v>
      </c>
      <c r="C31" s="89" t="s">
        <v>11066</v>
      </c>
      <c r="D31" s="89" t="s">
        <v>13</v>
      </c>
      <c r="E31" s="89" t="s">
        <v>11067</v>
      </c>
      <c r="F31" s="89" t="s">
        <v>11068</v>
      </c>
      <c r="G31" s="89" t="s">
        <v>10826</v>
      </c>
      <c r="H31" s="89" t="s">
        <v>11069</v>
      </c>
      <c r="I31" s="89" t="s">
        <v>14</v>
      </c>
      <c r="J31" s="89" t="s">
        <v>1868</v>
      </c>
      <c r="K31" s="153"/>
    </row>
    <row r="32" spans="1:11" x14ac:dyDescent="0.3">
      <c r="A32" s="89" t="s">
        <v>11070</v>
      </c>
      <c r="B32" s="89" t="s">
        <v>10997</v>
      </c>
      <c r="C32" s="89" t="s">
        <v>11071</v>
      </c>
      <c r="D32" s="89" t="s">
        <v>13</v>
      </c>
      <c r="E32" s="89" t="s">
        <v>11072</v>
      </c>
      <c r="F32" s="89" t="s">
        <v>11068</v>
      </c>
      <c r="G32" s="89" t="s">
        <v>11073</v>
      </c>
      <c r="H32" s="89" t="s">
        <v>11074</v>
      </c>
      <c r="I32" s="89" t="s">
        <v>14</v>
      </c>
      <c r="J32" s="89" t="s">
        <v>1873</v>
      </c>
      <c r="K32" s="153"/>
    </row>
    <row r="33" spans="1:11" x14ac:dyDescent="0.3">
      <c r="A33" s="89" t="s">
        <v>11075</v>
      </c>
      <c r="B33" s="89" t="s">
        <v>10997</v>
      </c>
      <c r="C33" s="89" t="s">
        <v>11076</v>
      </c>
      <c r="D33" s="89" t="s">
        <v>21</v>
      </c>
      <c r="E33" s="89" t="s">
        <v>30</v>
      </c>
      <c r="F33" s="89" t="s">
        <v>11077</v>
      </c>
      <c r="G33" s="89" t="s">
        <v>11010</v>
      </c>
      <c r="H33" s="89" t="s">
        <v>11078</v>
      </c>
      <c r="I33" s="89" t="s">
        <v>11079</v>
      </c>
      <c r="J33" s="89" t="s">
        <v>1868</v>
      </c>
      <c r="K33" s="153"/>
    </row>
    <row r="34" spans="1:11" x14ac:dyDescent="0.3">
      <c r="A34" s="47" t="s">
        <v>11080</v>
      </c>
      <c r="B34" s="47" t="s">
        <v>11081</v>
      </c>
      <c r="C34" s="47" t="s">
        <v>11082</v>
      </c>
      <c r="D34" s="47" t="s">
        <v>13</v>
      </c>
      <c r="E34" s="47" t="s">
        <v>24</v>
      </c>
      <c r="F34" s="47" t="s">
        <v>11083</v>
      </c>
      <c r="G34" s="47" t="s">
        <v>11084</v>
      </c>
      <c r="H34" s="47" t="s">
        <v>11085</v>
      </c>
      <c r="I34" s="47" t="s">
        <v>11086</v>
      </c>
      <c r="J34" s="47" t="s">
        <v>1852</v>
      </c>
      <c r="K34" s="153"/>
    </row>
    <row r="35" spans="1:11" x14ac:dyDescent="0.3">
      <c r="A35" s="47" t="s">
        <v>11087</v>
      </c>
      <c r="B35" s="47" t="s">
        <v>11081</v>
      </c>
      <c r="C35" s="47" t="s">
        <v>11088</v>
      </c>
      <c r="D35" s="47" t="s">
        <v>13</v>
      </c>
      <c r="E35" s="47" t="s">
        <v>24</v>
      </c>
      <c r="F35" s="47" t="s">
        <v>11089</v>
      </c>
      <c r="G35" s="47" t="s">
        <v>11084</v>
      </c>
      <c r="H35" s="47" t="s">
        <v>11090</v>
      </c>
      <c r="I35" s="47" t="s">
        <v>14</v>
      </c>
      <c r="J35" s="47" t="s">
        <v>1852</v>
      </c>
      <c r="K35" s="153"/>
    </row>
    <row r="36" spans="1:11" x14ac:dyDescent="0.3">
      <c r="A36" s="47" t="s">
        <v>11091</v>
      </c>
      <c r="B36" s="47" t="s">
        <v>11081</v>
      </c>
      <c r="C36" s="47" t="s">
        <v>11092</v>
      </c>
      <c r="D36" s="47" t="s">
        <v>21</v>
      </c>
      <c r="E36" s="47" t="s">
        <v>24</v>
      </c>
      <c r="F36" s="47" t="s">
        <v>11093</v>
      </c>
      <c r="G36" s="47" t="s">
        <v>11084</v>
      </c>
      <c r="H36" s="47" t="s">
        <v>11094</v>
      </c>
      <c r="I36" s="47" t="s">
        <v>11095</v>
      </c>
      <c r="J36" s="47" t="s">
        <v>1852</v>
      </c>
      <c r="K36" s="153"/>
    </row>
    <row r="37" spans="1:11" x14ac:dyDescent="0.3">
      <c r="A37" s="47" t="s">
        <v>11096</v>
      </c>
      <c r="B37" s="47" t="s">
        <v>11081</v>
      </c>
      <c r="C37" s="47" t="s">
        <v>11097</v>
      </c>
      <c r="D37" s="47" t="s">
        <v>13</v>
      </c>
      <c r="E37" s="47" t="s">
        <v>24</v>
      </c>
      <c r="F37" s="47" t="s">
        <v>11098</v>
      </c>
      <c r="G37" s="47" t="s">
        <v>11099</v>
      </c>
      <c r="H37" s="47" t="s">
        <v>11100</v>
      </c>
      <c r="I37" s="47" t="s">
        <v>11101</v>
      </c>
      <c r="J37" s="47" t="s">
        <v>1852</v>
      </c>
      <c r="K37" s="153"/>
    </row>
    <row r="38" spans="1:11" x14ac:dyDescent="0.3">
      <c r="A38" s="47" t="s">
        <v>11102</v>
      </c>
      <c r="B38" s="47" t="s">
        <v>11081</v>
      </c>
      <c r="C38" s="47" t="s">
        <v>11103</v>
      </c>
      <c r="D38" s="47" t="s">
        <v>13</v>
      </c>
      <c r="E38" s="47" t="s">
        <v>24</v>
      </c>
      <c r="F38" s="47" t="s">
        <v>11104</v>
      </c>
      <c r="G38" s="47" t="s">
        <v>11105</v>
      </c>
      <c r="H38" s="47" t="s">
        <v>11026</v>
      </c>
      <c r="I38" s="47" t="s">
        <v>14</v>
      </c>
      <c r="J38" s="47" t="s">
        <v>1852</v>
      </c>
      <c r="K38" s="153"/>
    </row>
    <row r="39" spans="1:11" x14ac:dyDescent="0.3">
      <c r="A39" s="47" t="s">
        <v>11106</v>
      </c>
      <c r="B39" s="47" t="s">
        <v>11081</v>
      </c>
      <c r="C39" s="47" t="s">
        <v>11107</v>
      </c>
      <c r="D39" s="47" t="s">
        <v>13</v>
      </c>
      <c r="E39" s="47" t="s">
        <v>24</v>
      </c>
      <c r="F39" s="47" t="s">
        <v>11108</v>
      </c>
      <c r="G39" s="47" t="s">
        <v>11035</v>
      </c>
      <c r="H39" s="47" t="s">
        <v>11109</v>
      </c>
      <c r="I39" s="47" t="s">
        <v>11110</v>
      </c>
      <c r="J39" s="47" t="s">
        <v>1868</v>
      </c>
      <c r="K39" s="153"/>
    </row>
    <row r="40" spans="1:11" x14ac:dyDescent="0.3">
      <c r="A40" s="47" t="s">
        <v>11111</v>
      </c>
      <c r="B40" s="47" t="s">
        <v>11081</v>
      </c>
      <c r="C40" s="47" t="s">
        <v>11112</v>
      </c>
      <c r="D40" s="47" t="s">
        <v>21</v>
      </c>
      <c r="E40" s="47" t="s">
        <v>24</v>
      </c>
      <c r="F40" s="47" t="s">
        <v>11113</v>
      </c>
      <c r="G40" s="47" t="s">
        <v>11035</v>
      </c>
      <c r="H40" s="47" t="s">
        <v>11114</v>
      </c>
      <c r="I40" s="47" t="s">
        <v>11115</v>
      </c>
      <c r="J40" s="47" t="s">
        <v>1868</v>
      </c>
      <c r="K40" s="153"/>
    </row>
    <row r="41" spans="1:11" x14ac:dyDescent="0.3">
      <c r="A41" s="47" t="s">
        <v>11116</v>
      </c>
      <c r="B41" s="47" t="s">
        <v>11081</v>
      </c>
      <c r="C41" s="47" t="s">
        <v>11117</v>
      </c>
      <c r="D41" s="47" t="s">
        <v>13</v>
      </c>
      <c r="E41" s="47" t="s">
        <v>24</v>
      </c>
      <c r="F41" s="47" t="s">
        <v>11118</v>
      </c>
      <c r="G41" s="47" t="s">
        <v>11084</v>
      </c>
      <c r="H41" s="47" t="s">
        <v>11119</v>
      </c>
      <c r="I41" s="47" t="s">
        <v>11120</v>
      </c>
      <c r="J41" s="47" t="s">
        <v>1852</v>
      </c>
      <c r="K41" s="153"/>
    </row>
    <row r="42" spans="1:11" x14ac:dyDescent="0.3">
      <c r="A42" s="47" t="s">
        <v>11121</v>
      </c>
      <c r="B42" s="47" t="s">
        <v>11081</v>
      </c>
      <c r="C42" s="47" t="s">
        <v>11122</v>
      </c>
      <c r="D42" s="47" t="s">
        <v>13</v>
      </c>
      <c r="E42" s="47" t="s">
        <v>24</v>
      </c>
      <c r="F42" s="47" t="s">
        <v>11123</v>
      </c>
      <c r="G42" s="47" t="s">
        <v>11124</v>
      </c>
      <c r="H42" s="47" t="s">
        <v>11125</v>
      </c>
      <c r="I42" s="47" t="s">
        <v>14</v>
      </c>
      <c r="J42" s="47" t="s">
        <v>1852</v>
      </c>
      <c r="K42" s="153"/>
    </row>
    <row r="43" spans="1:11" x14ac:dyDescent="0.3">
      <c r="A43" s="47" t="s">
        <v>11126</v>
      </c>
      <c r="B43" s="47" t="s">
        <v>11081</v>
      </c>
      <c r="C43" s="47" t="s">
        <v>11127</v>
      </c>
      <c r="D43" s="47" t="s">
        <v>13</v>
      </c>
      <c r="E43" s="47" t="s">
        <v>11128</v>
      </c>
      <c r="F43" s="47" t="s">
        <v>11129</v>
      </c>
      <c r="G43" s="47" t="s">
        <v>62</v>
      </c>
      <c r="H43" s="47" t="s">
        <v>11047</v>
      </c>
      <c r="I43" s="47" t="s">
        <v>14</v>
      </c>
      <c r="J43" s="47" t="s">
        <v>1852</v>
      </c>
      <c r="K43" s="153"/>
    </row>
    <row r="44" spans="1:11" ht="43.2" x14ac:dyDescent="0.3">
      <c r="A44" s="47" t="s">
        <v>11130</v>
      </c>
      <c r="B44" s="47" t="s">
        <v>11081</v>
      </c>
      <c r="C44" s="47" t="s">
        <v>11131</v>
      </c>
      <c r="D44" s="47" t="s">
        <v>21</v>
      </c>
      <c r="E44" s="47" t="s">
        <v>24</v>
      </c>
      <c r="F44" s="47" t="s">
        <v>11132</v>
      </c>
      <c r="G44" s="47" t="s">
        <v>11133</v>
      </c>
      <c r="H44" s="47" t="s">
        <v>11134</v>
      </c>
      <c r="I44" s="47" t="s">
        <v>14</v>
      </c>
      <c r="J44" s="47" t="s">
        <v>1868</v>
      </c>
      <c r="K44" s="154" t="s">
        <v>12835</v>
      </c>
    </row>
    <row r="45" spans="1:11" x14ac:dyDescent="0.3">
      <c r="A45" s="47" t="s">
        <v>11135</v>
      </c>
      <c r="B45" s="47" t="s">
        <v>11081</v>
      </c>
      <c r="C45" s="47" t="s">
        <v>11136</v>
      </c>
      <c r="D45" s="47" t="s">
        <v>13</v>
      </c>
      <c r="E45" s="47" t="s">
        <v>24</v>
      </c>
      <c r="F45" s="47" t="s">
        <v>11137</v>
      </c>
      <c r="G45" s="47" t="s">
        <v>11138</v>
      </c>
      <c r="H45" s="47" t="s">
        <v>11139</v>
      </c>
      <c r="I45" s="47" t="s">
        <v>11140</v>
      </c>
      <c r="J45" s="47" t="s">
        <v>1873</v>
      </c>
      <c r="K45" s="153"/>
    </row>
    <row r="46" spans="1:11" x14ac:dyDescent="0.3">
      <c r="A46" s="47" t="s">
        <v>11141</v>
      </c>
      <c r="B46" s="47" t="s">
        <v>11081</v>
      </c>
      <c r="C46" s="47" t="s">
        <v>11142</v>
      </c>
      <c r="D46" s="47" t="s">
        <v>13</v>
      </c>
      <c r="E46" s="47" t="s">
        <v>11143</v>
      </c>
      <c r="F46" s="47" t="s">
        <v>11144</v>
      </c>
      <c r="G46" s="47" t="s">
        <v>11145</v>
      </c>
      <c r="H46" s="47" t="s">
        <v>11146</v>
      </c>
      <c r="I46" s="47" t="s">
        <v>14</v>
      </c>
      <c r="J46" s="47" t="s">
        <v>1868</v>
      </c>
      <c r="K46" s="153"/>
    </row>
    <row r="47" spans="1:11" x14ac:dyDescent="0.3">
      <c r="A47" s="47" t="s">
        <v>11147</v>
      </c>
      <c r="B47" s="47" t="s">
        <v>11081</v>
      </c>
      <c r="C47" s="47" t="s">
        <v>11148</v>
      </c>
      <c r="D47" s="47" t="s">
        <v>13</v>
      </c>
      <c r="E47" s="47" t="s">
        <v>11149</v>
      </c>
      <c r="F47" s="47" t="s">
        <v>11150</v>
      </c>
      <c r="G47" s="47" t="s">
        <v>11151</v>
      </c>
      <c r="H47" s="47" t="s">
        <v>11152</v>
      </c>
      <c r="I47" s="47" t="s">
        <v>14</v>
      </c>
      <c r="J47" s="47" t="s">
        <v>1868</v>
      </c>
      <c r="K47" s="153"/>
    </row>
    <row r="48" spans="1:11" x14ac:dyDescent="0.3">
      <c r="A48" s="47" t="s">
        <v>11153</v>
      </c>
      <c r="B48" s="47" t="s">
        <v>11081</v>
      </c>
      <c r="C48" s="47" t="s">
        <v>11154</v>
      </c>
      <c r="D48" s="47" t="s">
        <v>21</v>
      </c>
      <c r="E48" s="47" t="s">
        <v>24</v>
      </c>
      <c r="F48" s="47" t="s">
        <v>11155</v>
      </c>
      <c r="G48" s="47" t="s">
        <v>11156</v>
      </c>
      <c r="H48" s="47" t="s">
        <v>11157</v>
      </c>
      <c r="I48" s="47" t="s">
        <v>11158</v>
      </c>
      <c r="J48" s="47" t="s">
        <v>1868</v>
      </c>
      <c r="K48" s="153"/>
    </row>
    <row r="49" spans="1:11" x14ac:dyDescent="0.3">
      <c r="A49" s="47" t="s">
        <v>11159</v>
      </c>
      <c r="B49" s="47" t="s">
        <v>11081</v>
      </c>
      <c r="C49" s="47" t="s">
        <v>11160</v>
      </c>
      <c r="D49" s="47" t="s">
        <v>13</v>
      </c>
      <c r="E49" s="47" t="s">
        <v>24</v>
      </c>
      <c r="F49" s="47" t="s">
        <v>11161</v>
      </c>
      <c r="G49" s="47" t="s">
        <v>11010</v>
      </c>
      <c r="H49" s="47" t="s">
        <v>11162</v>
      </c>
      <c r="I49" s="47" t="s">
        <v>14</v>
      </c>
      <c r="J49" s="47" t="s">
        <v>1868</v>
      </c>
      <c r="K49" s="153"/>
    </row>
    <row r="50" spans="1:11" x14ac:dyDescent="0.3">
      <c r="A50" s="40" t="s">
        <v>11163</v>
      </c>
      <c r="B50" s="40" t="s">
        <v>11164</v>
      </c>
      <c r="C50" s="40" t="s">
        <v>11165</v>
      </c>
      <c r="D50" s="40" t="s">
        <v>13</v>
      </c>
      <c r="E50" s="40" t="s">
        <v>368</v>
      </c>
      <c r="F50" s="40" t="s">
        <v>11166</v>
      </c>
      <c r="G50" s="40" t="s">
        <v>11167</v>
      </c>
      <c r="H50" s="40" t="s">
        <v>11168</v>
      </c>
      <c r="I50" s="40" t="s">
        <v>11169</v>
      </c>
      <c r="J50" s="40" t="s">
        <v>1852</v>
      </c>
      <c r="K50" s="153"/>
    </row>
    <row r="51" spans="1:11" x14ac:dyDescent="0.3">
      <c r="A51" s="40" t="s">
        <v>11170</v>
      </c>
      <c r="B51" s="40" t="s">
        <v>11164</v>
      </c>
      <c r="C51" s="40" t="s">
        <v>11171</v>
      </c>
      <c r="D51" s="40" t="s">
        <v>13</v>
      </c>
      <c r="E51" s="40" t="s">
        <v>368</v>
      </c>
      <c r="F51" s="40" t="s">
        <v>11172</v>
      </c>
      <c r="G51" s="40" t="s">
        <v>11167</v>
      </c>
      <c r="H51" s="40" t="s">
        <v>11173</v>
      </c>
      <c r="I51" s="40" t="s">
        <v>14</v>
      </c>
      <c r="J51" s="40" t="s">
        <v>1852</v>
      </c>
      <c r="K51" s="153"/>
    </row>
    <row r="52" spans="1:11" x14ac:dyDescent="0.3">
      <c r="A52" s="40" t="s">
        <v>11174</v>
      </c>
      <c r="B52" s="40" t="s">
        <v>11164</v>
      </c>
      <c r="C52" s="40" t="s">
        <v>11175</v>
      </c>
      <c r="D52" s="40" t="s">
        <v>13</v>
      </c>
      <c r="E52" s="40" t="s">
        <v>368</v>
      </c>
      <c r="F52" s="40" t="s">
        <v>11176</v>
      </c>
      <c r="G52" s="40" t="s">
        <v>11167</v>
      </c>
      <c r="H52" s="40" t="s">
        <v>11177</v>
      </c>
      <c r="I52" s="40" t="s">
        <v>11178</v>
      </c>
      <c r="J52" s="40" t="s">
        <v>1868</v>
      </c>
      <c r="K52" s="153"/>
    </row>
    <row r="53" spans="1:11" x14ac:dyDescent="0.3">
      <c r="A53" s="40" t="s">
        <v>11179</v>
      </c>
      <c r="B53" s="40" t="s">
        <v>11164</v>
      </c>
      <c r="C53" s="40" t="s">
        <v>11180</v>
      </c>
      <c r="D53" s="40" t="s">
        <v>13</v>
      </c>
      <c r="E53" s="40" t="s">
        <v>368</v>
      </c>
      <c r="F53" s="40" t="s">
        <v>11181</v>
      </c>
      <c r="G53" s="40" t="s">
        <v>11035</v>
      </c>
      <c r="H53" s="40" t="s">
        <v>11182</v>
      </c>
      <c r="I53" s="40" t="s">
        <v>11183</v>
      </c>
      <c r="J53" s="40" t="s">
        <v>1852</v>
      </c>
      <c r="K53" s="153"/>
    </row>
    <row r="54" spans="1:11" x14ac:dyDescent="0.3">
      <c r="A54" s="40" t="s">
        <v>11184</v>
      </c>
      <c r="B54" s="40" t="s">
        <v>11164</v>
      </c>
      <c r="C54" s="40" t="s">
        <v>11185</v>
      </c>
      <c r="D54" s="40" t="s">
        <v>21</v>
      </c>
      <c r="E54" s="40" t="s">
        <v>368</v>
      </c>
      <c r="F54" s="40" t="s">
        <v>11186</v>
      </c>
      <c r="G54" s="40" t="s">
        <v>11035</v>
      </c>
      <c r="H54" s="40" t="s">
        <v>11187</v>
      </c>
      <c r="I54" s="40" t="s">
        <v>11188</v>
      </c>
      <c r="J54" s="40" t="s">
        <v>1868</v>
      </c>
      <c r="K54" s="153"/>
    </row>
    <row r="55" spans="1:11" x14ac:dyDescent="0.3">
      <c r="A55" s="40" t="s">
        <v>11189</v>
      </c>
      <c r="B55" s="40" t="s">
        <v>11164</v>
      </c>
      <c r="C55" s="40" t="s">
        <v>11190</v>
      </c>
      <c r="D55" s="40" t="s">
        <v>13</v>
      </c>
      <c r="E55" s="40" t="s">
        <v>368</v>
      </c>
      <c r="F55" s="40" t="s">
        <v>11191</v>
      </c>
      <c r="G55" s="40" t="s">
        <v>11192</v>
      </c>
      <c r="H55" s="40" t="s">
        <v>11193</v>
      </c>
      <c r="I55" s="40" t="s">
        <v>14</v>
      </c>
      <c r="J55" s="40" t="s">
        <v>1852</v>
      </c>
      <c r="K55" s="153"/>
    </row>
    <row r="56" spans="1:11" x14ac:dyDescent="0.3">
      <c r="A56" s="40" t="s">
        <v>11194</v>
      </c>
      <c r="B56" s="40" t="s">
        <v>11164</v>
      </c>
      <c r="C56" s="40" t="s">
        <v>11127</v>
      </c>
      <c r="D56" s="40" t="s">
        <v>13</v>
      </c>
      <c r="E56" s="40" t="s">
        <v>11195</v>
      </c>
      <c r="F56" s="40" t="s">
        <v>11196</v>
      </c>
      <c r="G56" s="40" t="s">
        <v>62</v>
      </c>
      <c r="H56" s="40" t="s">
        <v>11197</v>
      </c>
      <c r="I56" s="40" t="s">
        <v>14</v>
      </c>
      <c r="J56" s="40" t="s">
        <v>1852</v>
      </c>
      <c r="K56" s="153"/>
    </row>
    <row r="57" spans="1:11" x14ac:dyDescent="0.3">
      <c r="A57" s="40" t="s">
        <v>11198</v>
      </c>
      <c r="B57" s="40" t="s">
        <v>11164</v>
      </c>
      <c r="C57" s="40" t="s">
        <v>11199</v>
      </c>
      <c r="D57" s="40" t="s">
        <v>13</v>
      </c>
      <c r="E57" s="40" t="s">
        <v>368</v>
      </c>
      <c r="F57" s="40" t="s">
        <v>11200</v>
      </c>
      <c r="G57" s="40" t="s">
        <v>11201</v>
      </c>
      <c r="H57" s="40" t="s">
        <v>11026</v>
      </c>
      <c r="I57" s="40" t="s">
        <v>14</v>
      </c>
      <c r="J57" s="40" t="s">
        <v>1852</v>
      </c>
      <c r="K57" s="153"/>
    </row>
    <row r="58" spans="1:11" x14ac:dyDescent="0.3">
      <c r="A58" s="40" t="s">
        <v>11202</v>
      </c>
      <c r="B58" s="40" t="s">
        <v>11164</v>
      </c>
      <c r="C58" s="40" t="s">
        <v>11203</v>
      </c>
      <c r="D58" s="40" t="s">
        <v>13</v>
      </c>
      <c r="E58" s="40" t="s">
        <v>368</v>
      </c>
      <c r="F58" s="40" t="s">
        <v>11204</v>
      </c>
      <c r="G58" s="40" t="s">
        <v>11205</v>
      </c>
      <c r="H58" s="40" t="s">
        <v>11206</v>
      </c>
      <c r="I58" s="40" t="s">
        <v>14</v>
      </c>
      <c r="J58" s="40" t="s">
        <v>1868</v>
      </c>
      <c r="K58" s="153"/>
    </row>
    <row r="59" spans="1:11" x14ac:dyDescent="0.3">
      <c r="A59" s="40" t="s">
        <v>11207</v>
      </c>
      <c r="B59" s="40" t="s">
        <v>11164</v>
      </c>
      <c r="C59" s="40" t="s">
        <v>11208</v>
      </c>
      <c r="D59" s="40" t="s">
        <v>13</v>
      </c>
      <c r="E59" s="40" t="s">
        <v>11209</v>
      </c>
      <c r="F59" s="40" t="s">
        <v>11210</v>
      </c>
      <c r="G59" s="40" t="s">
        <v>11145</v>
      </c>
      <c r="H59" s="40" t="s">
        <v>11211</v>
      </c>
      <c r="I59" s="40" t="s">
        <v>14</v>
      </c>
      <c r="J59" s="40" t="s">
        <v>1868</v>
      </c>
      <c r="K59" s="153"/>
    </row>
    <row r="60" spans="1:11" x14ac:dyDescent="0.3">
      <c r="A60" s="40" t="s">
        <v>11212</v>
      </c>
      <c r="B60" s="40" t="s">
        <v>11164</v>
      </c>
      <c r="C60" s="40" t="s">
        <v>11213</v>
      </c>
      <c r="D60" s="40" t="s">
        <v>13</v>
      </c>
      <c r="E60" s="40" t="s">
        <v>11214</v>
      </c>
      <c r="F60" s="40" t="s">
        <v>11215</v>
      </c>
      <c r="G60" s="40" t="s">
        <v>11216</v>
      </c>
      <c r="H60" s="40" t="s">
        <v>11217</v>
      </c>
      <c r="I60" s="40" t="s">
        <v>14</v>
      </c>
      <c r="J60" s="40" t="s">
        <v>1868</v>
      </c>
      <c r="K60" s="153"/>
    </row>
    <row r="61" spans="1:11" ht="28.8" x14ac:dyDescent="0.3">
      <c r="A61" s="40" t="s">
        <v>11218</v>
      </c>
      <c r="B61" s="40" t="s">
        <v>11164</v>
      </c>
      <c r="C61" s="40" t="s">
        <v>11219</v>
      </c>
      <c r="D61" s="40" t="s">
        <v>21</v>
      </c>
      <c r="E61" s="40" t="s">
        <v>368</v>
      </c>
      <c r="F61" s="40" t="s">
        <v>11220</v>
      </c>
      <c r="G61" s="40" t="s">
        <v>11221</v>
      </c>
      <c r="H61" s="40" t="s">
        <v>11222</v>
      </c>
      <c r="I61" s="40" t="s">
        <v>11223</v>
      </c>
      <c r="J61" s="40" t="s">
        <v>1868</v>
      </c>
      <c r="K61" s="154" t="s">
        <v>12836</v>
      </c>
    </row>
    <row r="62" spans="1:11" x14ac:dyDescent="0.3">
      <c r="A62" s="40" t="s">
        <v>11224</v>
      </c>
      <c r="B62" s="40" t="s">
        <v>11164</v>
      </c>
      <c r="C62" s="40" t="s">
        <v>11225</v>
      </c>
      <c r="D62" s="40" t="s">
        <v>13</v>
      </c>
      <c r="E62" s="40" t="s">
        <v>368</v>
      </c>
      <c r="F62" s="40" t="s">
        <v>11226</v>
      </c>
      <c r="G62" s="40" t="s">
        <v>11138</v>
      </c>
      <c r="H62" s="40" t="s">
        <v>11227</v>
      </c>
      <c r="I62" s="40" t="s">
        <v>14</v>
      </c>
      <c r="J62" s="40" t="s">
        <v>1873</v>
      </c>
      <c r="K62" s="153"/>
    </row>
    <row r="63" spans="1:11" ht="28.8" x14ac:dyDescent="0.3">
      <c r="A63" s="40" t="s">
        <v>11228</v>
      </c>
      <c r="B63" s="40" t="s">
        <v>11164</v>
      </c>
      <c r="C63" s="40" t="s">
        <v>11229</v>
      </c>
      <c r="D63" s="40" t="s">
        <v>21</v>
      </c>
      <c r="E63" s="40" t="s">
        <v>368</v>
      </c>
      <c r="F63" s="40" t="s">
        <v>11230</v>
      </c>
      <c r="G63" s="40" t="s">
        <v>11231</v>
      </c>
      <c r="H63" s="40" t="s">
        <v>11232</v>
      </c>
      <c r="I63" s="40" t="s">
        <v>11233</v>
      </c>
      <c r="J63" s="40" t="s">
        <v>1873</v>
      </c>
      <c r="K63" s="154" t="s">
        <v>12837</v>
      </c>
    </row>
    <row r="64" spans="1:11" x14ac:dyDescent="0.3">
      <c r="A64" s="40" t="s">
        <v>11234</v>
      </c>
      <c r="B64" s="40" t="s">
        <v>11164</v>
      </c>
      <c r="C64" s="40" t="s">
        <v>11235</v>
      </c>
      <c r="D64" s="40" t="s">
        <v>13</v>
      </c>
      <c r="E64" s="40" t="s">
        <v>368</v>
      </c>
      <c r="F64" s="40" t="s">
        <v>11236</v>
      </c>
      <c r="G64" s="40" t="s">
        <v>11156</v>
      </c>
      <c r="H64" s="40" t="s">
        <v>11237</v>
      </c>
      <c r="I64" s="40" t="s">
        <v>11238</v>
      </c>
      <c r="J64" s="40" t="s">
        <v>1873</v>
      </c>
      <c r="K64" s="153"/>
    </row>
    <row r="65" spans="1:11" x14ac:dyDescent="0.3">
      <c r="A65" s="40" t="s">
        <v>11239</v>
      </c>
      <c r="B65" s="40" t="s">
        <v>11164</v>
      </c>
      <c r="C65" s="40" t="s">
        <v>11240</v>
      </c>
      <c r="D65" s="40" t="s">
        <v>13</v>
      </c>
      <c r="E65" s="40" t="s">
        <v>11241</v>
      </c>
      <c r="F65" s="40" t="s">
        <v>11242</v>
      </c>
      <c r="G65" s="40" t="s">
        <v>10917</v>
      </c>
      <c r="H65" s="40" t="s">
        <v>11243</v>
      </c>
      <c r="I65" s="40" t="s">
        <v>14</v>
      </c>
      <c r="J65" s="40" t="s">
        <v>1873</v>
      </c>
      <c r="K65" s="153"/>
    </row>
    <row r="66" spans="1:11" x14ac:dyDescent="0.3">
      <c r="A66" s="90" t="s">
        <v>11244</v>
      </c>
      <c r="B66" s="90" t="s">
        <v>11245</v>
      </c>
      <c r="C66" s="90" t="s">
        <v>11246</v>
      </c>
      <c r="D66" s="90" t="s">
        <v>13</v>
      </c>
      <c r="E66" s="90" t="s">
        <v>741</v>
      </c>
      <c r="F66" s="90" t="s">
        <v>11247</v>
      </c>
      <c r="G66" s="90" t="s">
        <v>11248</v>
      </c>
      <c r="H66" s="90" t="s">
        <v>11249</v>
      </c>
      <c r="I66" s="90" t="s">
        <v>14</v>
      </c>
      <c r="J66" s="90" t="s">
        <v>1852</v>
      </c>
      <c r="K66" s="153"/>
    </row>
    <row r="67" spans="1:11" x14ac:dyDescent="0.3">
      <c r="A67" s="90" t="s">
        <v>11250</v>
      </c>
      <c r="B67" s="90" t="s">
        <v>11245</v>
      </c>
      <c r="C67" s="90" t="s">
        <v>11251</v>
      </c>
      <c r="D67" s="90" t="s">
        <v>13</v>
      </c>
      <c r="E67" s="90" t="s">
        <v>741</v>
      </c>
      <c r="F67" s="90" t="s">
        <v>11252</v>
      </c>
      <c r="G67" s="90" t="s">
        <v>11253</v>
      </c>
      <c r="H67" s="90" t="s">
        <v>11254</v>
      </c>
      <c r="I67" s="90" t="s">
        <v>14</v>
      </c>
      <c r="J67" s="90" t="s">
        <v>1852</v>
      </c>
      <c r="K67" s="153"/>
    </row>
    <row r="68" spans="1:11" x14ac:dyDescent="0.3">
      <c r="A68" s="90" t="s">
        <v>11255</v>
      </c>
      <c r="B68" s="90" t="s">
        <v>11245</v>
      </c>
      <c r="C68" s="90" t="s">
        <v>11256</v>
      </c>
      <c r="D68" s="90" t="s">
        <v>13</v>
      </c>
      <c r="E68" s="90" t="s">
        <v>741</v>
      </c>
      <c r="F68" s="90" t="s">
        <v>11257</v>
      </c>
      <c r="G68" s="90" t="s">
        <v>11258</v>
      </c>
      <c r="H68" s="90" t="s">
        <v>11259</v>
      </c>
      <c r="I68" s="90" t="s">
        <v>14</v>
      </c>
      <c r="J68" s="90" t="s">
        <v>1852</v>
      </c>
      <c r="K68" s="153"/>
    </row>
    <row r="69" spans="1:11" x14ac:dyDescent="0.3">
      <c r="A69" s="90" t="s">
        <v>11260</v>
      </c>
      <c r="B69" s="90" t="s">
        <v>11245</v>
      </c>
      <c r="C69" s="90" t="s">
        <v>11261</v>
      </c>
      <c r="D69" s="90" t="s">
        <v>21</v>
      </c>
      <c r="E69" s="90" t="s">
        <v>11262</v>
      </c>
      <c r="F69" s="90" t="s">
        <v>11263</v>
      </c>
      <c r="G69" s="90" t="s">
        <v>11264</v>
      </c>
      <c r="H69" s="90" t="s">
        <v>11265</v>
      </c>
      <c r="I69" s="90" t="s">
        <v>14</v>
      </c>
      <c r="J69" s="90" t="s">
        <v>1868</v>
      </c>
      <c r="K69" s="153"/>
    </row>
    <row r="70" spans="1:11" x14ac:dyDescent="0.3">
      <c r="A70" s="90" t="s">
        <v>11266</v>
      </c>
      <c r="B70" s="90" t="s">
        <v>11245</v>
      </c>
      <c r="C70" s="90" t="s">
        <v>11267</v>
      </c>
      <c r="D70" s="90" t="s">
        <v>13</v>
      </c>
      <c r="E70" s="90" t="s">
        <v>741</v>
      </c>
      <c r="F70" s="90" t="s">
        <v>11268</v>
      </c>
      <c r="G70" s="90" t="s">
        <v>11264</v>
      </c>
      <c r="H70" s="90" t="s">
        <v>11269</v>
      </c>
      <c r="I70" s="90" t="s">
        <v>14</v>
      </c>
      <c r="J70" s="90" t="s">
        <v>1852</v>
      </c>
      <c r="K70" s="153"/>
    </row>
    <row r="71" spans="1:11" x14ac:dyDescent="0.3">
      <c r="A71" s="90" t="s">
        <v>11270</v>
      </c>
      <c r="B71" s="90" t="s">
        <v>11245</v>
      </c>
      <c r="C71" s="90" t="s">
        <v>11271</v>
      </c>
      <c r="D71" s="90" t="s">
        <v>13</v>
      </c>
      <c r="E71" s="90" t="s">
        <v>741</v>
      </c>
      <c r="F71" s="90" t="s">
        <v>11272</v>
      </c>
      <c r="G71" s="90" t="s">
        <v>11264</v>
      </c>
      <c r="H71" s="90" t="s">
        <v>11273</v>
      </c>
      <c r="I71" s="90" t="s">
        <v>14</v>
      </c>
      <c r="J71" s="90" t="s">
        <v>1852</v>
      </c>
      <c r="K71" s="153"/>
    </row>
    <row r="72" spans="1:11" x14ac:dyDescent="0.3">
      <c r="A72" s="90" t="s">
        <v>11274</v>
      </c>
      <c r="B72" s="90" t="s">
        <v>11245</v>
      </c>
      <c r="C72" s="90" t="s">
        <v>11275</v>
      </c>
      <c r="D72" s="90" t="s">
        <v>13</v>
      </c>
      <c r="E72" s="90" t="s">
        <v>11276</v>
      </c>
      <c r="F72" s="90" t="s">
        <v>11277</v>
      </c>
      <c r="G72" s="90" t="s">
        <v>11278</v>
      </c>
      <c r="H72" s="90" t="s">
        <v>11279</v>
      </c>
      <c r="I72" s="90" t="s">
        <v>14</v>
      </c>
      <c r="J72" s="90" t="s">
        <v>1868</v>
      </c>
      <c r="K72" s="153"/>
    </row>
    <row r="73" spans="1:11" x14ac:dyDescent="0.3">
      <c r="A73" s="90" t="s">
        <v>11280</v>
      </c>
      <c r="B73" s="90" t="s">
        <v>11245</v>
      </c>
      <c r="C73" s="90" t="s">
        <v>11281</v>
      </c>
      <c r="D73" s="90" t="s">
        <v>21</v>
      </c>
      <c r="E73" s="90" t="s">
        <v>741</v>
      </c>
      <c r="F73" s="90" t="s">
        <v>11282</v>
      </c>
      <c r="G73" s="90" t="s">
        <v>11264</v>
      </c>
      <c r="H73" s="90" t="s">
        <v>11283</v>
      </c>
      <c r="I73" s="90" t="s">
        <v>14</v>
      </c>
      <c r="J73" s="90" t="s">
        <v>1873</v>
      </c>
      <c r="K73" s="153"/>
    </row>
    <row r="74" spans="1:11" x14ac:dyDescent="0.3">
      <c r="A74" s="90" t="s">
        <v>11284</v>
      </c>
      <c r="B74" s="90" t="s">
        <v>11245</v>
      </c>
      <c r="C74" s="90" t="s">
        <v>11285</v>
      </c>
      <c r="D74" s="90" t="s">
        <v>21</v>
      </c>
      <c r="E74" s="90" t="s">
        <v>741</v>
      </c>
      <c r="F74" s="90" t="s">
        <v>11286</v>
      </c>
      <c r="G74" s="90" t="s">
        <v>11287</v>
      </c>
      <c r="H74" s="90" t="s">
        <v>11288</v>
      </c>
      <c r="I74" s="90" t="s">
        <v>14</v>
      </c>
      <c r="J74" s="90" t="s">
        <v>1868</v>
      </c>
      <c r="K74" s="153"/>
    </row>
    <row r="75" spans="1:11" x14ac:dyDescent="0.3">
      <c r="A75" s="90" t="s">
        <v>11289</v>
      </c>
      <c r="B75" s="90" t="s">
        <v>11245</v>
      </c>
      <c r="C75" s="90" t="s">
        <v>11290</v>
      </c>
      <c r="D75" s="90" t="s">
        <v>13</v>
      </c>
      <c r="E75" s="90" t="s">
        <v>11291</v>
      </c>
      <c r="F75" s="90" t="s">
        <v>11292</v>
      </c>
      <c r="G75" s="90" t="s">
        <v>11293</v>
      </c>
      <c r="H75" s="90" t="s">
        <v>11294</v>
      </c>
      <c r="I75" s="90" t="s">
        <v>14</v>
      </c>
      <c r="J75" s="90" t="s">
        <v>1873</v>
      </c>
      <c r="K75" s="153"/>
    </row>
    <row r="76" spans="1:11" x14ac:dyDescent="0.3">
      <c r="A76" s="90" t="s">
        <v>11295</v>
      </c>
      <c r="B76" s="90" t="s">
        <v>11245</v>
      </c>
      <c r="C76" s="90" t="s">
        <v>11296</v>
      </c>
      <c r="D76" s="90" t="s">
        <v>13</v>
      </c>
      <c r="E76" s="90" t="s">
        <v>11276</v>
      </c>
      <c r="F76" s="90" t="s">
        <v>11297</v>
      </c>
      <c r="G76" s="90" t="s">
        <v>11298</v>
      </c>
      <c r="H76" s="90" t="s">
        <v>11299</v>
      </c>
      <c r="I76" s="90" t="s">
        <v>14</v>
      </c>
      <c r="J76" s="90" t="s">
        <v>1873</v>
      </c>
      <c r="K76" s="153"/>
    </row>
    <row r="77" spans="1:11" x14ac:dyDescent="0.3">
      <c r="A77" s="90" t="s">
        <v>11300</v>
      </c>
      <c r="B77" s="90" t="s">
        <v>11245</v>
      </c>
      <c r="C77" s="90" t="s">
        <v>10684</v>
      </c>
      <c r="D77" s="90" t="s">
        <v>21</v>
      </c>
      <c r="E77" s="90" t="s">
        <v>11301</v>
      </c>
      <c r="F77" s="90" t="s">
        <v>11302</v>
      </c>
      <c r="G77" s="90" t="s">
        <v>10686</v>
      </c>
      <c r="H77" s="90" t="s">
        <v>11303</v>
      </c>
      <c r="I77" s="90" t="s">
        <v>14</v>
      </c>
      <c r="J77" s="90" t="s">
        <v>1852</v>
      </c>
      <c r="K77" s="153"/>
    </row>
    <row r="78" spans="1:11" x14ac:dyDescent="0.3">
      <c r="A78" s="90" t="s">
        <v>11304</v>
      </c>
      <c r="B78" s="90" t="s">
        <v>11245</v>
      </c>
      <c r="C78" s="90" t="s">
        <v>11305</v>
      </c>
      <c r="D78" s="90" t="s">
        <v>21</v>
      </c>
      <c r="E78" s="90" t="s">
        <v>11306</v>
      </c>
      <c r="F78" s="90" t="s">
        <v>11307</v>
      </c>
      <c r="G78" s="90" t="s">
        <v>11308</v>
      </c>
      <c r="H78" s="90" t="s">
        <v>11309</v>
      </c>
      <c r="I78" s="90" t="s">
        <v>14</v>
      </c>
      <c r="J78" s="90" t="s">
        <v>1868</v>
      </c>
      <c r="K78" s="153"/>
    </row>
    <row r="79" spans="1:11" x14ac:dyDescent="0.3">
      <c r="A79" s="90" t="s">
        <v>11310</v>
      </c>
      <c r="B79" s="90" t="s">
        <v>11245</v>
      </c>
      <c r="C79" s="90" t="s">
        <v>11311</v>
      </c>
      <c r="D79" s="90" t="s">
        <v>13</v>
      </c>
      <c r="E79" s="90" t="s">
        <v>741</v>
      </c>
      <c r="F79" s="90" t="s">
        <v>11312</v>
      </c>
      <c r="G79" s="90" t="s">
        <v>11293</v>
      </c>
      <c r="H79" s="90" t="s">
        <v>11313</v>
      </c>
      <c r="I79" s="90" t="s">
        <v>14</v>
      </c>
      <c r="J79" s="90" t="s">
        <v>1868</v>
      </c>
      <c r="K79" s="153"/>
    </row>
    <row r="80" spans="1:11" x14ac:dyDescent="0.3">
      <c r="A80" s="90" t="s">
        <v>11314</v>
      </c>
      <c r="B80" s="90" t="s">
        <v>11245</v>
      </c>
      <c r="C80" s="90" t="s">
        <v>11315</v>
      </c>
      <c r="D80" s="90" t="s">
        <v>13</v>
      </c>
      <c r="E80" s="90" t="s">
        <v>741</v>
      </c>
      <c r="F80" s="90" t="s">
        <v>11316</v>
      </c>
      <c r="G80" s="90" t="s">
        <v>11293</v>
      </c>
      <c r="H80" s="90" t="s">
        <v>11317</v>
      </c>
      <c r="I80" s="90" t="s">
        <v>14</v>
      </c>
      <c r="J80" s="90" t="s">
        <v>1868</v>
      </c>
      <c r="K80" s="153"/>
    </row>
    <row r="81" spans="1:11" x14ac:dyDescent="0.3">
      <c r="A81" s="90" t="s">
        <v>11318</v>
      </c>
      <c r="B81" s="90" t="s">
        <v>11245</v>
      </c>
      <c r="C81" s="90" t="s">
        <v>11319</v>
      </c>
      <c r="D81" s="90" t="s">
        <v>21</v>
      </c>
      <c r="E81" s="90" t="s">
        <v>741</v>
      </c>
      <c r="F81" s="90" t="s">
        <v>11320</v>
      </c>
      <c r="G81" s="90" t="s">
        <v>11293</v>
      </c>
      <c r="H81" s="90" t="s">
        <v>11321</v>
      </c>
      <c r="I81" s="90" t="s">
        <v>14</v>
      </c>
      <c r="J81" s="90" t="s">
        <v>1868</v>
      </c>
      <c r="K81" s="153"/>
    </row>
    <row r="82" spans="1:11" ht="57.6" x14ac:dyDescent="0.3">
      <c r="A82" s="91" t="s">
        <v>11322</v>
      </c>
      <c r="B82" s="91" t="s">
        <v>11323</v>
      </c>
      <c r="C82" s="91" t="s">
        <v>11324</v>
      </c>
      <c r="D82" s="91" t="s">
        <v>13</v>
      </c>
      <c r="E82" s="91" t="s">
        <v>1420</v>
      </c>
      <c r="F82" s="91" t="s">
        <v>11325</v>
      </c>
      <c r="G82" s="91" t="s">
        <v>11326</v>
      </c>
      <c r="H82" s="91" t="s">
        <v>11327</v>
      </c>
      <c r="I82" s="91" t="s">
        <v>14</v>
      </c>
      <c r="J82" s="91" t="s">
        <v>1868</v>
      </c>
      <c r="K82" s="154" t="s">
        <v>12838</v>
      </c>
    </row>
    <row r="83" spans="1:11" x14ac:dyDescent="0.3">
      <c r="A83" s="91" t="s">
        <v>11328</v>
      </c>
      <c r="B83" s="91" t="s">
        <v>11323</v>
      </c>
      <c r="C83" s="91" t="s">
        <v>11329</v>
      </c>
      <c r="D83" s="91" t="s">
        <v>10</v>
      </c>
      <c r="E83" s="91" t="s">
        <v>57</v>
      </c>
      <c r="F83" s="91" t="s">
        <v>11330</v>
      </c>
      <c r="G83" s="91" t="s">
        <v>11331</v>
      </c>
      <c r="H83" s="91" t="s">
        <v>11332</v>
      </c>
      <c r="I83" s="91" t="s">
        <v>11333</v>
      </c>
      <c r="J83" s="91" t="s">
        <v>1852</v>
      </c>
      <c r="K83" s="153"/>
    </row>
    <row r="84" spans="1:11" x14ac:dyDescent="0.3">
      <c r="A84" s="91" t="s">
        <v>11334</v>
      </c>
      <c r="B84" s="91" t="s">
        <v>11323</v>
      </c>
      <c r="C84" s="91" t="s">
        <v>11335</v>
      </c>
      <c r="D84" s="91" t="s">
        <v>10</v>
      </c>
      <c r="E84" s="91" t="s">
        <v>57</v>
      </c>
      <c r="F84" s="91" t="s">
        <v>11336</v>
      </c>
      <c r="G84" s="91" t="s">
        <v>11337</v>
      </c>
      <c r="H84" s="91" t="s">
        <v>11338</v>
      </c>
      <c r="I84" s="91" t="s">
        <v>11339</v>
      </c>
      <c r="J84" s="91" t="s">
        <v>1852</v>
      </c>
      <c r="K84" s="153"/>
    </row>
    <row r="85" spans="1:11" x14ac:dyDescent="0.3">
      <c r="A85" s="91" t="s">
        <v>11340</v>
      </c>
      <c r="B85" s="91" t="s">
        <v>11323</v>
      </c>
      <c r="C85" s="91" t="s">
        <v>11341</v>
      </c>
      <c r="D85" s="91" t="s">
        <v>10</v>
      </c>
      <c r="E85" s="91" t="s">
        <v>57</v>
      </c>
      <c r="F85" s="91" t="s">
        <v>11342</v>
      </c>
      <c r="G85" s="91" t="s">
        <v>11343</v>
      </c>
      <c r="H85" s="91" t="s">
        <v>11338</v>
      </c>
      <c r="I85" s="91" t="s">
        <v>11344</v>
      </c>
      <c r="J85" s="91" t="s">
        <v>1852</v>
      </c>
      <c r="K85" s="153"/>
    </row>
    <row r="86" spans="1:11" x14ac:dyDescent="0.3">
      <c r="A86" s="91" t="s">
        <v>11345</v>
      </c>
      <c r="B86" s="91" t="s">
        <v>11323</v>
      </c>
      <c r="C86" s="91" t="s">
        <v>11346</v>
      </c>
      <c r="D86" s="91" t="s">
        <v>13</v>
      </c>
      <c r="E86" s="91" t="s">
        <v>11347</v>
      </c>
      <c r="F86" s="91" t="s">
        <v>11348</v>
      </c>
      <c r="G86" s="91" t="s">
        <v>11349</v>
      </c>
      <c r="H86" s="91" t="s">
        <v>11350</v>
      </c>
      <c r="I86" s="91" t="s">
        <v>14</v>
      </c>
      <c r="J86" s="91" t="s">
        <v>1868</v>
      </c>
      <c r="K86" s="153"/>
    </row>
    <row r="87" spans="1:11" x14ac:dyDescent="0.3">
      <c r="A87" s="91" t="s">
        <v>11351</v>
      </c>
      <c r="B87" s="91" t="s">
        <v>11323</v>
      </c>
      <c r="C87" s="91" t="s">
        <v>11352</v>
      </c>
      <c r="D87" s="91" t="s">
        <v>13</v>
      </c>
      <c r="E87" s="91" t="s">
        <v>1420</v>
      </c>
      <c r="F87" s="91" t="s">
        <v>11353</v>
      </c>
      <c r="G87" s="91" t="s">
        <v>11354</v>
      </c>
      <c r="H87" s="91" t="s">
        <v>11355</v>
      </c>
      <c r="I87" s="91" t="s">
        <v>14</v>
      </c>
      <c r="J87" s="91" t="s">
        <v>1868</v>
      </c>
      <c r="K87" s="153"/>
    </row>
    <row r="88" spans="1:11" x14ac:dyDescent="0.3">
      <c r="A88" s="91" t="s">
        <v>11356</v>
      </c>
      <c r="B88" s="91" t="s">
        <v>11323</v>
      </c>
      <c r="C88" s="91" t="s">
        <v>11357</v>
      </c>
      <c r="D88" s="91" t="s">
        <v>10</v>
      </c>
      <c r="E88" s="91" t="s">
        <v>1420</v>
      </c>
      <c r="F88" s="91" t="s">
        <v>11358</v>
      </c>
      <c r="G88" s="91" t="s">
        <v>11359</v>
      </c>
      <c r="H88" s="91" t="s">
        <v>11360</v>
      </c>
      <c r="I88" s="91" t="s">
        <v>11361</v>
      </c>
      <c r="J88" s="91" t="s">
        <v>1852</v>
      </c>
      <c r="K88" s="153"/>
    </row>
    <row r="89" spans="1:11" x14ac:dyDescent="0.3">
      <c r="A89" s="91" t="s">
        <v>11362</v>
      </c>
      <c r="B89" s="91" t="s">
        <v>11323</v>
      </c>
      <c r="C89" s="91" t="s">
        <v>11363</v>
      </c>
      <c r="D89" s="91" t="s">
        <v>13</v>
      </c>
      <c r="E89" s="91" t="s">
        <v>7445</v>
      </c>
      <c r="F89" s="91" t="s">
        <v>11364</v>
      </c>
      <c r="G89" s="91" t="s">
        <v>11365</v>
      </c>
      <c r="H89" s="91" t="s">
        <v>11366</v>
      </c>
      <c r="I89" s="91" t="s">
        <v>14</v>
      </c>
      <c r="J89" s="91" t="s">
        <v>1868</v>
      </c>
      <c r="K89" s="153"/>
    </row>
    <row r="90" spans="1:11" x14ac:dyDescent="0.3">
      <c r="A90" s="91" t="s">
        <v>11367</v>
      </c>
      <c r="B90" s="91" t="s">
        <v>11323</v>
      </c>
      <c r="C90" s="91" t="s">
        <v>11368</v>
      </c>
      <c r="D90" s="91" t="s">
        <v>13</v>
      </c>
      <c r="E90" s="91" t="s">
        <v>7445</v>
      </c>
      <c r="F90" s="91" t="s">
        <v>11369</v>
      </c>
      <c r="G90" s="91" t="s">
        <v>11370</v>
      </c>
      <c r="H90" s="91" t="s">
        <v>11371</v>
      </c>
      <c r="I90" s="91" t="s">
        <v>14</v>
      </c>
      <c r="J90" s="91" t="s">
        <v>1873</v>
      </c>
      <c r="K90" s="153"/>
    </row>
    <row r="91" spans="1:11" x14ac:dyDescent="0.3">
      <c r="A91" s="91" t="s">
        <v>11372</v>
      </c>
      <c r="B91" s="91" t="s">
        <v>11323</v>
      </c>
      <c r="C91" s="91" t="s">
        <v>11373</v>
      </c>
      <c r="D91" s="91" t="s">
        <v>13</v>
      </c>
      <c r="E91" s="91" t="s">
        <v>4412</v>
      </c>
      <c r="F91" s="91" t="s">
        <v>11374</v>
      </c>
      <c r="G91" s="91" t="s">
        <v>11375</v>
      </c>
      <c r="H91" s="91" t="s">
        <v>11376</v>
      </c>
      <c r="I91" s="91" t="s">
        <v>14</v>
      </c>
      <c r="J91" s="91" t="s">
        <v>1873</v>
      </c>
      <c r="K91" s="153"/>
    </row>
    <row r="92" spans="1:11" x14ac:dyDescent="0.3">
      <c r="A92" s="91" t="s">
        <v>11377</v>
      </c>
      <c r="B92" s="91" t="s">
        <v>11323</v>
      </c>
      <c r="C92" s="91" t="s">
        <v>11378</v>
      </c>
      <c r="D92" s="91" t="s">
        <v>13</v>
      </c>
      <c r="E92" s="91" t="s">
        <v>7445</v>
      </c>
      <c r="F92" s="91" t="s">
        <v>11379</v>
      </c>
      <c r="G92" s="91" t="s">
        <v>11380</v>
      </c>
      <c r="H92" s="91" t="s">
        <v>11381</v>
      </c>
      <c r="I92" s="91" t="s">
        <v>14</v>
      </c>
      <c r="J92" s="91" t="s">
        <v>1873</v>
      </c>
      <c r="K92" s="153"/>
    </row>
    <row r="93" spans="1:11" x14ac:dyDescent="0.3">
      <c r="A93" s="91" t="s">
        <v>11382</v>
      </c>
      <c r="B93" s="91" t="s">
        <v>11323</v>
      </c>
      <c r="C93" s="91" t="s">
        <v>11383</v>
      </c>
      <c r="D93" s="91" t="s">
        <v>13</v>
      </c>
      <c r="E93" s="91" t="s">
        <v>7445</v>
      </c>
      <c r="F93" s="91" t="s">
        <v>11384</v>
      </c>
      <c r="G93" s="91" t="s">
        <v>11385</v>
      </c>
      <c r="H93" s="91" t="s">
        <v>11381</v>
      </c>
      <c r="I93" s="91" t="s">
        <v>14</v>
      </c>
      <c r="J93" s="91" t="s">
        <v>1873</v>
      </c>
      <c r="K93" s="153"/>
    </row>
    <row r="94" spans="1:11" x14ac:dyDescent="0.3">
      <c r="A94" s="91" t="s">
        <v>11386</v>
      </c>
      <c r="B94" s="91" t="s">
        <v>11323</v>
      </c>
      <c r="C94" s="91" t="s">
        <v>11387</v>
      </c>
      <c r="D94" s="91" t="s">
        <v>13</v>
      </c>
      <c r="E94" s="91" t="s">
        <v>11388</v>
      </c>
      <c r="F94" s="91" t="s">
        <v>11389</v>
      </c>
      <c r="G94" s="91" t="s">
        <v>11390</v>
      </c>
      <c r="H94" s="91" t="s">
        <v>11391</v>
      </c>
      <c r="I94" s="91" t="s">
        <v>14</v>
      </c>
      <c r="J94" s="91" t="s">
        <v>1873</v>
      </c>
      <c r="K94" s="153"/>
    </row>
    <row r="95" spans="1:11" x14ac:dyDescent="0.3">
      <c r="A95" s="91" t="s">
        <v>11392</v>
      </c>
      <c r="B95" s="91" t="s">
        <v>11323</v>
      </c>
      <c r="C95" s="91" t="s">
        <v>11393</v>
      </c>
      <c r="D95" s="91" t="s">
        <v>13</v>
      </c>
      <c r="E95" s="91" t="s">
        <v>7445</v>
      </c>
      <c r="F95" s="91" t="s">
        <v>11394</v>
      </c>
      <c r="G95" s="91" t="s">
        <v>11395</v>
      </c>
      <c r="H95" s="91" t="s">
        <v>11396</v>
      </c>
      <c r="I95" s="91" t="s">
        <v>14</v>
      </c>
      <c r="J95" s="91" t="s">
        <v>1868</v>
      </c>
      <c r="K95" s="153"/>
    </row>
    <row r="96" spans="1:11" x14ac:dyDescent="0.3">
      <c r="A96" s="91" t="s">
        <v>11397</v>
      </c>
      <c r="B96" s="91" t="s">
        <v>11323</v>
      </c>
      <c r="C96" s="91" t="s">
        <v>11398</v>
      </c>
      <c r="D96" s="91" t="s">
        <v>13</v>
      </c>
      <c r="E96" s="91" t="s">
        <v>7445</v>
      </c>
      <c r="F96" s="91" t="s">
        <v>11399</v>
      </c>
      <c r="G96" s="91" t="s">
        <v>11400</v>
      </c>
      <c r="H96" s="91" t="s">
        <v>11401</v>
      </c>
      <c r="I96" s="91" t="s">
        <v>14</v>
      </c>
      <c r="J96" s="91" t="s">
        <v>1868</v>
      </c>
      <c r="K96" s="153"/>
    </row>
    <row r="97" spans="1:11" x14ac:dyDescent="0.3">
      <c r="A97" s="91" t="s">
        <v>11402</v>
      </c>
      <c r="B97" s="91" t="s">
        <v>11323</v>
      </c>
      <c r="C97" s="91" t="s">
        <v>11403</v>
      </c>
      <c r="D97" s="91" t="s">
        <v>13</v>
      </c>
      <c r="E97" s="91" t="s">
        <v>7445</v>
      </c>
      <c r="F97" s="91" t="s">
        <v>11394</v>
      </c>
      <c r="G97" s="91" t="s">
        <v>11404</v>
      </c>
      <c r="H97" s="91" t="s">
        <v>11405</v>
      </c>
      <c r="I97" s="91" t="s">
        <v>14</v>
      </c>
      <c r="J97" s="91" t="s">
        <v>1873</v>
      </c>
      <c r="K97" s="153"/>
    </row>
    <row r="98" spans="1:11" x14ac:dyDescent="0.3">
      <c r="A98" s="92" t="s">
        <v>11406</v>
      </c>
      <c r="B98" s="92" t="s">
        <v>11407</v>
      </c>
      <c r="C98" s="92" t="s">
        <v>11408</v>
      </c>
      <c r="D98" s="92" t="s">
        <v>21</v>
      </c>
      <c r="E98" s="92" t="s">
        <v>57</v>
      </c>
      <c r="F98" s="92" t="s">
        <v>11409</v>
      </c>
      <c r="G98" s="92" t="s">
        <v>62</v>
      </c>
      <c r="H98" s="92" t="s">
        <v>11410</v>
      </c>
      <c r="I98" s="92" t="s">
        <v>14</v>
      </c>
      <c r="J98" s="92" t="s">
        <v>1868</v>
      </c>
      <c r="K98" s="153"/>
    </row>
    <row r="99" spans="1:11" x14ac:dyDescent="0.3">
      <c r="A99" s="92" t="s">
        <v>11411</v>
      </c>
      <c r="B99" s="92" t="s">
        <v>11407</v>
      </c>
      <c r="C99" s="92" t="s">
        <v>11412</v>
      </c>
      <c r="D99" s="92" t="s">
        <v>21</v>
      </c>
      <c r="E99" s="92" t="s">
        <v>57</v>
      </c>
      <c r="F99" s="92" t="s">
        <v>11413</v>
      </c>
      <c r="G99" s="92" t="s">
        <v>62</v>
      </c>
      <c r="H99" s="92" t="s">
        <v>11414</v>
      </c>
      <c r="I99" s="92" t="s">
        <v>14</v>
      </c>
      <c r="J99" s="92" t="s">
        <v>1868</v>
      </c>
      <c r="K99" s="153"/>
    </row>
    <row r="100" spans="1:11" x14ac:dyDescent="0.3">
      <c r="A100" s="92" t="s">
        <v>11415</v>
      </c>
      <c r="B100" s="92" t="s">
        <v>11407</v>
      </c>
      <c r="C100" s="92" t="s">
        <v>11416</v>
      </c>
      <c r="D100" s="92" t="s">
        <v>21</v>
      </c>
      <c r="E100" s="92" t="s">
        <v>57</v>
      </c>
      <c r="F100" s="92" t="s">
        <v>11417</v>
      </c>
      <c r="G100" s="92" t="s">
        <v>62</v>
      </c>
      <c r="H100" s="92" t="s">
        <v>11418</v>
      </c>
      <c r="I100" s="92" t="s">
        <v>14</v>
      </c>
      <c r="J100" s="92" t="s">
        <v>1868</v>
      </c>
      <c r="K100" s="153"/>
    </row>
    <row r="101" spans="1:11" x14ac:dyDescent="0.3">
      <c r="A101" s="92" t="s">
        <v>11419</v>
      </c>
      <c r="B101" s="92" t="s">
        <v>11407</v>
      </c>
      <c r="C101" s="92" t="s">
        <v>11420</v>
      </c>
      <c r="D101" s="92" t="s">
        <v>21</v>
      </c>
      <c r="E101" s="92" t="s">
        <v>57</v>
      </c>
      <c r="F101" s="92" t="s">
        <v>11421</v>
      </c>
      <c r="G101" s="92" t="s">
        <v>62</v>
      </c>
      <c r="H101" s="92" t="s">
        <v>11422</v>
      </c>
      <c r="I101" s="92" t="s">
        <v>14</v>
      </c>
      <c r="J101" s="92" t="s">
        <v>1868</v>
      </c>
      <c r="K101" s="153"/>
    </row>
    <row r="102" spans="1:11" x14ac:dyDescent="0.3">
      <c r="A102" s="92" t="s">
        <v>11423</v>
      </c>
      <c r="B102" s="92" t="s">
        <v>11407</v>
      </c>
      <c r="C102" s="92" t="s">
        <v>11424</v>
      </c>
      <c r="D102" s="92" t="s">
        <v>21</v>
      </c>
      <c r="E102" s="92" t="s">
        <v>11425</v>
      </c>
      <c r="F102" s="92" t="s">
        <v>11426</v>
      </c>
      <c r="G102" s="92" t="s">
        <v>62</v>
      </c>
      <c r="H102" s="92" t="s">
        <v>11427</v>
      </c>
      <c r="I102" s="92" t="s">
        <v>14</v>
      </c>
      <c r="J102" s="92" t="s">
        <v>1868</v>
      </c>
      <c r="K102" s="153"/>
    </row>
    <row r="103" spans="1:11" x14ac:dyDescent="0.3">
      <c r="A103" s="92" t="s">
        <v>11428</v>
      </c>
      <c r="B103" s="92" t="s">
        <v>11407</v>
      </c>
      <c r="C103" s="92" t="s">
        <v>11429</v>
      </c>
      <c r="D103" s="92" t="s">
        <v>21</v>
      </c>
      <c r="E103" s="92" t="s">
        <v>57</v>
      </c>
      <c r="F103" s="92" t="s">
        <v>11430</v>
      </c>
      <c r="G103" s="92" t="s">
        <v>62</v>
      </c>
      <c r="H103" s="92" t="s">
        <v>11431</v>
      </c>
      <c r="I103" s="92" t="s">
        <v>14</v>
      </c>
      <c r="J103" s="92" t="s">
        <v>1868</v>
      </c>
      <c r="K103" s="153"/>
    </row>
    <row r="104" spans="1:11" x14ac:dyDescent="0.3">
      <c r="A104" s="92" t="s">
        <v>11432</v>
      </c>
      <c r="B104" s="92" t="s">
        <v>11407</v>
      </c>
      <c r="C104" s="92" t="s">
        <v>11433</v>
      </c>
      <c r="D104" s="92" t="s">
        <v>21</v>
      </c>
      <c r="E104" s="92" t="s">
        <v>57</v>
      </c>
      <c r="F104" s="92" t="s">
        <v>11434</v>
      </c>
      <c r="G104" s="92" t="s">
        <v>62</v>
      </c>
      <c r="H104" s="92" t="s">
        <v>11435</v>
      </c>
      <c r="I104" s="92" t="s">
        <v>14</v>
      </c>
      <c r="J104" s="92" t="s">
        <v>1873</v>
      </c>
      <c r="K104" s="153"/>
    </row>
    <row r="105" spans="1:11" x14ac:dyDescent="0.3">
      <c r="A105" s="92" t="s">
        <v>11436</v>
      </c>
      <c r="B105" s="92" t="s">
        <v>11407</v>
      </c>
      <c r="C105" s="92" t="s">
        <v>11437</v>
      </c>
      <c r="D105" s="92" t="s">
        <v>21</v>
      </c>
      <c r="E105" s="92" t="s">
        <v>57</v>
      </c>
      <c r="F105" s="92" t="s">
        <v>11438</v>
      </c>
      <c r="G105" s="92" t="s">
        <v>62</v>
      </c>
      <c r="H105" s="92" t="s">
        <v>11439</v>
      </c>
      <c r="I105" s="92" t="s">
        <v>14</v>
      </c>
      <c r="J105" s="92" t="s">
        <v>1868</v>
      </c>
      <c r="K105" s="153"/>
    </row>
    <row r="106" spans="1:11" x14ac:dyDescent="0.3">
      <c r="A106" s="92" t="s">
        <v>11440</v>
      </c>
      <c r="B106" s="92" t="s">
        <v>11407</v>
      </c>
      <c r="C106" s="92" t="s">
        <v>11441</v>
      </c>
      <c r="D106" s="92" t="s">
        <v>21</v>
      </c>
      <c r="E106" s="92" t="s">
        <v>57</v>
      </c>
      <c r="F106" s="92" t="s">
        <v>11442</v>
      </c>
      <c r="G106" s="92" t="s">
        <v>62</v>
      </c>
      <c r="H106" s="92" t="s">
        <v>11443</v>
      </c>
      <c r="I106" s="92" t="s">
        <v>14</v>
      </c>
      <c r="J106" s="92" t="s">
        <v>1868</v>
      </c>
      <c r="K106" s="153"/>
    </row>
    <row r="107" spans="1:11" x14ac:dyDescent="0.3">
      <c r="A107" s="92" t="s">
        <v>11444</v>
      </c>
      <c r="B107" s="92" t="s">
        <v>11407</v>
      </c>
      <c r="C107" s="92" t="s">
        <v>11445</v>
      </c>
      <c r="D107" s="92" t="s">
        <v>21</v>
      </c>
      <c r="E107" s="92" t="s">
        <v>11262</v>
      </c>
      <c r="F107" s="92" t="s">
        <v>11446</v>
      </c>
      <c r="G107" s="92" t="s">
        <v>62</v>
      </c>
      <c r="H107" s="92" t="s">
        <v>11447</v>
      </c>
      <c r="I107" s="92" t="s">
        <v>14</v>
      </c>
      <c r="J107" s="92" t="s">
        <v>1868</v>
      </c>
      <c r="K107" s="153"/>
    </row>
    <row r="108" spans="1:11" x14ac:dyDescent="0.3">
      <c r="A108" s="92" t="s">
        <v>11448</v>
      </c>
      <c r="B108" s="92" t="s">
        <v>11407</v>
      </c>
      <c r="C108" s="92" t="s">
        <v>11449</v>
      </c>
      <c r="D108" s="92" t="s">
        <v>21</v>
      </c>
      <c r="E108" s="92" t="s">
        <v>11450</v>
      </c>
      <c r="F108" s="92" t="s">
        <v>11451</v>
      </c>
      <c r="G108" s="92" t="s">
        <v>11452</v>
      </c>
      <c r="H108" s="92" t="s">
        <v>11453</v>
      </c>
      <c r="I108" s="92" t="s">
        <v>14</v>
      </c>
      <c r="J108" s="92" t="s">
        <v>1852</v>
      </c>
      <c r="K108" s="153"/>
    </row>
    <row r="109" spans="1:11" x14ac:dyDescent="0.3">
      <c r="A109" s="92" t="s">
        <v>11454</v>
      </c>
      <c r="B109" s="92" t="s">
        <v>11407</v>
      </c>
      <c r="C109" s="92" t="s">
        <v>11455</v>
      </c>
      <c r="D109" s="92" t="s">
        <v>21</v>
      </c>
      <c r="E109" s="92" t="s">
        <v>11456</v>
      </c>
      <c r="F109" s="92" t="s">
        <v>11457</v>
      </c>
      <c r="G109" s="92" t="s">
        <v>11458</v>
      </c>
      <c r="H109" s="92" t="s">
        <v>11459</v>
      </c>
      <c r="I109" s="92" t="s">
        <v>14</v>
      </c>
      <c r="J109" s="92" t="s">
        <v>1868</v>
      </c>
      <c r="K109" s="153"/>
    </row>
    <row r="110" spans="1:11" x14ac:dyDescent="0.3">
      <c r="A110" s="92" t="s">
        <v>11460</v>
      </c>
      <c r="B110" s="92" t="s">
        <v>11407</v>
      </c>
      <c r="C110" s="92" t="s">
        <v>11461</v>
      </c>
      <c r="D110" s="92" t="s">
        <v>21</v>
      </c>
      <c r="E110" s="92" t="s">
        <v>10944</v>
      </c>
      <c r="F110" s="92" t="s">
        <v>11462</v>
      </c>
      <c r="G110" s="92" t="s">
        <v>62</v>
      </c>
      <c r="H110" s="92" t="s">
        <v>11463</v>
      </c>
      <c r="I110" s="92" t="s">
        <v>14</v>
      </c>
      <c r="J110" s="92" t="s">
        <v>1852</v>
      </c>
      <c r="K110" s="153"/>
    </row>
    <row r="111" spans="1:11" x14ac:dyDescent="0.3">
      <c r="A111" s="92" t="s">
        <v>11464</v>
      </c>
      <c r="B111" s="92" t="s">
        <v>11407</v>
      </c>
      <c r="C111" s="92" t="s">
        <v>11465</v>
      </c>
      <c r="D111" s="92" t="s">
        <v>21</v>
      </c>
      <c r="E111" s="92" t="s">
        <v>57</v>
      </c>
      <c r="F111" s="92" t="s">
        <v>11466</v>
      </c>
      <c r="G111" s="92" t="s">
        <v>62</v>
      </c>
      <c r="H111" s="92" t="s">
        <v>11467</v>
      </c>
      <c r="I111" s="92" t="s">
        <v>14</v>
      </c>
      <c r="J111" s="92" t="s">
        <v>1873</v>
      </c>
      <c r="K111" s="153"/>
    </row>
    <row r="112" spans="1:11" x14ac:dyDescent="0.3">
      <c r="A112" s="92" t="s">
        <v>11468</v>
      </c>
      <c r="B112" s="92" t="s">
        <v>11407</v>
      </c>
      <c r="C112" s="92" t="s">
        <v>11469</v>
      </c>
      <c r="D112" s="92" t="s">
        <v>10</v>
      </c>
      <c r="E112" s="92" t="s">
        <v>57</v>
      </c>
      <c r="F112" s="92" t="s">
        <v>11470</v>
      </c>
      <c r="G112" s="92" t="s">
        <v>62</v>
      </c>
      <c r="H112" s="92" t="s">
        <v>11471</v>
      </c>
      <c r="I112" s="92" t="s">
        <v>11472</v>
      </c>
      <c r="J112" s="92" t="s">
        <v>1868</v>
      </c>
      <c r="K112" s="153"/>
    </row>
    <row r="113" spans="1:11" x14ac:dyDescent="0.3">
      <c r="A113" s="92" t="s">
        <v>11473</v>
      </c>
      <c r="B113" s="92" t="s">
        <v>11407</v>
      </c>
      <c r="C113" s="92" t="s">
        <v>11474</v>
      </c>
      <c r="D113" s="92" t="s">
        <v>21</v>
      </c>
      <c r="E113" s="92" t="s">
        <v>57</v>
      </c>
      <c r="F113" s="92" t="s">
        <v>11475</v>
      </c>
      <c r="G113" s="92" t="s">
        <v>11476</v>
      </c>
      <c r="H113" s="92" t="s">
        <v>11477</v>
      </c>
      <c r="I113" s="92" t="s">
        <v>14</v>
      </c>
      <c r="J113" s="92" t="s">
        <v>1873</v>
      </c>
      <c r="K113" s="153"/>
    </row>
    <row r="114" spans="1:11" x14ac:dyDescent="0.3">
      <c r="A114" s="92" t="s">
        <v>11478</v>
      </c>
      <c r="B114" s="92" t="s">
        <v>11407</v>
      </c>
      <c r="C114" s="92" t="s">
        <v>11479</v>
      </c>
      <c r="D114" s="92" t="s">
        <v>21</v>
      </c>
      <c r="E114" s="92" t="s">
        <v>57</v>
      </c>
      <c r="F114" s="92" t="s">
        <v>11480</v>
      </c>
      <c r="G114" s="92" t="s">
        <v>62</v>
      </c>
      <c r="H114" s="92" t="s">
        <v>11481</v>
      </c>
      <c r="I114" s="92" t="s">
        <v>14</v>
      </c>
      <c r="J114" s="92" t="s">
        <v>1873</v>
      </c>
      <c r="K114" s="153"/>
    </row>
    <row r="115" spans="1:11" x14ac:dyDescent="0.3">
      <c r="A115" s="92" t="s">
        <v>11482</v>
      </c>
      <c r="B115" s="92" t="s">
        <v>11407</v>
      </c>
      <c r="C115" s="92" t="s">
        <v>11483</v>
      </c>
      <c r="D115" s="92" t="s">
        <v>21</v>
      </c>
      <c r="E115" s="92" t="s">
        <v>57</v>
      </c>
      <c r="F115" s="92" t="s">
        <v>11484</v>
      </c>
      <c r="G115" s="92" t="s">
        <v>11485</v>
      </c>
      <c r="H115" s="92" t="s">
        <v>11486</v>
      </c>
      <c r="I115" s="92" t="s">
        <v>14</v>
      </c>
      <c r="J115" s="92" t="s">
        <v>1868</v>
      </c>
      <c r="K115" s="153"/>
    </row>
    <row r="116" spans="1:11" x14ac:dyDescent="0.3">
      <c r="A116" s="92" t="s">
        <v>11487</v>
      </c>
      <c r="B116" s="92" t="s">
        <v>11407</v>
      </c>
      <c r="C116" s="92" t="s">
        <v>11488</v>
      </c>
      <c r="D116" s="92" t="s">
        <v>21</v>
      </c>
      <c r="E116" s="92" t="s">
        <v>57</v>
      </c>
      <c r="F116" s="92" t="s">
        <v>11489</v>
      </c>
      <c r="G116" s="92" t="s">
        <v>11490</v>
      </c>
      <c r="H116" s="92" t="s">
        <v>12909</v>
      </c>
      <c r="I116" s="92" t="s">
        <v>14</v>
      </c>
      <c r="J116" s="92" t="s">
        <v>1868</v>
      </c>
      <c r="K116" s="156"/>
    </row>
    <row r="117" spans="1:11" x14ac:dyDescent="0.3">
      <c r="A117" s="92" t="s">
        <v>11491</v>
      </c>
      <c r="B117" s="92" t="s">
        <v>11407</v>
      </c>
      <c r="C117" s="92" t="s">
        <v>11492</v>
      </c>
      <c r="D117" s="92" t="s">
        <v>21</v>
      </c>
      <c r="E117" s="92" t="s">
        <v>30</v>
      </c>
      <c r="F117" s="92" t="s">
        <v>11493</v>
      </c>
      <c r="G117" s="92" t="s">
        <v>130</v>
      </c>
      <c r="H117" s="92" t="s">
        <v>11494</v>
      </c>
      <c r="I117" s="92" t="s">
        <v>14</v>
      </c>
      <c r="J117" s="92" t="s">
        <v>1873</v>
      </c>
      <c r="K117" s="153"/>
    </row>
    <row r="118" spans="1:11" x14ac:dyDescent="0.3">
      <c r="K118" s="153"/>
    </row>
    <row r="119" spans="1:11" x14ac:dyDescent="0.3">
      <c r="K119" s="153"/>
    </row>
    <row r="120" spans="1:11" x14ac:dyDescent="0.3">
      <c r="A120" s="1" t="s">
        <v>9420</v>
      </c>
      <c r="B120" s="1"/>
      <c r="K120" s="153"/>
    </row>
    <row r="121" spans="1:11" x14ac:dyDescent="0.3">
      <c r="A121" s="16" t="s">
        <v>11495</v>
      </c>
      <c r="B121">
        <f>COUNTA(A2:A117)</f>
        <v>116</v>
      </c>
      <c r="K121" s="153"/>
    </row>
    <row r="122" spans="1:11" x14ac:dyDescent="0.3">
      <c r="A122" s="16" t="s">
        <v>5885</v>
      </c>
      <c r="B122">
        <f>COUNTIF(D2:D117,"P")</f>
        <v>71</v>
      </c>
      <c r="K122" s="153"/>
    </row>
    <row r="123" spans="1:11" x14ac:dyDescent="0.3">
      <c r="A123" s="16" t="s">
        <v>5886</v>
      </c>
      <c r="B123">
        <f>COUNTIF(D2:D117,"N")</f>
        <v>5</v>
      </c>
      <c r="K123" s="153"/>
    </row>
    <row r="124" spans="1:11" x14ac:dyDescent="0.3">
      <c r="A124" s="16" t="s">
        <v>11496</v>
      </c>
      <c r="B124">
        <f>COUNTIF(D2:D117,"E")</f>
        <v>40</v>
      </c>
      <c r="K124" s="153"/>
    </row>
    <row r="125" spans="1:11" x14ac:dyDescent="0.3">
      <c r="A125" s="16" t="s">
        <v>11497</v>
      </c>
      <c r="B125">
        <f>COUNTIF(J2:J117,"P1")</f>
        <v>39</v>
      </c>
      <c r="K125" s="153"/>
    </row>
    <row r="126" spans="1:11" x14ac:dyDescent="0.3">
      <c r="A126" s="16" t="s">
        <v>11498</v>
      </c>
      <c r="B126">
        <f>COUNTIF(J2:J117,"P2")</f>
        <v>55</v>
      </c>
      <c r="K126" s="153"/>
    </row>
    <row r="127" spans="1:11" x14ac:dyDescent="0.3">
      <c r="A127" s="16" t="s">
        <v>11499</v>
      </c>
      <c r="B127">
        <f>COUNTIF(J2:J117,"P3")</f>
        <v>22</v>
      </c>
      <c r="K127" s="153"/>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C031-D50C-4212-B5AE-C3B2F1786A18}">
  <dimension ref="A1:K129"/>
  <sheetViews>
    <sheetView topLeftCell="G1" workbookViewId="0">
      <pane ySplit="1" topLeftCell="A2" activePane="bottomLeft" state="frozen"/>
      <selection pane="bottomLeft" activeCell="K1" sqref="K1"/>
    </sheetView>
  </sheetViews>
  <sheetFormatPr defaultRowHeight="14.4" x14ac:dyDescent="0.3"/>
  <cols>
    <col min="1" max="1" width="16.6640625" customWidth="1"/>
    <col min="2" max="2" width="33.33203125" customWidth="1"/>
    <col min="3" max="3" width="51.88671875" customWidth="1"/>
    <col min="4" max="4" width="9.21875" customWidth="1"/>
    <col min="5" max="5" width="22.21875" customWidth="1"/>
    <col min="6" max="8" width="46.33203125" customWidth="1"/>
    <col min="9"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11500</v>
      </c>
      <c r="B2" s="46" t="s">
        <v>11501</v>
      </c>
      <c r="C2" s="46" t="s">
        <v>11502</v>
      </c>
      <c r="D2" s="46" t="s">
        <v>13</v>
      </c>
      <c r="E2" s="46" t="s">
        <v>986</v>
      </c>
      <c r="F2" s="46" t="s">
        <v>11503</v>
      </c>
      <c r="G2" s="46" t="s">
        <v>11504</v>
      </c>
      <c r="H2" s="46" t="s">
        <v>11505</v>
      </c>
      <c r="I2" s="46" t="s">
        <v>11506</v>
      </c>
      <c r="J2" s="46" t="s">
        <v>1852</v>
      </c>
      <c r="K2" s="153"/>
    </row>
    <row r="3" spans="1:11" x14ac:dyDescent="0.3">
      <c r="A3" s="46" t="s">
        <v>11507</v>
      </c>
      <c r="B3" s="46" t="s">
        <v>11501</v>
      </c>
      <c r="C3" s="46" t="s">
        <v>11508</v>
      </c>
      <c r="D3" s="46" t="s">
        <v>13</v>
      </c>
      <c r="E3" s="46" t="s">
        <v>986</v>
      </c>
      <c r="F3" s="46" t="s">
        <v>11509</v>
      </c>
      <c r="G3" s="46" t="s">
        <v>11510</v>
      </c>
      <c r="H3" s="46" t="s">
        <v>11511</v>
      </c>
      <c r="I3" s="46" t="s">
        <v>14</v>
      </c>
      <c r="J3" s="46" t="s">
        <v>1852</v>
      </c>
      <c r="K3" s="153"/>
    </row>
    <row r="4" spans="1:11" x14ac:dyDescent="0.3">
      <c r="A4" s="46" t="s">
        <v>11512</v>
      </c>
      <c r="B4" s="46" t="s">
        <v>11501</v>
      </c>
      <c r="C4" s="46" t="s">
        <v>11513</v>
      </c>
      <c r="D4" s="46" t="s">
        <v>13</v>
      </c>
      <c r="E4" s="46" t="s">
        <v>986</v>
      </c>
      <c r="F4" s="46" t="s">
        <v>11514</v>
      </c>
      <c r="G4" s="46" t="s">
        <v>11515</v>
      </c>
      <c r="H4" s="46" t="s">
        <v>11516</v>
      </c>
      <c r="I4" s="46" t="s">
        <v>14</v>
      </c>
      <c r="J4" s="46" t="s">
        <v>1868</v>
      </c>
      <c r="K4" s="153"/>
    </row>
    <row r="5" spans="1:11" x14ac:dyDescent="0.3">
      <c r="A5" s="46" t="s">
        <v>11517</v>
      </c>
      <c r="B5" s="46" t="s">
        <v>11501</v>
      </c>
      <c r="C5" s="46" t="s">
        <v>11518</v>
      </c>
      <c r="D5" s="46" t="s">
        <v>10</v>
      </c>
      <c r="E5" s="46" t="s">
        <v>986</v>
      </c>
      <c r="F5" s="46" t="s">
        <v>11519</v>
      </c>
      <c r="G5" s="46" t="s">
        <v>11520</v>
      </c>
      <c r="H5" s="46" t="s">
        <v>11521</v>
      </c>
      <c r="I5" s="46" t="s">
        <v>11522</v>
      </c>
      <c r="J5" s="46" t="s">
        <v>1852</v>
      </c>
      <c r="K5" s="153"/>
    </row>
    <row r="6" spans="1:11" x14ac:dyDescent="0.3">
      <c r="A6" s="46" t="s">
        <v>11523</v>
      </c>
      <c r="B6" s="46" t="s">
        <v>11501</v>
      </c>
      <c r="C6" s="46" t="s">
        <v>11524</v>
      </c>
      <c r="D6" s="46" t="s">
        <v>10</v>
      </c>
      <c r="E6" s="46" t="s">
        <v>986</v>
      </c>
      <c r="F6" s="46" t="s">
        <v>11525</v>
      </c>
      <c r="G6" s="46" t="s">
        <v>11520</v>
      </c>
      <c r="H6" s="46" t="s">
        <v>11526</v>
      </c>
      <c r="I6" s="46" t="s">
        <v>11527</v>
      </c>
      <c r="J6" s="46" t="s">
        <v>1852</v>
      </c>
      <c r="K6" s="153"/>
    </row>
    <row r="7" spans="1:11" x14ac:dyDescent="0.3">
      <c r="A7" s="46" t="s">
        <v>11528</v>
      </c>
      <c r="B7" s="46" t="s">
        <v>11501</v>
      </c>
      <c r="C7" s="46" t="s">
        <v>11529</v>
      </c>
      <c r="D7" s="46" t="s">
        <v>10</v>
      </c>
      <c r="E7" s="46" t="s">
        <v>986</v>
      </c>
      <c r="F7" s="46" t="s">
        <v>11530</v>
      </c>
      <c r="G7" s="46" t="s">
        <v>11520</v>
      </c>
      <c r="H7" s="46" t="s">
        <v>11531</v>
      </c>
      <c r="I7" s="46" t="s">
        <v>11532</v>
      </c>
      <c r="J7" s="46" t="s">
        <v>1852</v>
      </c>
      <c r="K7" s="153"/>
    </row>
    <row r="8" spans="1:11" x14ac:dyDescent="0.3">
      <c r="A8" s="46" t="s">
        <v>11533</v>
      </c>
      <c r="B8" s="46" t="s">
        <v>11501</v>
      </c>
      <c r="C8" s="46" t="s">
        <v>11534</v>
      </c>
      <c r="D8" s="46" t="s">
        <v>10</v>
      </c>
      <c r="E8" s="46" t="s">
        <v>986</v>
      </c>
      <c r="F8" s="46" t="s">
        <v>11535</v>
      </c>
      <c r="G8" s="46" t="s">
        <v>11520</v>
      </c>
      <c r="H8" s="46" t="s">
        <v>11536</v>
      </c>
      <c r="I8" s="46" t="s">
        <v>11537</v>
      </c>
      <c r="J8" s="46" t="s">
        <v>1852</v>
      </c>
      <c r="K8" s="153"/>
    </row>
    <row r="9" spans="1:11" x14ac:dyDescent="0.3">
      <c r="A9" s="46" t="s">
        <v>11538</v>
      </c>
      <c r="B9" s="46" t="s">
        <v>11501</v>
      </c>
      <c r="C9" s="46" t="s">
        <v>11539</v>
      </c>
      <c r="D9" s="46" t="s">
        <v>13</v>
      </c>
      <c r="E9" s="46" t="s">
        <v>986</v>
      </c>
      <c r="F9" s="46" t="s">
        <v>11540</v>
      </c>
      <c r="G9" s="46" t="s">
        <v>11541</v>
      </c>
      <c r="H9" s="46" t="s">
        <v>11542</v>
      </c>
      <c r="I9" s="46" t="s">
        <v>14</v>
      </c>
      <c r="J9" s="46" t="s">
        <v>1852</v>
      </c>
      <c r="K9" s="153"/>
    </row>
    <row r="10" spans="1:11" ht="43.2" x14ac:dyDescent="0.3">
      <c r="A10" s="46" t="s">
        <v>11543</v>
      </c>
      <c r="B10" s="46" t="s">
        <v>11501</v>
      </c>
      <c r="C10" s="46" t="s">
        <v>11544</v>
      </c>
      <c r="D10" s="46" t="s">
        <v>13</v>
      </c>
      <c r="E10" s="46" t="s">
        <v>986</v>
      </c>
      <c r="F10" s="46" t="s">
        <v>11545</v>
      </c>
      <c r="G10" s="46" t="s">
        <v>11546</v>
      </c>
      <c r="H10" s="46" t="s">
        <v>11547</v>
      </c>
      <c r="I10" s="46" t="s">
        <v>14</v>
      </c>
      <c r="J10" s="46" t="s">
        <v>1868</v>
      </c>
      <c r="K10" s="154" t="s">
        <v>12839</v>
      </c>
    </row>
    <row r="11" spans="1:11" x14ac:dyDescent="0.3">
      <c r="A11" s="46" t="s">
        <v>11548</v>
      </c>
      <c r="B11" s="46" t="s">
        <v>11501</v>
      </c>
      <c r="C11" s="46" t="s">
        <v>11549</v>
      </c>
      <c r="D11" s="46" t="s">
        <v>10</v>
      </c>
      <c r="E11" s="46" t="s">
        <v>986</v>
      </c>
      <c r="F11" s="46" t="s">
        <v>11550</v>
      </c>
      <c r="G11" s="46" t="s">
        <v>11551</v>
      </c>
      <c r="H11" s="46" t="s">
        <v>12905</v>
      </c>
      <c r="I11" s="46" t="s">
        <v>11552</v>
      </c>
      <c r="J11" s="46" t="s">
        <v>1868</v>
      </c>
      <c r="K11" s="155"/>
    </row>
    <row r="12" spans="1:11" x14ac:dyDescent="0.3">
      <c r="A12" s="46" t="s">
        <v>11553</v>
      </c>
      <c r="B12" s="46" t="s">
        <v>11501</v>
      </c>
      <c r="C12" s="46" t="s">
        <v>11554</v>
      </c>
      <c r="D12" s="46" t="s">
        <v>10</v>
      </c>
      <c r="E12" s="46" t="s">
        <v>986</v>
      </c>
      <c r="F12" s="46" t="s">
        <v>11555</v>
      </c>
      <c r="G12" s="46" t="s">
        <v>11551</v>
      </c>
      <c r="H12" s="46" t="s">
        <v>12906</v>
      </c>
      <c r="I12" s="46" t="s">
        <v>11556</v>
      </c>
      <c r="J12" s="46" t="s">
        <v>1868</v>
      </c>
      <c r="K12" s="153"/>
    </row>
    <row r="13" spans="1:11" x14ac:dyDescent="0.3">
      <c r="A13" s="46" t="s">
        <v>11557</v>
      </c>
      <c r="B13" s="46" t="s">
        <v>11501</v>
      </c>
      <c r="C13" s="46" t="s">
        <v>11558</v>
      </c>
      <c r="D13" s="46" t="s">
        <v>10</v>
      </c>
      <c r="E13" s="46" t="s">
        <v>986</v>
      </c>
      <c r="F13" s="46" t="s">
        <v>11559</v>
      </c>
      <c r="G13" s="46" t="s">
        <v>11551</v>
      </c>
      <c r="H13" s="46" t="s">
        <v>11560</v>
      </c>
      <c r="I13" s="46" t="s">
        <v>11561</v>
      </c>
      <c r="J13" s="46" t="s">
        <v>1852</v>
      </c>
      <c r="K13" s="153"/>
    </row>
    <row r="14" spans="1:11" x14ac:dyDescent="0.3">
      <c r="A14" s="46" t="s">
        <v>11562</v>
      </c>
      <c r="B14" s="46" t="s">
        <v>11501</v>
      </c>
      <c r="C14" s="46" t="s">
        <v>11563</v>
      </c>
      <c r="D14" s="46" t="s">
        <v>13</v>
      </c>
      <c r="E14" s="46" t="s">
        <v>986</v>
      </c>
      <c r="F14" s="46" t="s">
        <v>11564</v>
      </c>
      <c r="G14" s="46" t="s">
        <v>11565</v>
      </c>
      <c r="H14" s="46" t="s">
        <v>11566</v>
      </c>
      <c r="I14" s="46" t="s">
        <v>14</v>
      </c>
      <c r="J14" s="46" t="s">
        <v>1868</v>
      </c>
      <c r="K14" s="153"/>
    </row>
    <row r="15" spans="1:11" x14ac:dyDescent="0.3">
      <c r="A15" s="46" t="s">
        <v>11567</v>
      </c>
      <c r="B15" s="46" t="s">
        <v>11501</v>
      </c>
      <c r="C15" s="46" t="s">
        <v>11568</v>
      </c>
      <c r="D15" s="46" t="s">
        <v>13</v>
      </c>
      <c r="E15" s="46" t="s">
        <v>986</v>
      </c>
      <c r="F15" s="46" t="s">
        <v>11569</v>
      </c>
      <c r="G15" s="46" t="s">
        <v>11570</v>
      </c>
      <c r="H15" s="46" t="s">
        <v>11571</v>
      </c>
      <c r="I15" s="46" t="s">
        <v>14</v>
      </c>
      <c r="J15" s="46" t="s">
        <v>1868</v>
      </c>
      <c r="K15" s="153"/>
    </row>
    <row r="16" spans="1:11" x14ac:dyDescent="0.3">
      <c r="A16" s="46" t="s">
        <v>11572</v>
      </c>
      <c r="B16" s="46" t="s">
        <v>11501</v>
      </c>
      <c r="C16" s="46" t="s">
        <v>11573</v>
      </c>
      <c r="D16" s="46" t="s">
        <v>13</v>
      </c>
      <c r="E16" s="46" t="s">
        <v>986</v>
      </c>
      <c r="F16" s="46" t="s">
        <v>11574</v>
      </c>
      <c r="G16" s="46" t="s">
        <v>11575</v>
      </c>
      <c r="H16" s="46" t="s">
        <v>11576</v>
      </c>
      <c r="I16" s="46" t="s">
        <v>14</v>
      </c>
      <c r="J16" s="46" t="s">
        <v>1868</v>
      </c>
      <c r="K16" s="153"/>
    </row>
    <row r="17" spans="1:11" ht="43.2" x14ac:dyDescent="0.3">
      <c r="A17" s="46" t="s">
        <v>11577</v>
      </c>
      <c r="B17" s="46" t="s">
        <v>11501</v>
      </c>
      <c r="C17" s="46" t="s">
        <v>10235</v>
      </c>
      <c r="D17" s="46" t="s">
        <v>13</v>
      </c>
      <c r="E17" s="46" t="s">
        <v>11578</v>
      </c>
      <c r="F17" s="46" t="s">
        <v>11579</v>
      </c>
      <c r="G17" s="46" t="s">
        <v>8508</v>
      </c>
      <c r="H17" s="46" t="s">
        <v>11580</v>
      </c>
      <c r="I17" s="46" t="s">
        <v>14</v>
      </c>
      <c r="J17" s="46" t="s">
        <v>1868</v>
      </c>
      <c r="K17" s="154" t="s">
        <v>12840</v>
      </c>
    </row>
    <row r="18" spans="1:11" x14ac:dyDescent="0.3">
      <c r="A18" s="46" t="s">
        <v>11581</v>
      </c>
      <c r="B18" s="46" t="s">
        <v>11501</v>
      </c>
      <c r="C18" s="46" t="s">
        <v>11582</v>
      </c>
      <c r="D18" s="46" t="s">
        <v>10</v>
      </c>
      <c r="E18" s="46" t="s">
        <v>1420</v>
      </c>
      <c r="F18" s="46" t="s">
        <v>11583</v>
      </c>
      <c r="G18" s="46" t="s">
        <v>11584</v>
      </c>
      <c r="H18" s="46" t="s">
        <v>11360</v>
      </c>
      <c r="I18" s="46" t="s">
        <v>11585</v>
      </c>
      <c r="J18" s="46" t="s">
        <v>1852</v>
      </c>
      <c r="K18" s="153"/>
    </row>
    <row r="19" spans="1:11" x14ac:dyDescent="0.3">
      <c r="A19" s="46" t="s">
        <v>11586</v>
      </c>
      <c r="B19" s="46" t="s">
        <v>11501</v>
      </c>
      <c r="C19" s="46" t="s">
        <v>11587</v>
      </c>
      <c r="D19" s="46" t="s">
        <v>13</v>
      </c>
      <c r="E19" s="46" t="s">
        <v>986</v>
      </c>
      <c r="F19" s="46" t="s">
        <v>11588</v>
      </c>
      <c r="G19" s="46" t="s">
        <v>11551</v>
      </c>
      <c r="H19" s="46" t="s">
        <v>11589</v>
      </c>
      <c r="I19" s="46" t="s">
        <v>14</v>
      </c>
      <c r="J19" s="46" t="s">
        <v>1868</v>
      </c>
      <c r="K19" s="153"/>
    </row>
    <row r="20" spans="1:11" x14ac:dyDescent="0.3">
      <c r="A20" s="89" t="s">
        <v>11590</v>
      </c>
      <c r="B20" s="89" t="s">
        <v>11591</v>
      </c>
      <c r="C20" s="89" t="s">
        <v>11592</v>
      </c>
      <c r="D20" s="89" t="s">
        <v>13</v>
      </c>
      <c r="E20" s="89" t="s">
        <v>55</v>
      </c>
      <c r="F20" s="89" t="s">
        <v>11593</v>
      </c>
      <c r="G20" s="89" t="s">
        <v>11594</v>
      </c>
      <c r="H20" s="89" t="s">
        <v>11595</v>
      </c>
      <c r="I20" s="89" t="s">
        <v>11596</v>
      </c>
      <c r="J20" s="89" t="s">
        <v>1852</v>
      </c>
      <c r="K20" s="153"/>
    </row>
    <row r="21" spans="1:11" x14ac:dyDescent="0.3">
      <c r="A21" s="89" t="s">
        <v>11597</v>
      </c>
      <c r="B21" s="89" t="s">
        <v>11591</v>
      </c>
      <c r="C21" s="89" t="s">
        <v>11598</v>
      </c>
      <c r="D21" s="89" t="s">
        <v>13</v>
      </c>
      <c r="E21" s="89" t="s">
        <v>55</v>
      </c>
      <c r="F21" s="89" t="s">
        <v>11599</v>
      </c>
      <c r="G21" s="89" t="s">
        <v>11594</v>
      </c>
      <c r="H21" s="89" t="s">
        <v>11600</v>
      </c>
      <c r="I21" s="89" t="s">
        <v>14</v>
      </c>
      <c r="J21" s="89" t="s">
        <v>1852</v>
      </c>
      <c r="K21" s="153"/>
    </row>
    <row r="22" spans="1:11" x14ac:dyDescent="0.3">
      <c r="A22" s="89" t="s">
        <v>11601</v>
      </c>
      <c r="B22" s="89" t="s">
        <v>11591</v>
      </c>
      <c r="C22" s="89" t="s">
        <v>11602</v>
      </c>
      <c r="D22" s="89" t="s">
        <v>13</v>
      </c>
      <c r="E22" s="89" t="s">
        <v>55</v>
      </c>
      <c r="F22" s="89" t="s">
        <v>11603</v>
      </c>
      <c r="G22" s="89" t="s">
        <v>11594</v>
      </c>
      <c r="H22" s="89" t="s">
        <v>11604</v>
      </c>
      <c r="I22" s="89" t="s">
        <v>11605</v>
      </c>
      <c r="J22" s="89" t="s">
        <v>1852</v>
      </c>
      <c r="K22" s="153"/>
    </row>
    <row r="23" spans="1:11" x14ac:dyDescent="0.3">
      <c r="A23" s="89" t="s">
        <v>11606</v>
      </c>
      <c r="B23" s="89" t="s">
        <v>11591</v>
      </c>
      <c r="C23" s="89" t="s">
        <v>11607</v>
      </c>
      <c r="D23" s="89" t="s">
        <v>13</v>
      </c>
      <c r="E23" s="89" t="s">
        <v>55</v>
      </c>
      <c r="F23" s="89" t="s">
        <v>11608</v>
      </c>
      <c r="G23" s="89" t="s">
        <v>11594</v>
      </c>
      <c r="H23" s="89" t="s">
        <v>11609</v>
      </c>
      <c r="I23" s="89" t="s">
        <v>14</v>
      </c>
      <c r="J23" s="89" t="s">
        <v>1852</v>
      </c>
      <c r="K23" s="153"/>
    </row>
    <row r="24" spans="1:11" x14ac:dyDescent="0.3">
      <c r="A24" s="89" t="s">
        <v>11610</v>
      </c>
      <c r="B24" s="89" t="s">
        <v>11591</v>
      </c>
      <c r="C24" s="89" t="s">
        <v>11611</v>
      </c>
      <c r="D24" s="89" t="s">
        <v>13</v>
      </c>
      <c r="E24" s="89" t="s">
        <v>55</v>
      </c>
      <c r="F24" s="89" t="s">
        <v>11612</v>
      </c>
      <c r="G24" s="89" t="s">
        <v>11613</v>
      </c>
      <c r="H24" s="89" t="s">
        <v>11614</v>
      </c>
      <c r="I24" s="89" t="s">
        <v>14</v>
      </c>
      <c r="J24" s="89" t="s">
        <v>1852</v>
      </c>
      <c r="K24" s="153"/>
    </row>
    <row r="25" spans="1:11" x14ac:dyDescent="0.3">
      <c r="A25" s="89" t="s">
        <v>11615</v>
      </c>
      <c r="B25" s="89" t="s">
        <v>11591</v>
      </c>
      <c r="C25" s="89" t="s">
        <v>11616</v>
      </c>
      <c r="D25" s="89" t="s">
        <v>13</v>
      </c>
      <c r="E25" s="89" t="s">
        <v>11617</v>
      </c>
      <c r="F25" s="89" t="s">
        <v>11618</v>
      </c>
      <c r="G25" s="89" t="s">
        <v>10826</v>
      </c>
      <c r="H25" s="89" t="s">
        <v>11619</v>
      </c>
      <c r="I25" s="89" t="s">
        <v>14</v>
      </c>
      <c r="J25" s="89" t="s">
        <v>1868</v>
      </c>
      <c r="K25" s="153"/>
    </row>
    <row r="26" spans="1:11" x14ac:dyDescent="0.3">
      <c r="A26" s="89" t="s">
        <v>11620</v>
      </c>
      <c r="B26" s="89" t="s">
        <v>11591</v>
      </c>
      <c r="C26" s="89" t="s">
        <v>11621</v>
      </c>
      <c r="D26" s="89" t="s">
        <v>13</v>
      </c>
      <c r="E26" s="89" t="s">
        <v>55</v>
      </c>
      <c r="F26" s="89" t="s">
        <v>11622</v>
      </c>
      <c r="G26" s="89" t="s">
        <v>11594</v>
      </c>
      <c r="H26" s="89" t="s">
        <v>11623</v>
      </c>
      <c r="I26" s="89" t="s">
        <v>11624</v>
      </c>
      <c r="J26" s="89" t="s">
        <v>1852</v>
      </c>
      <c r="K26" s="153"/>
    </row>
    <row r="27" spans="1:11" x14ac:dyDescent="0.3">
      <c r="A27" s="89" t="s">
        <v>11625</v>
      </c>
      <c r="B27" s="89" t="s">
        <v>11591</v>
      </c>
      <c r="C27" s="89" t="s">
        <v>11626</v>
      </c>
      <c r="D27" s="89" t="s">
        <v>13</v>
      </c>
      <c r="E27" s="89" t="s">
        <v>55</v>
      </c>
      <c r="F27" s="89" t="s">
        <v>11627</v>
      </c>
      <c r="G27" s="89" t="s">
        <v>11594</v>
      </c>
      <c r="H27" s="89" t="s">
        <v>11628</v>
      </c>
      <c r="I27" s="89" t="s">
        <v>14</v>
      </c>
      <c r="J27" s="89" t="s">
        <v>1852</v>
      </c>
      <c r="K27" s="153"/>
    </row>
    <row r="28" spans="1:11" x14ac:dyDescent="0.3">
      <c r="A28" s="89" t="s">
        <v>11629</v>
      </c>
      <c r="B28" s="89" t="s">
        <v>11591</v>
      </c>
      <c r="C28" s="89" t="s">
        <v>11630</v>
      </c>
      <c r="D28" s="89" t="s">
        <v>13</v>
      </c>
      <c r="E28" s="89" t="s">
        <v>55</v>
      </c>
      <c r="F28" s="89" t="s">
        <v>11631</v>
      </c>
      <c r="G28" s="89" t="s">
        <v>11594</v>
      </c>
      <c r="H28" s="89" t="s">
        <v>11632</v>
      </c>
      <c r="I28" s="89" t="s">
        <v>14</v>
      </c>
      <c r="J28" s="89" t="s">
        <v>1852</v>
      </c>
      <c r="K28" s="153"/>
    </row>
    <row r="29" spans="1:11" x14ac:dyDescent="0.3">
      <c r="A29" s="89" t="s">
        <v>11633</v>
      </c>
      <c r="B29" s="89" t="s">
        <v>11591</v>
      </c>
      <c r="C29" s="89" t="s">
        <v>11634</v>
      </c>
      <c r="D29" s="89" t="s">
        <v>13</v>
      </c>
      <c r="E29" s="89" t="s">
        <v>55</v>
      </c>
      <c r="F29" s="89" t="s">
        <v>11635</v>
      </c>
      <c r="G29" s="89" t="s">
        <v>11636</v>
      </c>
      <c r="H29" s="89" t="s">
        <v>11637</v>
      </c>
      <c r="I29" s="89" t="s">
        <v>11638</v>
      </c>
      <c r="J29" s="89" t="s">
        <v>1868</v>
      </c>
      <c r="K29" s="153"/>
    </row>
    <row r="30" spans="1:11" ht="43.2" x14ac:dyDescent="0.3">
      <c r="A30" s="89" t="s">
        <v>11639</v>
      </c>
      <c r="B30" s="89" t="s">
        <v>11591</v>
      </c>
      <c r="C30" s="89" t="s">
        <v>11640</v>
      </c>
      <c r="D30" s="89" t="s">
        <v>13</v>
      </c>
      <c r="E30" s="89" t="s">
        <v>55</v>
      </c>
      <c r="F30" s="89" t="s">
        <v>11641</v>
      </c>
      <c r="G30" s="89" t="s">
        <v>11035</v>
      </c>
      <c r="H30" s="89" t="s">
        <v>11642</v>
      </c>
      <c r="I30" s="89" t="s">
        <v>14</v>
      </c>
      <c r="J30" s="89" t="s">
        <v>1868</v>
      </c>
      <c r="K30" s="154" t="s">
        <v>12841</v>
      </c>
    </row>
    <row r="31" spans="1:11" x14ac:dyDescent="0.3">
      <c r="A31" s="89" t="s">
        <v>11643</v>
      </c>
      <c r="B31" s="89" t="s">
        <v>11591</v>
      </c>
      <c r="C31" s="89" t="s">
        <v>11644</v>
      </c>
      <c r="D31" s="89" t="s">
        <v>13</v>
      </c>
      <c r="E31" s="89" t="s">
        <v>55</v>
      </c>
      <c r="F31" s="89" t="s">
        <v>11645</v>
      </c>
      <c r="G31" s="89" t="s">
        <v>11646</v>
      </c>
      <c r="H31" s="89" t="s">
        <v>11647</v>
      </c>
      <c r="I31" s="89" t="s">
        <v>11648</v>
      </c>
      <c r="J31" s="89" t="s">
        <v>1852</v>
      </c>
      <c r="K31" s="153"/>
    </row>
    <row r="32" spans="1:11" x14ac:dyDescent="0.3">
      <c r="A32" s="89" t="s">
        <v>11649</v>
      </c>
      <c r="B32" s="89" t="s">
        <v>11591</v>
      </c>
      <c r="C32" s="89" t="s">
        <v>11650</v>
      </c>
      <c r="D32" s="89" t="s">
        <v>13</v>
      </c>
      <c r="E32" s="89" t="s">
        <v>11651</v>
      </c>
      <c r="F32" s="89" t="s">
        <v>11652</v>
      </c>
      <c r="G32" s="89" t="s">
        <v>11653</v>
      </c>
      <c r="H32" s="89" t="s">
        <v>11654</v>
      </c>
      <c r="I32" s="89" t="s">
        <v>14</v>
      </c>
      <c r="J32" s="89" t="s">
        <v>1873</v>
      </c>
      <c r="K32" s="153"/>
    </row>
    <row r="33" spans="1:11" x14ac:dyDescent="0.3">
      <c r="A33" s="89" t="s">
        <v>11655</v>
      </c>
      <c r="B33" s="89" t="s">
        <v>11591</v>
      </c>
      <c r="C33" s="89" t="s">
        <v>11656</v>
      </c>
      <c r="D33" s="89" t="s">
        <v>13</v>
      </c>
      <c r="E33" s="89" t="s">
        <v>55</v>
      </c>
      <c r="F33" s="89" t="s">
        <v>11657</v>
      </c>
      <c r="G33" s="89" t="s">
        <v>11658</v>
      </c>
      <c r="H33" s="89" t="s">
        <v>11659</v>
      </c>
      <c r="I33" s="89" t="s">
        <v>11660</v>
      </c>
      <c r="J33" s="89" t="s">
        <v>1868</v>
      </c>
      <c r="K33" s="153"/>
    </row>
    <row r="34" spans="1:11" x14ac:dyDescent="0.3">
      <c r="A34" s="89" t="s">
        <v>11661</v>
      </c>
      <c r="B34" s="89" t="s">
        <v>11591</v>
      </c>
      <c r="C34" s="89" t="s">
        <v>11662</v>
      </c>
      <c r="D34" s="89" t="s">
        <v>13</v>
      </c>
      <c r="E34" s="89" t="s">
        <v>55</v>
      </c>
      <c r="F34" s="89" t="s">
        <v>11663</v>
      </c>
      <c r="G34" s="89" t="s">
        <v>11664</v>
      </c>
      <c r="H34" s="89" t="s">
        <v>11665</v>
      </c>
      <c r="I34" s="89" t="s">
        <v>14</v>
      </c>
      <c r="J34" s="89" t="s">
        <v>1852</v>
      </c>
      <c r="K34" s="153"/>
    </row>
    <row r="35" spans="1:11" x14ac:dyDescent="0.3">
      <c r="A35" s="89" t="s">
        <v>11666</v>
      </c>
      <c r="B35" s="89" t="s">
        <v>11591</v>
      </c>
      <c r="C35" s="89" t="s">
        <v>11667</v>
      </c>
      <c r="D35" s="89" t="s">
        <v>13</v>
      </c>
      <c r="E35" s="89" t="s">
        <v>55</v>
      </c>
      <c r="F35" s="89" t="s">
        <v>11668</v>
      </c>
      <c r="G35" s="89" t="s">
        <v>11669</v>
      </c>
      <c r="H35" s="89" t="s">
        <v>11670</v>
      </c>
      <c r="I35" s="89" t="s">
        <v>14</v>
      </c>
      <c r="J35" s="89" t="s">
        <v>1868</v>
      </c>
      <c r="K35" s="153"/>
    </row>
    <row r="36" spans="1:11" x14ac:dyDescent="0.3">
      <c r="A36" s="89" t="s">
        <v>11671</v>
      </c>
      <c r="B36" s="89" t="s">
        <v>11591</v>
      </c>
      <c r="C36" s="89" t="s">
        <v>11672</v>
      </c>
      <c r="D36" s="89" t="s">
        <v>21</v>
      </c>
      <c r="E36" s="89" t="s">
        <v>55</v>
      </c>
      <c r="F36" s="89" t="s">
        <v>11673</v>
      </c>
      <c r="G36" s="89" t="s">
        <v>11674</v>
      </c>
      <c r="H36" s="89" t="s">
        <v>11675</v>
      </c>
      <c r="I36" s="89" t="s">
        <v>14</v>
      </c>
      <c r="J36" s="89" t="s">
        <v>1873</v>
      </c>
      <c r="K36" s="153"/>
    </row>
    <row r="37" spans="1:11" x14ac:dyDescent="0.3">
      <c r="A37" s="89" t="s">
        <v>11676</v>
      </c>
      <c r="B37" s="89" t="s">
        <v>11591</v>
      </c>
      <c r="C37" s="89" t="s">
        <v>81</v>
      </c>
      <c r="D37" s="89" t="s">
        <v>13</v>
      </c>
      <c r="E37" s="89" t="s">
        <v>11677</v>
      </c>
      <c r="F37" s="89" t="s">
        <v>11678</v>
      </c>
      <c r="G37" s="89" t="s">
        <v>10917</v>
      </c>
      <c r="H37" s="89" t="s">
        <v>11679</v>
      </c>
      <c r="I37" s="89" t="s">
        <v>14</v>
      </c>
      <c r="J37" s="89" t="s">
        <v>1868</v>
      </c>
      <c r="K37" s="153"/>
    </row>
    <row r="38" spans="1:11" x14ac:dyDescent="0.3">
      <c r="A38" s="47" t="s">
        <v>11680</v>
      </c>
      <c r="B38" s="47" t="s">
        <v>11681</v>
      </c>
      <c r="C38" s="47" t="s">
        <v>11682</v>
      </c>
      <c r="D38" s="47" t="s">
        <v>13</v>
      </c>
      <c r="E38" s="47" t="s">
        <v>746</v>
      </c>
      <c r="F38" s="47" t="s">
        <v>11683</v>
      </c>
      <c r="G38" s="47" t="s">
        <v>11684</v>
      </c>
      <c r="H38" s="47" t="s">
        <v>11685</v>
      </c>
      <c r="I38" s="47" t="s">
        <v>14</v>
      </c>
      <c r="J38" s="47" t="s">
        <v>1852</v>
      </c>
      <c r="K38" s="153"/>
    </row>
    <row r="39" spans="1:11" x14ac:dyDescent="0.3">
      <c r="A39" s="47" t="s">
        <v>11686</v>
      </c>
      <c r="B39" s="47" t="s">
        <v>11681</v>
      </c>
      <c r="C39" s="47" t="s">
        <v>11687</v>
      </c>
      <c r="D39" s="47" t="s">
        <v>13</v>
      </c>
      <c r="E39" s="47" t="s">
        <v>746</v>
      </c>
      <c r="F39" s="47" t="s">
        <v>11688</v>
      </c>
      <c r="G39" s="47" t="s">
        <v>11689</v>
      </c>
      <c r="H39" s="47" t="s">
        <v>11690</v>
      </c>
      <c r="I39" s="47" t="s">
        <v>14</v>
      </c>
      <c r="J39" s="47" t="s">
        <v>1852</v>
      </c>
      <c r="K39" s="153"/>
    </row>
    <row r="40" spans="1:11" x14ac:dyDescent="0.3">
      <c r="A40" s="47" t="s">
        <v>11691</v>
      </c>
      <c r="B40" s="47" t="s">
        <v>11681</v>
      </c>
      <c r="C40" s="47" t="s">
        <v>11692</v>
      </c>
      <c r="D40" s="47" t="s">
        <v>13</v>
      </c>
      <c r="E40" s="47" t="s">
        <v>746</v>
      </c>
      <c r="F40" s="47" t="s">
        <v>11693</v>
      </c>
      <c r="G40" s="47" t="s">
        <v>11694</v>
      </c>
      <c r="H40" s="47" t="s">
        <v>11695</v>
      </c>
      <c r="I40" s="47" t="s">
        <v>14</v>
      </c>
      <c r="J40" s="47" t="s">
        <v>1852</v>
      </c>
      <c r="K40" s="153"/>
    </row>
    <row r="41" spans="1:11" x14ac:dyDescent="0.3">
      <c r="A41" s="47" t="s">
        <v>11696</v>
      </c>
      <c r="B41" s="47" t="s">
        <v>11681</v>
      </c>
      <c r="C41" s="47" t="s">
        <v>11697</v>
      </c>
      <c r="D41" s="47" t="s">
        <v>13</v>
      </c>
      <c r="E41" s="47" t="s">
        <v>746</v>
      </c>
      <c r="F41" s="47" t="s">
        <v>11698</v>
      </c>
      <c r="G41" s="47" t="s">
        <v>11699</v>
      </c>
      <c r="H41" s="47" t="s">
        <v>11700</v>
      </c>
      <c r="I41" s="47" t="s">
        <v>14</v>
      </c>
      <c r="J41" s="47" t="s">
        <v>1852</v>
      </c>
      <c r="K41" s="153"/>
    </row>
    <row r="42" spans="1:11" x14ac:dyDescent="0.3">
      <c r="A42" s="47" t="s">
        <v>11701</v>
      </c>
      <c r="B42" s="47" t="s">
        <v>11681</v>
      </c>
      <c r="C42" s="47" t="s">
        <v>11702</v>
      </c>
      <c r="D42" s="47" t="s">
        <v>21</v>
      </c>
      <c r="E42" s="47" t="s">
        <v>11703</v>
      </c>
      <c r="F42" s="47" t="s">
        <v>11704</v>
      </c>
      <c r="G42" s="47" t="s">
        <v>11705</v>
      </c>
      <c r="H42" s="47" t="s">
        <v>11706</v>
      </c>
      <c r="I42" s="47" t="s">
        <v>14</v>
      </c>
      <c r="J42" s="47" t="s">
        <v>1868</v>
      </c>
      <c r="K42" s="153"/>
    </row>
    <row r="43" spans="1:11" x14ac:dyDescent="0.3">
      <c r="A43" s="47" t="s">
        <v>11707</v>
      </c>
      <c r="B43" s="47" t="s">
        <v>11681</v>
      </c>
      <c r="C43" s="47" t="s">
        <v>11708</v>
      </c>
      <c r="D43" s="47" t="s">
        <v>13</v>
      </c>
      <c r="E43" s="47" t="s">
        <v>746</v>
      </c>
      <c r="F43" s="47" t="s">
        <v>11709</v>
      </c>
      <c r="G43" s="47" t="s">
        <v>11705</v>
      </c>
      <c r="H43" s="47" t="s">
        <v>11710</v>
      </c>
      <c r="I43" s="47" t="s">
        <v>14</v>
      </c>
      <c r="J43" s="47" t="s">
        <v>1852</v>
      </c>
      <c r="K43" s="153"/>
    </row>
    <row r="44" spans="1:11" x14ac:dyDescent="0.3">
      <c r="A44" s="47" t="s">
        <v>11711</v>
      </c>
      <c r="B44" s="47" t="s">
        <v>11681</v>
      </c>
      <c r="C44" s="47" t="s">
        <v>11712</v>
      </c>
      <c r="D44" s="47" t="s">
        <v>13</v>
      </c>
      <c r="E44" s="47" t="s">
        <v>746</v>
      </c>
      <c r="F44" s="47" t="s">
        <v>11713</v>
      </c>
      <c r="G44" s="47" t="s">
        <v>10826</v>
      </c>
      <c r="H44" s="47" t="s">
        <v>11714</v>
      </c>
      <c r="I44" s="47" t="s">
        <v>14</v>
      </c>
      <c r="J44" s="47" t="s">
        <v>1868</v>
      </c>
      <c r="K44" s="153"/>
    </row>
    <row r="45" spans="1:11" x14ac:dyDescent="0.3">
      <c r="A45" s="47" t="s">
        <v>11715</v>
      </c>
      <c r="B45" s="47" t="s">
        <v>11681</v>
      </c>
      <c r="C45" s="47" t="s">
        <v>11716</v>
      </c>
      <c r="D45" s="47" t="s">
        <v>13</v>
      </c>
      <c r="E45" s="47" t="s">
        <v>11717</v>
      </c>
      <c r="F45" s="47" t="s">
        <v>11718</v>
      </c>
      <c r="G45" s="47" t="s">
        <v>11719</v>
      </c>
      <c r="H45" s="47" t="s">
        <v>11720</v>
      </c>
      <c r="I45" s="47" t="s">
        <v>14</v>
      </c>
      <c r="J45" s="47" t="s">
        <v>1868</v>
      </c>
      <c r="K45" s="153"/>
    </row>
    <row r="46" spans="1:11" x14ac:dyDescent="0.3">
      <c r="A46" s="47" t="s">
        <v>11721</v>
      </c>
      <c r="B46" s="47" t="s">
        <v>11681</v>
      </c>
      <c r="C46" s="47" t="s">
        <v>11722</v>
      </c>
      <c r="D46" s="47" t="s">
        <v>13</v>
      </c>
      <c r="E46" s="47" t="s">
        <v>746</v>
      </c>
      <c r="F46" s="47" t="s">
        <v>11723</v>
      </c>
      <c r="G46" s="47" t="s">
        <v>11724</v>
      </c>
      <c r="H46" s="47" t="s">
        <v>11725</v>
      </c>
      <c r="I46" s="47" t="s">
        <v>14</v>
      </c>
      <c r="J46" s="47" t="s">
        <v>1852</v>
      </c>
      <c r="K46" s="153"/>
    </row>
    <row r="47" spans="1:11" x14ac:dyDescent="0.3">
      <c r="A47" s="47" t="s">
        <v>11726</v>
      </c>
      <c r="B47" s="47" t="s">
        <v>11681</v>
      </c>
      <c r="C47" s="47" t="s">
        <v>11727</v>
      </c>
      <c r="D47" s="47" t="s">
        <v>13</v>
      </c>
      <c r="E47" s="47" t="s">
        <v>746</v>
      </c>
      <c r="F47" s="47" t="s">
        <v>11728</v>
      </c>
      <c r="G47" s="47" t="s">
        <v>11729</v>
      </c>
      <c r="H47" s="47" t="s">
        <v>11730</v>
      </c>
      <c r="I47" s="47" t="s">
        <v>14</v>
      </c>
      <c r="J47" s="47" t="s">
        <v>1868</v>
      </c>
      <c r="K47" s="153"/>
    </row>
    <row r="48" spans="1:11" x14ac:dyDescent="0.3">
      <c r="A48" s="47" t="s">
        <v>11731</v>
      </c>
      <c r="B48" s="47" t="s">
        <v>11681</v>
      </c>
      <c r="C48" s="47" t="s">
        <v>11732</v>
      </c>
      <c r="D48" s="47" t="s">
        <v>13</v>
      </c>
      <c r="E48" s="47" t="s">
        <v>11733</v>
      </c>
      <c r="F48" s="47" t="s">
        <v>11734</v>
      </c>
      <c r="G48" s="47" t="s">
        <v>11735</v>
      </c>
      <c r="H48" s="47" t="s">
        <v>11736</v>
      </c>
      <c r="I48" s="47" t="s">
        <v>14</v>
      </c>
      <c r="J48" s="47" t="s">
        <v>1873</v>
      </c>
      <c r="K48" s="153"/>
    </row>
    <row r="49" spans="1:11" x14ac:dyDescent="0.3">
      <c r="A49" s="47" t="s">
        <v>11737</v>
      </c>
      <c r="B49" s="47" t="s">
        <v>11681</v>
      </c>
      <c r="C49" s="47" t="s">
        <v>11738</v>
      </c>
      <c r="D49" s="47" t="s">
        <v>21</v>
      </c>
      <c r="E49" s="47" t="s">
        <v>746</v>
      </c>
      <c r="F49" s="47" t="s">
        <v>11739</v>
      </c>
      <c r="G49" s="47" t="s">
        <v>11740</v>
      </c>
      <c r="H49" s="47" t="s">
        <v>11741</v>
      </c>
      <c r="I49" s="47" t="s">
        <v>14</v>
      </c>
      <c r="J49" s="47" t="s">
        <v>1868</v>
      </c>
      <c r="K49" s="153"/>
    </row>
    <row r="50" spans="1:11" x14ac:dyDescent="0.3">
      <c r="A50" s="47" t="s">
        <v>11742</v>
      </c>
      <c r="B50" s="47" t="s">
        <v>11681</v>
      </c>
      <c r="C50" s="47" t="s">
        <v>11743</v>
      </c>
      <c r="D50" s="47" t="s">
        <v>21</v>
      </c>
      <c r="E50" s="47" t="s">
        <v>11744</v>
      </c>
      <c r="F50" s="47" t="s">
        <v>11302</v>
      </c>
      <c r="G50" s="47" t="s">
        <v>11745</v>
      </c>
      <c r="H50" s="47" t="s">
        <v>11746</v>
      </c>
      <c r="I50" s="47" t="s">
        <v>14</v>
      </c>
      <c r="J50" s="47" t="s">
        <v>1852</v>
      </c>
      <c r="K50" s="153"/>
    </row>
    <row r="51" spans="1:11" x14ac:dyDescent="0.3">
      <c r="A51" s="47" t="s">
        <v>11747</v>
      </c>
      <c r="B51" s="47" t="s">
        <v>11681</v>
      </c>
      <c r="C51" s="47" t="s">
        <v>11748</v>
      </c>
      <c r="D51" s="47" t="s">
        <v>21</v>
      </c>
      <c r="E51" s="47" t="s">
        <v>11749</v>
      </c>
      <c r="F51" s="47" t="s">
        <v>11750</v>
      </c>
      <c r="G51" s="47" t="s">
        <v>11751</v>
      </c>
      <c r="H51" s="47" t="s">
        <v>11309</v>
      </c>
      <c r="I51" s="47" t="s">
        <v>14</v>
      </c>
      <c r="J51" s="47" t="s">
        <v>1868</v>
      </c>
      <c r="K51" s="153"/>
    </row>
    <row r="52" spans="1:11" x14ac:dyDescent="0.3">
      <c r="A52" s="47" t="s">
        <v>11752</v>
      </c>
      <c r="B52" s="47" t="s">
        <v>11681</v>
      </c>
      <c r="C52" s="47" t="s">
        <v>11753</v>
      </c>
      <c r="D52" s="47" t="s">
        <v>13</v>
      </c>
      <c r="E52" s="47" t="s">
        <v>746</v>
      </c>
      <c r="F52" s="47" t="s">
        <v>11754</v>
      </c>
      <c r="G52" s="47" t="s">
        <v>11755</v>
      </c>
      <c r="H52" s="47" t="s">
        <v>11756</v>
      </c>
      <c r="I52" s="47" t="s">
        <v>14</v>
      </c>
      <c r="J52" s="47" t="s">
        <v>1852</v>
      </c>
      <c r="K52" s="153"/>
    </row>
    <row r="53" spans="1:11" x14ac:dyDescent="0.3">
      <c r="A53" s="47" t="s">
        <v>11757</v>
      </c>
      <c r="B53" s="47" t="s">
        <v>11681</v>
      </c>
      <c r="C53" s="47" t="s">
        <v>11758</v>
      </c>
      <c r="D53" s="47" t="s">
        <v>13</v>
      </c>
      <c r="E53" s="47" t="s">
        <v>746</v>
      </c>
      <c r="F53" s="47" t="s">
        <v>11759</v>
      </c>
      <c r="G53" s="47" t="s">
        <v>11760</v>
      </c>
      <c r="H53" s="47" t="s">
        <v>11761</v>
      </c>
      <c r="I53" s="47" t="s">
        <v>14</v>
      </c>
      <c r="J53" s="47" t="s">
        <v>1868</v>
      </c>
      <c r="K53" s="153"/>
    </row>
    <row r="54" spans="1:11" x14ac:dyDescent="0.3">
      <c r="A54" s="40" t="s">
        <v>11762</v>
      </c>
      <c r="B54" s="40" t="s">
        <v>11763</v>
      </c>
      <c r="C54" s="40" t="s">
        <v>11764</v>
      </c>
      <c r="D54" s="40" t="s">
        <v>13</v>
      </c>
      <c r="E54" s="40" t="s">
        <v>986</v>
      </c>
      <c r="F54" s="40" t="s">
        <v>11765</v>
      </c>
      <c r="G54" s="40" t="s">
        <v>11766</v>
      </c>
      <c r="H54" s="40" t="s">
        <v>11767</v>
      </c>
      <c r="I54" s="40" t="s">
        <v>14</v>
      </c>
      <c r="J54" s="40" t="s">
        <v>1852</v>
      </c>
      <c r="K54" s="153"/>
    </row>
    <row r="55" spans="1:11" x14ac:dyDescent="0.3">
      <c r="A55" s="40" t="s">
        <v>11768</v>
      </c>
      <c r="B55" s="40" t="s">
        <v>11763</v>
      </c>
      <c r="C55" s="40" t="s">
        <v>11769</v>
      </c>
      <c r="D55" s="40" t="s">
        <v>13</v>
      </c>
      <c r="E55" s="40" t="s">
        <v>986</v>
      </c>
      <c r="F55" s="40" t="s">
        <v>11765</v>
      </c>
      <c r="G55" s="40" t="s">
        <v>11770</v>
      </c>
      <c r="H55" s="40" t="s">
        <v>11771</v>
      </c>
      <c r="I55" s="40" t="s">
        <v>14</v>
      </c>
      <c r="J55" s="40" t="s">
        <v>1852</v>
      </c>
      <c r="K55" s="153"/>
    </row>
    <row r="56" spans="1:11" x14ac:dyDescent="0.3">
      <c r="A56" s="40" t="s">
        <v>11772</v>
      </c>
      <c r="B56" s="40" t="s">
        <v>11763</v>
      </c>
      <c r="C56" s="40" t="s">
        <v>11773</v>
      </c>
      <c r="D56" s="40" t="s">
        <v>13</v>
      </c>
      <c r="E56" s="40" t="s">
        <v>986</v>
      </c>
      <c r="F56" s="40" t="s">
        <v>11765</v>
      </c>
      <c r="G56" s="40" t="s">
        <v>11774</v>
      </c>
      <c r="H56" s="40" t="s">
        <v>11775</v>
      </c>
      <c r="I56" s="40" t="s">
        <v>14</v>
      </c>
      <c r="J56" s="40" t="s">
        <v>1852</v>
      </c>
      <c r="K56" s="153"/>
    </row>
    <row r="57" spans="1:11" x14ac:dyDescent="0.3">
      <c r="A57" s="40" t="s">
        <v>11776</v>
      </c>
      <c r="B57" s="40" t="s">
        <v>11763</v>
      </c>
      <c r="C57" s="40" t="s">
        <v>11777</v>
      </c>
      <c r="D57" s="40" t="s">
        <v>10</v>
      </c>
      <c r="E57" s="40" t="s">
        <v>986</v>
      </c>
      <c r="F57" s="40" t="s">
        <v>11778</v>
      </c>
      <c r="G57" s="40" t="s">
        <v>11779</v>
      </c>
      <c r="H57" s="40" t="s">
        <v>11780</v>
      </c>
      <c r="I57" s="40" t="s">
        <v>11781</v>
      </c>
      <c r="J57" s="40" t="s">
        <v>1852</v>
      </c>
      <c r="K57" s="153"/>
    </row>
    <row r="58" spans="1:11" x14ac:dyDescent="0.3">
      <c r="A58" s="40" t="s">
        <v>11782</v>
      </c>
      <c r="B58" s="40" t="s">
        <v>11763</v>
      </c>
      <c r="C58" s="40" t="s">
        <v>11783</v>
      </c>
      <c r="D58" s="40" t="s">
        <v>10</v>
      </c>
      <c r="E58" s="40" t="s">
        <v>986</v>
      </c>
      <c r="F58" s="40" t="s">
        <v>11784</v>
      </c>
      <c r="G58" s="40" t="s">
        <v>11785</v>
      </c>
      <c r="H58" s="40" t="s">
        <v>11786</v>
      </c>
      <c r="I58" s="40" t="s">
        <v>11787</v>
      </c>
      <c r="J58" s="40" t="s">
        <v>1852</v>
      </c>
      <c r="K58" s="153"/>
    </row>
    <row r="59" spans="1:11" x14ac:dyDescent="0.3">
      <c r="A59" s="40" t="s">
        <v>11788</v>
      </c>
      <c r="B59" s="40" t="s">
        <v>11763</v>
      </c>
      <c r="C59" s="40" t="s">
        <v>11789</v>
      </c>
      <c r="D59" s="40" t="s">
        <v>13</v>
      </c>
      <c r="E59" s="40" t="s">
        <v>986</v>
      </c>
      <c r="F59" s="40" t="s">
        <v>11784</v>
      </c>
      <c r="G59" s="40" t="s">
        <v>11790</v>
      </c>
      <c r="H59" s="40" t="s">
        <v>11791</v>
      </c>
      <c r="I59" s="40" t="s">
        <v>14</v>
      </c>
      <c r="J59" s="40" t="s">
        <v>1868</v>
      </c>
      <c r="K59" s="153"/>
    </row>
    <row r="60" spans="1:11" x14ac:dyDescent="0.3">
      <c r="A60" s="40" t="s">
        <v>11792</v>
      </c>
      <c r="B60" s="40" t="s">
        <v>11763</v>
      </c>
      <c r="C60" s="40" t="s">
        <v>11793</v>
      </c>
      <c r="D60" s="40" t="s">
        <v>13</v>
      </c>
      <c r="E60" s="40" t="s">
        <v>11578</v>
      </c>
      <c r="F60" s="40" t="s">
        <v>11794</v>
      </c>
      <c r="G60" s="40" t="s">
        <v>8508</v>
      </c>
      <c r="H60" s="40" t="s">
        <v>11795</v>
      </c>
      <c r="I60" s="40" t="s">
        <v>14</v>
      </c>
      <c r="J60" s="40" t="s">
        <v>1868</v>
      </c>
      <c r="K60" s="153"/>
    </row>
    <row r="61" spans="1:11" x14ac:dyDescent="0.3">
      <c r="A61" s="40" t="s">
        <v>11796</v>
      </c>
      <c r="B61" s="40" t="s">
        <v>11763</v>
      </c>
      <c r="C61" s="40" t="s">
        <v>11797</v>
      </c>
      <c r="D61" s="40" t="s">
        <v>13</v>
      </c>
      <c r="E61" s="40" t="s">
        <v>986</v>
      </c>
      <c r="F61" s="40" t="s">
        <v>11798</v>
      </c>
      <c r="G61" s="40" t="s">
        <v>11799</v>
      </c>
      <c r="H61" s="40" t="s">
        <v>11800</v>
      </c>
      <c r="I61" s="40" t="s">
        <v>14</v>
      </c>
      <c r="J61" s="40" t="s">
        <v>1873</v>
      </c>
      <c r="K61" s="153"/>
    </row>
    <row r="62" spans="1:11" x14ac:dyDescent="0.3">
      <c r="A62" s="40" t="s">
        <v>11801</v>
      </c>
      <c r="B62" s="40" t="s">
        <v>11763</v>
      </c>
      <c r="C62" s="40" t="s">
        <v>11802</v>
      </c>
      <c r="D62" s="40" t="s">
        <v>10</v>
      </c>
      <c r="E62" s="40" t="s">
        <v>1420</v>
      </c>
      <c r="F62" s="40" t="s">
        <v>11803</v>
      </c>
      <c r="G62" s="40" t="s">
        <v>11804</v>
      </c>
      <c r="H62" s="40" t="s">
        <v>11360</v>
      </c>
      <c r="I62" s="40" t="s">
        <v>11805</v>
      </c>
      <c r="J62" s="40" t="s">
        <v>1852</v>
      </c>
      <c r="K62" s="153"/>
    </row>
    <row r="63" spans="1:11" x14ac:dyDescent="0.3">
      <c r="A63" s="40" t="s">
        <v>11806</v>
      </c>
      <c r="B63" s="40" t="s">
        <v>11763</v>
      </c>
      <c r="C63" s="40" t="s">
        <v>11807</v>
      </c>
      <c r="D63" s="40" t="s">
        <v>13</v>
      </c>
      <c r="E63" s="40" t="s">
        <v>986</v>
      </c>
      <c r="F63" s="40" t="s">
        <v>11808</v>
      </c>
      <c r="G63" s="40" t="s">
        <v>11809</v>
      </c>
      <c r="H63" s="40" t="s">
        <v>11810</v>
      </c>
      <c r="I63" s="40" t="s">
        <v>14</v>
      </c>
      <c r="J63" s="40" t="s">
        <v>1873</v>
      </c>
      <c r="K63" s="153"/>
    </row>
    <row r="64" spans="1:11" x14ac:dyDescent="0.3">
      <c r="A64" s="40" t="s">
        <v>11811</v>
      </c>
      <c r="B64" s="40" t="s">
        <v>11763</v>
      </c>
      <c r="C64" s="40" t="s">
        <v>11812</v>
      </c>
      <c r="D64" s="40" t="s">
        <v>13</v>
      </c>
      <c r="E64" s="40" t="s">
        <v>986</v>
      </c>
      <c r="F64" s="40" t="s">
        <v>11813</v>
      </c>
      <c r="G64" s="40" t="s">
        <v>11814</v>
      </c>
      <c r="H64" s="40" t="s">
        <v>11815</v>
      </c>
      <c r="I64" s="40" t="s">
        <v>14</v>
      </c>
      <c r="J64" s="40" t="s">
        <v>1868</v>
      </c>
      <c r="K64" s="153"/>
    </row>
    <row r="65" spans="1:11" x14ac:dyDescent="0.3">
      <c r="A65" s="40" t="s">
        <v>11816</v>
      </c>
      <c r="B65" s="40" t="s">
        <v>11763</v>
      </c>
      <c r="C65" s="40" t="s">
        <v>11817</v>
      </c>
      <c r="D65" s="40" t="s">
        <v>13</v>
      </c>
      <c r="E65" s="40" t="s">
        <v>986</v>
      </c>
      <c r="F65" s="40" t="s">
        <v>11818</v>
      </c>
      <c r="G65" s="40" t="s">
        <v>11819</v>
      </c>
      <c r="H65" s="40" t="s">
        <v>11820</v>
      </c>
      <c r="I65" s="40" t="s">
        <v>14</v>
      </c>
      <c r="J65" s="40" t="s">
        <v>1868</v>
      </c>
      <c r="K65" s="153"/>
    </row>
    <row r="66" spans="1:11" x14ac:dyDescent="0.3">
      <c r="A66" s="40" t="s">
        <v>11821</v>
      </c>
      <c r="B66" s="40" t="s">
        <v>11763</v>
      </c>
      <c r="C66" s="40" t="s">
        <v>11822</v>
      </c>
      <c r="D66" s="40" t="s">
        <v>13</v>
      </c>
      <c r="E66" s="40" t="s">
        <v>986</v>
      </c>
      <c r="F66" s="40" t="s">
        <v>11818</v>
      </c>
      <c r="G66" s="40" t="s">
        <v>11823</v>
      </c>
      <c r="H66" s="40" t="s">
        <v>11824</v>
      </c>
      <c r="I66" s="40" t="s">
        <v>14</v>
      </c>
      <c r="J66" s="40" t="s">
        <v>1868</v>
      </c>
      <c r="K66" s="153"/>
    </row>
    <row r="67" spans="1:11" x14ac:dyDescent="0.3">
      <c r="A67" s="40" t="s">
        <v>11825</v>
      </c>
      <c r="B67" s="40" t="s">
        <v>11763</v>
      </c>
      <c r="C67" s="40" t="s">
        <v>11826</v>
      </c>
      <c r="D67" s="40" t="s">
        <v>13</v>
      </c>
      <c r="E67" s="40" t="s">
        <v>11827</v>
      </c>
      <c r="F67" s="40" t="s">
        <v>11794</v>
      </c>
      <c r="G67" s="40" t="s">
        <v>11724</v>
      </c>
      <c r="H67" s="40" t="s">
        <v>11828</v>
      </c>
      <c r="I67" s="40" t="s">
        <v>11829</v>
      </c>
      <c r="J67" s="40" t="s">
        <v>1868</v>
      </c>
      <c r="K67" s="155"/>
    </row>
    <row r="68" spans="1:11" x14ac:dyDescent="0.3">
      <c r="A68" s="40" t="s">
        <v>11830</v>
      </c>
      <c r="B68" s="40" t="s">
        <v>11763</v>
      </c>
      <c r="C68" s="40" t="s">
        <v>11831</v>
      </c>
      <c r="D68" s="40" t="s">
        <v>13</v>
      </c>
      <c r="E68" s="40" t="s">
        <v>11832</v>
      </c>
      <c r="F68" s="40" t="s">
        <v>11833</v>
      </c>
      <c r="G68" s="40" t="s">
        <v>11779</v>
      </c>
      <c r="H68" s="40" t="s">
        <v>12907</v>
      </c>
      <c r="I68" s="40" t="s">
        <v>11834</v>
      </c>
      <c r="J68" s="40" t="s">
        <v>1868</v>
      </c>
      <c r="K68" s="153"/>
    </row>
    <row r="69" spans="1:11" x14ac:dyDescent="0.3">
      <c r="A69" s="40" t="s">
        <v>11835</v>
      </c>
      <c r="B69" s="40" t="s">
        <v>11763</v>
      </c>
      <c r="C69" s="40" t="s">
        <v>11836</v>
      </c>
      <c r="D69" s="40" t="s">
        <v>13</v>
      </c>
      <c r="E69" s="40" t="s">
        <v>11837</v>
      </c>
      <c r="F69" s="40" t="s">
        <v>11838</v>
      </c>
      <c r="G69" s="40" t="s">
        <v>11839</v>
      </c>
      <c r="H69" s="40" t="s">
        <v>11840</v>
      </c>
      <c r="I69" s="40" t="s">
        <v>14</v>
      </c>
      <c r="J69" s="40" t="s">
        <v>1873</v>
      </c>
      <c r="K69" s="153"/>
    </row>
    <row r="70" spans="1:11" x14ac:dyDescent="0.3">
      <c r="A70" s="90" t="s">
        <v>11841</v>
      </c>
      <c r="B70" s="90" t="s">
        <v>11842</v>
      </c>
      <c r="C70" s="90" t="s">
        <v>11843</v>
      </c>
      <c r="D70" s="90" t="s">
        <v>13</v>
      </c>
      <c r="E70" s="90" t="s">
        <v>986</v>
      </c>
      <c r="F70" s="90" t="s">
        <v>11844</v>
      </c>
      <c r="G70" s="90" t="s">
        <v>11845</v>
      </c>
      <c r="H70" s="90" t="s">
        <v>11846</v>
      </c>
      <c r="I70" s="90" t="s">
        <v>11698</v>
      </c>
      <c r="J70" s="90" t="s">
        <v>1852</v>
      </c>
      <c r="K70" s="153"/>
    </row>
    <row r="71" spans="1:11" x14ac:dyDescent="0.3">
      <c r="A71" s="90" t="s">
        <v>11847</v>
      </c>
      <c r="B71" s="90" t="s">
        <v>11842</v>
      </c>
      <c r="C71" s="90" t="s">
        <v>11848</v>
      </c>
      <c r="D71" s="90" t="s">
        <v>10</v>
      </c>
      <c r="E71" s="90" t="s">
        <v>986</v>
      </c>
      <c r="F71" s="90" t="s">
        <v>11849</v>
      </c>
      <c r="G71" s="90" t="s">
        <v>11850</v>
      </c>
      <c r="H71" s="90" t="s">
        <v>11851</v>
      </c>
      <c r="I71" s="90" t="s">
        <v>11852</v>
      </c>
      <c r="J71" s="90" t="s">
        <v>1852</v>
      </c>
      <c r="K71" s="153"/>
    </row>
    <row r="72" spans="1:11" x14ac:dyDescent="0.3">
      <c r="A72" s="90" t="s">
        <v>11853</v>
      </c>
      <c r="B72" s="90" t="s">
        <v>11842</v>
      </c>
      <c r="C72" s="90" t="s">
        <v>11854</v>
      </c>
      <c r="D72" s="90" t="s">
        <v>10</v>
      </c>
      <c r="E72" s="90" t="s">
        <v>986</v>
      </c>
      <c r="F72" s="90" t="s">
        <v>11784</v>
      </c>
      <c r="G72" s="90" t="s">
        <v>11850</v>
      </c>
      <c r="H72" s="90" t="s">
        <v>11855</v>
      </c>
      <c r="I72" s="90" t="s">
        <v>11856</v>
      </c>
      <c r="J72" s="90" t="s">
        <v>1852</v>
      </c>
      <c r="K72" s="153"/>
    </row>
    <row r="73" spans="1:11" x14ac:dyDescent="0.3">
      <c r="A73" s="90" t="s">
        <v>11857</v>
      </c>
      <c r="B73" s="90" t="s">
        <v>11842</v>
      </c>
      <c r="C73" s="90" t="s">
        <v>11858</v>
      </c>
      <c r="D73" s="90" t="s">
        <v>13</v>
      </c>
      <c r="E73" s="90" t="s">
        <v>7445</v>
      </c>
      <c r="F73" s="90" t="s">
        <v>11859</v>
      </c>
      <c r="G73" s="90" t="s">
        <v>11860</v>
      </c>
      <c r="H73" s="90" t="s">
        <v>11861</v>
      </c>
      <c r="I73" s="90" t="s">
        <v>11862</v>
      </c>
      <c r="J73" s="90" t="s">
        <v>1852</v>
      </c>
      <c r="K73" s="153"/>
    </row>
    <row r="74" spans="1:11" x14ac:dyDescent="0.3">
      <c r="A74" s="90" t="s">
        <v>11863</v>
      </c>
      <c r="B74" s="90" t="s">
        <v>11842</v>
      </c>
      <c r="C74" s="90" t="s">
        <v>11864</v>
      </c>
      <c r="D74" s="90" t="s">
        <v>13</v>
      </c>
      <c r="E74" s="90" t="s">
        <v>11837</v>
      </c>
      <c r="F74" s="90" t="s">
        <v>11865</v>
      </c>
      <c r="G74" s="90" t="s">
        <v>11845</v>
      </c>
      <c r="H74" s="90" t="s">
        <v>11866</v>
      </c>
      <c r="I74" s="90" t="s">
        <v>14</v>
      </c>
      <c r="J74" s="90" t="s">
        <v>1852</v>
      </c>
      <c r="K74" s="153"/>
    </row>
    <row r="75" spans="1:11" x14ac:dyDescent="0.3">
      <c r="A75" s="90" t="s">
        <v>11867</v>
      </c>
      <c r="B75" s="90" t="s">
        <v>11842</v>
      </c>
      <c r="C75" s="90" t="s">
        <v>11868</v>
      </c>
      <c r="D75" s="90" t="s">
        <v>13</v>
      </c>
      <c r="E75" s="90" t="s">
        <v>11578</v>
      </c>
      <c r="F75" s="90" t="s">
        <v>11869</v>
      </c>
      <c r="G75" s="90" t="s">
        <v>11870</v>
      </c>
      <c r="H75" s="90" t="s">
        <v>11871</v>
      </c>
      <c r="I75" s="90" t="s">
        <v>14</v>
      </c>
      <c r="J75" s="90" t="s">
        <v>1868</v>
      </c>
      <c r="K75" s="153"/>
    </row>
    <row r="76" spans="1:11" x14ac:dyDescent="0.3">
      <c r="A76" s="90" t="s">
        <v>11872</v>
      </c>
      <c r="B76" s="90" t="s">
        <v>11842</v>
      </c>
      <c r="C76" s="90" t="s">
        <v>11873</v>
      </c>
      <c r="D76" s="90" t="s">
        <v>13</v>
      </c>
      <c r="E76" s="90" t="s">
        <v>986</v>
      </c>
      <c r="F76" s="90" t="s">
        <v>11874</v>
      </c>
      <c r="G76" s="90" t="s">
        <v>11875</v>
      </c>
      <c r="H76" s="90" t="s">
        <v>11876</v>
      </c>
      <c r="I76" s="90" t="s">
        <v>14</v>
      </c>
      <c r="J76" s="90" t="s">
        <v>1868</v>
      </c>
      <c r="K76" s="153"/>
    </row>
    <row r="77" spans="1:11" x14ac:dyDescent="0.3">
      <c r="A77" s="90" t="s">
        <v>11877</v>
      </c>
      <c r="B77" s="90" t="s">
        <v>11842</v>
      </c>
      <c r="C77" s="90" t="s">
        <v>11878</v>
      </c>
      <c r="D77" s="90" t="s">
        <v>13</v>
      </c>
      <c r="E77" s="90" t="s">
        <v>986</v>
      </c>
      <c r="F77" s="90" t="s">
        <v>11874</v>
      </c>
      <c r="G77" s="90" t="s">
        <v>11879</v>
      </c>
      <c r="H77" s="90" t="s">
        <v>11880</v>
      </c>
      <c r="I77" s="90" t="s">
        <v>14</v>
      </c>
      <c r="J77" s="90" t="s">
        <v>1868</v>
      </c>
      <c r="K77" s="153"/>
    </row>
    <row r="78" spans="1:11" x14ac:dyDescent="0.3">
      <c r="A78" s="90" t="s">
        <v>11881</v>
      </c>
      <c r="B78" s="90" t="s">
        <v>11842</v>
      </c>
      <c r="C78" s="90" t="s">
        <v>11882</v>
      </c>
      <c r="D78" s="90" t="s">
        <v>13</v>
      </c>
      <c r="E78" s="90" t="s">
        <v>11827</v>
      </c>
      <c r="F78" s="90" t="s">
        <v>11883</v>
      </c>
      <c r="G78" s="90" t="s">
        <v>11845</v>
      </c>
      <c r="H78" s="90" t="s">
        <v>11884</v>
      </c>
      <c r="I78" s="90" t="s">
        <v>11885</v>
      </c>
      <c r="J78" s="90" t="s">
        <v>1868</v>
      </c>
      <c r="K78" s="153"/>
    </row>
    <row r="79" spans="1:11" x14ac:dyDescent="0.3">
      <c r="A79" s="90" t="s">
        <v>11886</v>
      </c>
      <c r="B79" s="90" t="s">
        <v>11842</v>
      </c>
      <c r="C79" s="90" t="s">
        <v>11887</v>
      </c>
      <c r="D79" s="90" t="s">
        <v>10</v>
      </c>
      <c r="E79" s="90" t="s">
        <v>1420</v>
      </c>
      <c r="F79" s="90" t="s">
        <v>11888</v>
      </c>
      <c r="G79" s="90" t="s">
        <v>11889</v>
      </c>
      <c r="H79" s="90" t="s">
        <v>11360</v>
      </c>
      <c r="I79" s="90" t="s">
        <v>11890</v>
      </c>
      <c r="J79" s="90" t="s">
        <v>1852</v>
      </c>
      <c r="K79" s="153"/>
    </row>
    <row r="80" spans="1:11" x14ac:dyDescent="0.3">
      <c r="A80" s="90" t="s">
        <v>11891</v>
      </c>
      <c r="B80" s="90" t="s">
        <v>11842</v>
      </c>
      <c r="C80" s="90" t="s">
        <v>11892</v>
      </c>
      <c r="D80" s="90" t="s">
        <v>13</v>
      </c>
      <c r="E80" s="90" t="s">
        <v>11832</v>
      </c>
      <c r="F80" s="90" t="s">
        <v>11869</v>
      </c>
      <c r="G80" s="90" t="s">
        <v>11893</v>
      </c>
      <c r="H80" s="90" t="s">
        <v>11894</v>
      </c>
      <c r="I80" s="90" t="s">
        <v>14</v>
      </c>
      <c r="J80" s="90" t="s">
        <v>1873</v>
      </c>
      <c r="K80" s="153"/>
    </row>
    <row r="81" spans="1:11" x14ac:dyDescent="0.3">
      <c r="A81" s="90" t="s">
        <v>11895</v>
      </c>
      <c r="B81" s="90" t="s">
        <v>11842</v>
      </c>
      <c r="C81" s="90" t="s">
        <v>11896</v>
      </c>
      <c r="D81" s="90" t="s">
        <v>13</v>
      </c>
      <c r="E81" s="90" t="s">
        <v>11897</v>
      </c>
      <c r="F81" s="90" t="s">
        <v>11898</v>
      </c>
      <c r="G81" s="90" t="s">
        <v>11899</v>
      </c>
      <c r="H81" s="90" t="s">
        <v>11900</v>
      </c>
      <c r="I81" s="90" t="s">
        <v>14</v>
      </c>
      <c r="J81" s="90" t="s">
        <v>1873</v>
      </c>
      <c r="K81" s="153"/>
    </row>
    <row r="82" spans="1:11" x14ac:dyDescent="0.3">
      <c r="A82" s="90" t="s">
        <v>11901</v>
      </c>
      <c r="B82" s="90" t="s">
        <v>11842</v>
      </c>
      <c r="C82" s="90" t="s">
        <v>11902</v>
      </c>
      <c r="D82" s="90" t="s">
        <v>13</v>
      </c>
      <c r="E82" s="90" t="s">
        <v>11832</v>
      </c>
      <c r="F82" s="90" t="s">
        <v>11903</v>
      </c>
      <c r="G82" s="90" t="s">
        <v>11904</v>
      </c>
      <c r="H82" s="90" t="s">
        <v>11905</v>
      </c>
      <c r="I82" s="90" t="s">
        <v>11906</v>
      </c>
      <c r="J82" s="90" t="s">
        <v>1873</v>
      </c>
      <c r="K82" s="153"/>
    </row>
    <row r="83" spans="1:11" x14ac:dyDescent="0.3">
      <c r="A83" s="90" t="s">
        <v>11907</v>
      </c>
      <c r="B83" s="90" t="s">
        <v>11842</v>
      </c>
      <c r="C83" s="90" t="s">
        <v>11908</v>
      </c>
      <c r="D83" s="90" t="s">
        <v>13</v>
      </c>
      <c r="E83" s="90" t="s">
        <v>11897</v>
      </c>
      <c r="F83" s="90" t="s">
        <v>11909</v>
      </c>
      <c r="G83" s="90" t="s">
        <v>11910</v>
      </c>
      <c r="H83" s="90" t="s">
        <v>11911</v>
      </c>
      <c r="I83" s="90" t="s">
        <v>14</v>
      </c>
      <c r="J83" s="90" t="s">
        <v>1873</v>
      </c>
      <c r="K83" s="153"/>
    </row>
    <row r="84" spans="1:11" x14ac:dyDescent="0.3">
      <c r="A84" s="91" t="s">
        <v>11912</v>
      </c>
      <c r="B84" s="91" t="s">
        <v>11913</v>
      </c>
      <c r="C84" s="91" t="s">
        <v>11914</v>
      </c>
      <c r="D84" s="91" t="s">
        <v>13</v>
      </c>
      <c r="E84" s="91" t="s">
        <v>7445</v>
      </c>
      <c r="F84" s="91" t="s">
        <v>11915</v>
      </c>
      <c r="G84" s="91" t="s">
        <v>11916</v>
      </c>
      <c r="H84" s="91" t="s">
        <v>11917</v>
      </c>
      <c r="I84" s="91" t="s">
        <v>14</v>
      </c>
      <c r="J84" s="91" t="s">
        <v>1868</v>
      </c>
      <c r="K84" s="153"/>
    </row>
    <row r="85" spans="1:11" x14ac:dyDescent="0.3">
      <c r="A85" s="91" t="s">
        <v>11918</v>
      </c>
      <c r="B85" s="91" t="s">
        <v>11913</v>
      </c>
      <c r="C85" s="91" t="s">
        <v>11919</v>
      </c>
      <c r="D85" s="91" t="s">
        <v>13</v>
      </c>
      <c r="E85" s="91" t="s">
        <v>7445</v>
      </c>
      <c r="F85" s="91" t="s">
        <v>11920</v>
      </c>
      <c r="G85" s="91" t="s">
        <v>11921</v>
      </c>
      <c r="H85" s="91" t="s">
        <v>11922</v>
      </c>
      <c r="I85" s="91" t="s">
        <v>14</v>
      </c>
      <c r="J85" s="91" t="s">
        <v>1868</v>
      </c>
      <c r="K85" s="153"/>
    </row>
    <row r="86" spans="1:11" x14ac:dyDescent="0.3">
      <c r="A86" s="91" t="s">
        <v>11923</v>
      </c>
      <c r="B86" s="91" t="s">
        <v>11913</v>
      </c>
      <c r="C86" s="91" t="s">
        <v>11924</v>
      </c>
      <c r="D86" s="91" t="s">
        <v>13</v>
      </c>
      <c r="E86" s="91" t="s">
        <v>7445</v>
      </c>
      <c r="F86" s="91" t="s">
        <v>11925</v>
      </c>
      <c r="G86" s="91" t="s">
        <v>11380</v>
      </c>
      <c r="H86" s="91" t="s">
        <v>11926</v>
      </c>
      <c r="I86" s="91" t="s">
        <v>14</v>
      </c>
      <c r="J86" s="91" t="s">
        <v>1868</v>
      </c>
      <c r="K86" s="153"/>
    </row>
    <row r="87" spans="1:11" x14ac:dyDescent="0.3">
      <c r="A87" s="91" t="s">
        <v>11927</v>
      </c>
      <c r="B87" s="91" t="s">
        <v>11913</v>
      </c>
      <c r="C87" s="91" t="s">
        <v>11928</v>
      </c>
      <c r="D87" s="91" t="s">
        <v>13</v>
      </c>
      <c r="E87" s="91" t="s">
        <v>7445</v>
      </c>
      <c r="F87" s="91" t="s">
        <v>11929</v>
      </c>
      <c r="G87" s="91" t="s">
        <v>11930</v>
      </c>
      <c r="H87" s="91" t="s">
        <v>11931</v>
      </c>
      <c r="I87" s="91" t="s">
        <v>14</v>
      </c>
      <c r="J87" s="91" t="s">
        <v>1868</v>
      </c>
      <c r="K87" s="153"/>
    </row>
    <row r="88" spans="1:11" x14ac:dyDescent="0.3">
      <c r="A88" s="91" t="s">
        <v>11932</v>
      </c>
      <c r="B88" s="91" t="s">
        <v>11913</v>
      </c>
      <c r="C88" s="91" t="s">
        <v>11933</v>
      </c>
      <c r="D88" s="91" t="s">
        <v>13</v>
      </c>
      <c r="E88" s="91" t="s">
        <v>7445</v>
      </c>
      <c r="F88" s="91" t="s">
        <v>11934</v>
      </c>
      <c r="G88" s="91" t="s">
        <v>11935</v>
      </c>
      <c r="H88" s="91" t="s">
        <v>11926</v>
      </c>
      <c r="I88" s="91" t="s">
        <v>14</v>
      </c>
      <c r="J88" s="91" t="s">
        <v>1868</v>
      </c>
      <c r="K88" s="153"/>
    </row>
    <row r="89" spans="1:11" x14ac:dyDescent="0.3">
      <c r="A89" s="91" t="s">
        <v>11936</v>
      </c>
      <c r="B89" s="91" t="s">
        <v>11913</v>
      </c>
      <c r="C89" s="91" t="s">
        <v>11937</v>
      </c>
      <c r="D89" s="91" t="s">
        <v>13</v>
      </c>
      <c r="E89" s="91" t="s">
        <v>7445</v>
      </c>
      <c r="F89" s="91" t="s">
        <v>11938</v>
      </c>
      <c r="G89" s="91" t="s">
        <v>11939</v>
      </c>
      <c r="H89" s="91" t="s">
        <v>11926</v>
      </c>
      <c r="I89" s="91" t="s">
        <v>14</v>
      </c>
      <c r="J89" s="91" t="s">
        <v>1868</v>
      </c>
      <c r="K89" s="153"/>
    </row>
    <row r="90" spans="1:11" x14ac:dyDescent="0.3">
      <c r="A90" s="91" t="s">
        <v>11940</v>
      </c>
      <c r="B90" s="91" t="s">
        <v>11913</v>
      </c>
      <c r="C90" s="91" t="s">
        <v>11941</v>
      </c>
      <c r="D90" s="91" t="s">
        <v>13</v>
      </c>
      <c r="E90" s="91" t="s">
        <v>7445</v>
      </c>
      <c r="F90" s="91" t="s">
        <v>11942</v>
      </c>
      <c r="G90" s="91" t="s">
        <v>11943</v>
      </c>
      <c r="H90" s="91" t="s">
        <v>11944</v>
      </c>
      <c r="I90" s="91" t="s">
        <v>14</v>
      </c>
      <c r="J90" s="91" t="s">
        <v>1868</v>
      </c>
      <c r="K90" s="153"/>
    </row>
    <row r="91" spans="1:11" x14ac:dyDescent="0.3">
      <c r="A91" s="91" t="s">
        <v>11945</v>
      </c>
      <c r="B91" s="91" t="s">
        <v>11913</v>
      </c>
      <c r="C91" s="91" t="s">
        <v>11946</v>
      </c>
      <c r="D91" s="91" t="s">
        <v>13</v>
      </c>
      <c r="E91" s="91" t="s">
        <v>7445</v>
      </c>
      <c r="F91" s="91" t="s">
        <v>11947</v>
      </c>
      <c r="G91" s="91" t="s">
        <v>11948</v>
      </c>
      <c r="H91" s="91" t="s">
        <v>11949</v>
      </c>
      <c r="I91" s="91" t="s">
        <v>14</v>
      </c>
      <c r="J91" s="91" t="s">
        <v>1868</v>
      </c>
      <c r="K91" s="153"/>
    </row>
    <row r="92" spans="1:11" x14ac:dyDescent="0.3">
      <c r="A92" s="91" t="s">
        <v>11950</v>
      </c>
      <c r="B92" s="91" t="s">
        <v>11913</v>
      </c>
      <c r="C92" s="91" t="s">
        <v>11951</v>
      </c>
      <c r="D92" s="91" t="s">
        <v>13</v>
      </c>
      <c r="E92" s="91" t="s">
        <v>7445</v>
      </c>
      <c r="F92" s="91" t="s">
        <v>11952</v>
      </c>
      <c r="G92" s="91" t="s">
        <v>11953</v>
      </c>
      <c r="H92" s="91" t="s">
        <v>11954</v>
      </c>
      <c r="I92" s="91" t="s">
        <v>14</v>
      </c>
      <c r="J92" s="91" t="s">
        <v>1873</v>
      </c>
      <c r="K92" s="153"/>
    </row>
    <row r="93" spans="1:11" x14ac:dyDescent="0.3">
      <c r="A93" s="91" t="s">
        <v>11955</v>
      </c>
      <c r="B93" s="91" t="s">
        <v>11913</v>
      </c>
      <c r="C93" s="91" t="s">
        <v>11956</v>
      </c>
      <c r="D93" s="91" t="s">
        <v>13</v>
      </c>
      <c r="E93" s="91" t="s">
        <v>7445</v>
      </c>
      <c r="F93" s="91" t="s">
        <v>11957</v>
      </c>
      <c r="G93" s="91" t="s">
        <v>11958</v>
      </c>
      <c r="H93" s="91" t="s">
        <v>11959</v>
      </c>
      <c r="I93" s="91" t="s">
        <v>14</v>
      </c>
      <c r="J93" s="91" t="s">
        <v>1873</v>
      </c>
      <c r="K93" s="153"/>
    </row>
    <row r="94" spans="1:11" x14ac:dyDescent="0.3">
      <c r="A94" s="91" t="s">
        <v>11960</v>
      </c>
      <c r="B94" s="91" t="s">
        <v>11913</v>
      </c>
      <c r="C94" s="91" t="s">
        <v>11961</v>
      </c>
      <c r="D94" s="91" t="s">
        <v>13</v>
      </c>
      <c r="E94" s="91" t="s">
        <v>4412</v>
      </c>
      <c r="F94" s="91" t="s">
        <v>11962</v>
      </c>
      <c r="G94" s="91" t="s">
        <v>11963</v>
      </c>
      <c r="H94" s="91" t="s">
        <v>11964</v>
      </c>
      <c r="I94" s="91" t="s">
        <v>14</v>
      </c>
      <c r="J94" s="91" t="s">
        <v>1873</v>
      </c>
      <c r="K94" s="153"/>
    </row>
    <row r="95" spans="1:11" x14ac:dyDescent="0.3">
      <c r="A95" s="91" t="s">
        <v>11965</v>
      </c>
      <c r="B95" s="91" t="s">
        <v>11913</v>
      </c>
      <c r="C95" s="91" t="s">
        <v>11966</v>
      </c>
      <c r="D95" s="91" t="s">
        <v>13</v>
      </c>
      <c r="E95" s="91" t="s">
        <v>7445</v>
      </c>
      <c r="F95" s="91" t="s">
        <v>11967</v>
      </c>
      <c r="G95" s="91" t="s">
        <v>11968</v>
      </c>
      <c r="H95" s="91" t="s">
        <v>11969</v>
      </c>
      <c r="I95" s="91" t="s">
        <v>14</v>
      </c>
      <c r="J95" s="91" t="s">
        <v>1868</v>
      </c>
      <c r="K95" s="153"/>
    </row>
    <row r="96" spans="1:11" x14ac:dyDescent="0.3">
      <c r="A96" s="91" t="s">
        <v>11970</v>
      </c>
      <c r="B96" s="91" t="s">
        <v>11913</v>
      </c>
      <c r="C96" s="91" t="s">
        <v>11971</v>
      </c>
      <c r="D96" s="91" t="s">
        <v>13</v>
      </c>
      <c r="E96" s="91" t="s">
        <v>7445</v>
      </c>
      <c r="F96" s="91" t="s">
        <v>11972</v>
      </c>
      <c r="G96" s="91" t="s">
        <v>11973</v>
      </c>
      <c r="H96" s="91" t="s">
        <v>11974</v>
      </c>
      <c r="I96" s="91" t="s">
        <v>14</v>
      </c>
      <c r="J96" s="91" t="s">
        <v>1868</v>
      </c>
      <c r="K96" s="153"/>
    </row>
    <row r="97" spans="1:11" x14ac:dyDescent="0.3">
      <c r="A97" s="91" t="s">
        <v>11975</v>
      </c>
      <c r="B97" s="91" t="s">
        <v>11913</v>
      </c>
      <c r="C97" s="91" t="s">
        <v>11976</v>
      </c>
      <c r="D97" s="91" t="s">
        <v>13</v>
      </c>
      <c r="E97" s="91" t="s">
        <v>7445</v>
      </c>
      <c r="F97" s="91" t="s">
        <v>11977</v>
      </c>
      <c r="G97" s="91" t="s">
        <v>11978</v>
      </c>
      <c r="H97" s="91" t="s">
        <v>11979</v>
      </c>
      <c r="I97" s="91" t="s">
        <v>14</v>
      </c>
      <c r="J97" s="91" t="s">
        <v>1873</v>
      </c>
      <c r="K97" s="153"/>
    </row>
    <row r="98" spans="1:11" x14ac:dyDescent="0.3">
      <c r="A98" s="91" t="s">
        <v>11980</v>
      </c>
      <c r="B98" s="91" t="s">
        <v>11913</v>
      </c>
      <c r="C98" s="91" t="s">
        <v>11981</v>
      </c>
      <c r="D98" s="91" t="s">
        <v>13</v>
      </c>
      <c r="E98" s="91" t="s">
        <v>1420</v>
      </c>
      <c r="F98" s="91" t="s">
        <v>11982</v>
      </c>
      <c r="G98" s="91" t="s">
        <v>11983</v>
      </c>
      <c r="H98" s="91" t="s">
        <v>11984</v>
      </c>
      <c r="I98" s="91" t="s">
        <v>14</v>
      </c>
      <c r="J98" s="91" t="s">
        <v>1868</v>
      </c>
      <c r="K98" s="153"/>
    </row>
    <row r="99" spans="1:11" x14ac:dyDescent="0.3">
      <c r="A99" s="91" t="s">
        <v>11985</v>
      </c>
      <c r="B99" s="91" t="s">
        <v>11913</v>
      </c>
      <c r="C99" s="91" t="s">
        <v>11986</v>
      </c>
      <c r="D99" s="91" t="s">
        <v>21</v>
      </c>
      <c r="E99" s="91" t="s">
        <v>7445</v>
      </c>
      <c r="F99" s="91" t="s">
        <v>11987</v>
      </c>
      <c r="G99" s="91" t="s">
        <v>11988</v>
      </c>
      <c r="H99" s="91" t="s">
        <v>11989</v>
      </c>
      <c r="I99" s="91" t="s">
        <v>14</v>
      </c>
      <c r="J99" s="91" t="s">
        <v>1873</v>
      </c>
      <c r="K99" s="153"/>
    </row>
    <row r="100" spans="1:11" x14ac:dyDescent="0.3">
      <c r="A100" s="92" t="s">
        <v>11990</v>
      </c>
      <c r="B100" s="92" t="s">
        <v>11407</v>
      </c>
      <c r="C100" s="92" t="s">
        <v>11991</v>
      </c>
      <c r="D100" s="92" t="s">
        <v>21</v>
      </c>
      <c r="E100" s="92" t="s">
        <v>986</v>
      </c>
      <c r="F100" s="92" t="s">
        <v>11992</v>
      </c>
      <c r="G100" s="92" t="s">
        <v>11551</v>
      </c>
      <c r="H100" s="92" t="s">
        <v>11993</v>
      </c>
      <c r="I100" s="92" t="s">
        <v>14</v>
      </c>
      <c r="J100" s="92" t="s">
        <v>1868</v>
      </c>
      <c r="K100" s="153"/>
    </row>
    <row r="101" spans="1:11" x14ac:dyDescent="0.3">
      <c r="A101" s="92" t="s">
        <v>11994</v>
      </c>
      <c r="B101" s="92" t="s">
        <v>11407</v>
      </c>
      <c r="C101" s="92" t="s">
        <v>11995</v>
      </c>
      <c r="D101" s="92" t="s">
        <v>21</v>
      </c>
      <c r="E101" s="92" t="s">
        <v>986</v>
      </c>
      <c r="F101" s="92" t="s">
        <v>11996</v>
      </c>
      <c r="G101" s="92" t="s">
        <v>11551</v>
      </c>
      <c r="H101" s="92" t="s">
        <v>11997</v>
      </c>
      <c r="I101" s="92" t="s">
        <v>14</v>
      </c>
      <c r="J101" s="92" t="s">
        <v>1868</v>
      </c>
      <c r="K101" s="153"/>
    </row>
    <row r="102" spans="1:11" x14ac:dyDescent="0.3">
      <c r="A102" s="92" t="s">
        <v>11998</v>
      </c>
      <c r="B102" s="92" t="s">
        <v>11407</v>
      </c>
      <c r="C102" s="92" t="s">
        <v>11999</v>
      </c>
      <c r="D102" s="92" t="s">
        <v>21</v>
      </c>
      <c r="E102" s="92" t="s">
        <v>986</v>
      </c>
      <c r="F102" s="92" t="s">
        <v>12000</v>
      </c>
      <c r="G102" s="92" t="s">
        <v>11551</v>
      </c>
      <c r="H102" s="92" t="s">
        <v>12001</v>
      </c>
      <c r="I102" s="92" t="s">
        <v>14</v>
      </c>
      <c r="J102" s="92" t="s">
        <v>1868</v>
      </c>
      <c r="K102" s="153"/>
    </row>
    <row r="103" spans="1:11" x14ac:dyDescent="0.3">
      <c r="A103" s="92" t="s">
        <v>12002</v>
      </c>
      <c r="B103" s="92" t="s">
        <v>11407</v>
      </c>
      <c r="C103" s="92" t="s">
        <v>12003</v>
      </c>
      <c r="D103" s="92" t="s">
        <v>21</v>
      </c>
      <c r="E103" s="92" t="s">
        <v>986</v>
      </c>
      <c r="F103" s="92" t="s">
        <v>12004</v>
      </c>
      <c r="G103" s="92" t="s">
        <v>11551</v>
      </c>
      <c r="H103" s="92" t="s">
        <v>12005</v>
      </c>
      <c r="I103" s="92" t="s">
        <v>14</v>
      </c>
      <c r="J103" s="92" t="s">
        <v>1868</v>
      </c>
      <c r="K103" s="153"/>
    </row>
    <row r="104" spans="1:11" x14ac:dyDescent="0.3">
      <c r="A104" s="92" t="s">
        <v>12006</v>
      </c>
      <c r="B104" s="92" t="s">
        <v>11407</v>
      </c>
      <c r="C104" s="92" t="s">
        <v>12007</v>
      </c>
      <c r="D104" s="92" t="s">
        <v>21</v>
      </c>
      <c r="E104" s="92" t="s">
        <v>986</v>
      </c>
      <c r="F104" s="92" t="s">
        <v>12008</v>
      </c>
      <c r="G104" s="92" t="s">
        <v>11551</v>
      </c>
      <c r="H104" s="92" t="s">
        <v>12009</v>
      </c>
      <c r="I104" s="92" t="s">
        <v>14</v>
      </c>
      <c r="J104" s="92" t="s">
        <v>1868</v>
      </c>
      <c r="K104" s="153"/>
    </row>
    <row r="105" spans="1:11" x14ac:dyDescent="0.3">
      <c r="A105" s="92" t="s">
        <v>12010</v>
      </c>
      <c r="B105" s="92" t="s">
        <v>11407</v>
      </c>
      <c r="C105" s="92" t="s">
        <v>12011</v>
      </c>
      <c r="D105" s="92" t="s">
        <v>21</v>
      </c>
      <c r="E105" s="92" t="s">
        <v>12012</v>
      </c>
      <c r="F105" s="92" t="s">
        <v>12013</v>
      </c>
      <c r="G105" s="92" t="s">
        <v>11551</v>
      </c>
      <c r="H105" s="92" t="s">
        <v>12014</v>
      </c>
      <c r="I105" s="92" t="s">
        <v>14</v>
      </c>
      <c r="J105" s="92" t="s">
        <v>1868</v>
      </c>
      <c r="K105" s="153"/>
    </row>
    <row r="106" spans="1:11" x14ac:dyDescent="0.3">
      <c r="A106" s="92" t="s">
        <v>12015</v>
      </c>
      <c r="B106" s="92" t="s">
        <v>11407</v>
      </c>
      <c r="C106" s="92" t="s">
        <v>12016</v>
      </c>
      <c r="D106" s="92" t="s">
        <v>21</v>
      </c>
      <c r="E106" s="92" t="s">
        <v>86</v>
      </c>
      <c r="F106" s="92" t="s">
        <v>12017</v>
      </c>
      <c r="G106" s="92" t="s">
        <v>12018</v>
      </c>
      <c r="H106" s="92" t="s">
        <v>12019</v>
      </c>
      <c r="I106" s="92" t="s">
        <v>14</v>
      </c>
      <c r="J106" s="92" t="s">
        <v>1868</v>
      </c>
      <c r="K106" s="153"/>
    </row>
    <row r="107" spans="1:11" x14ac:dyDescent="0.3">
      <c r="A107" s="92" t="s">
        <v>12020</v>
      </c>
      <c r="B107" s="92" t="s">
        <v>11407</v>
      </c>
      <c r="C107" s="92" t="s">
        <v>12021</v>
      </c>
      <c r="D107" s="92" t="s">
        <v>21</v>
      </c>
      <c r="E107" s="92" t="s">
        <v>86</v>
      </c>
      <c r="F107" s="92" t="s">
        <v>12022</v>
      </c>
      <c r="G107" s="92" t="s">
        <v>12018</v>
      </c>
      <c r="H107" s="92" t="s">
        <v>12023</v>
      </c>
      <c r="I107" s="92" t="s">
        <v>12024</v>
      </c>
      <c r="J107" s="92" t="s">
        <v>1852</v>
      </c>
      <c r="K107" s="153"/>
    </row>
    <row r="108" spans="1:11" x14ac:dyDescent="0.3">
      <c r="A108" s="92" t="s">
        <v>12025</v>
      </c>
      <c r="B108" s="92" t="s">
        <v>11407</v>
      </c>
      <c r="C108" s="92" t="s">
        <v>7730</v>
      </c>
      <c r="D108" s="92" t="s">
        <v>21</v>
      </c>
      <c r="E108" s="92" t="s">
        <v>986</v>
      </c>
      <c r="F108" s="92" t="s">
        <v>12026</v>
      </c>
      <c r="G108" s="92" t="s">
        <v>12027</v>
      </c>
      <c r="H108" s="92" t="s">
        <v>12028</v>
      </c>
      <c r="I108" s="92" t="s">
        <v>14</v>
      </c>
      <c r="J108" s="92" t="s">
        <v>1868</v>
      </c>
      <c r="K108" s="153"/>
    </row>
    <row r="109" spans="1:11" x14ac:dyDescent="0.3">
      <c r="A109" s="92" t="s">
        <v>12029</v>
      </c>
      <c r="B109" s="92" t="s">
        <v>11407</v>
      </c>
      <c r="C109" s="92" t="s">
        <v>214</v>
      </c>
      <c r="D109" s="92" t="s">
        <v>21</v>
      </c>
      <c r="E109" s="92" t="s">
        <v>986</v>
      </c>
      <c r="F109" s="92" t="s">
        <v>12030</v>
      </c>
      <c r="G109" s="92" t="s">
        <v>11551</v>
      </c>
      <c r="H109" s="92" t="s">
        <v>12031</v>
      </c>
      <c r="I109" s="92" t="s">
        <v>14</v>
      </c>
      <c r="J109" s="92" t="s">
        <v>1868</v>
      </c>
      <c r="K109" s="153"/>
    </row>
    <row r="110" spans="1:11" x14ac:dyDescent="0.3">
      <c r="A110" s="92" t="s">
        <v>12032</v>
      </c>
      <c r="B110" s="92" t="s">
        <v>11407</v>
      </c>
      <c r="C110" s="92" t="s">
        <v>12033</v>
      </c>
      <c r="D110" s="92" t="s">
        <v>21</v>
      </c>
      <c r="E110" s="92" t="s">
        <v>12034</v>
      </c>
      <c r="F110" s="92" t="s">
        <v>12035</v>
      </c>
      <c r="G110" s="92" t="s">
        <v>11551</v>
      </c>
      <c r="H110" s="92" t="s">
        <v>12036</v>
      </c>
      <c r="I110" s="92" t="s">
        <v>12037</v>
      </c>
      <c r="J110" s="92" t="s">
        <v>1852</v>
      </c>
      <c r="K110" s="153"/>
    </row>
    <row r="111" spans="1:11" x14ac:dyDescent="0.3">
      <c r="A111" s="92" t="s">
        <v>12038</v>
      </c>
      <c r="B111" s="92" t="s">
        <v>11407</v>
      </c>
      <c r="C111" s="92" t="s">
        <v>12039</v>
      </c>
      <c r="D111" s="92" t="s">
        <v>21</v>
      </c>
      <c r="E111" s="92" t="s">
        <v>986</v>
      </c>
      <c r="F111" s="92" t="s">
        <v>12040</v>
      </c>
      <c r="G111" s="92" t="s">
        <v>12041</v>
      </c>
      <c r="H111" s="92" t="s">
        <v>12042</v>
      </c>
      <c r="I111" s="92" t="s">
        <v>14</v>
      </c>
      <c r="J111" s="92" t="s">
        <v>1868</v>
      </c>
      <c r="K111" s="153"/>
    </row>
    <row r="112" spans="1:11" x14ac:dyDescent="0.3">
      <c r="A112" s="92" t="s">
        <v>12043</v>
      </c>
      <c r="B112" s="92" t="s">
        <v>11407</v>
      </c>
      <c r="C112" s="92" t="s">
        <v>12044</v>
      </c>
      <c r="D112" s="92" t="s">
        <v>21</v>
      </c>
      <c r="E112" s="92" t="s">
        <v>986</v>
      </c>
      <c r="F112" s="92" t="s">
        <v>12045</v>
      </c>
      <c r="G112" s="92" t="s">
        <v>12046</v>
      </c>
      <c r="H112" s="92" t="s">
        <v>12047</v>
      </c>
      <c r="I112" s="92" t="s">
        <v>14</v>
      </c>
      <c r="J112" s="92" t="s">
        <v>1873</v>
      </c>
      <c r="K112" s="153"/>
    </row>
    <row r="113" spans="1:11" x14ac:dyDescent="0.3">
      <c r="A113" s="92" t="s">
        <v>12048</v>
      </c>
      <c r="B113" s="92" t="s">
        <v>11407</v>
      </c>
      <c r="C113" s="92" t="s">
        <v>12049</v>
      </c>
      <c r="D113" s="92" t="s">
        <v>21</v>
      </c>
      <c r="E113" s="92" t="s">
        <v>986</v>
      </c>
      <c r="F113" s="92" t="s">
        <v>12050</v>
      </c>
      <c r="G113" s="92" t="s">
        <v>11551</v>
      </c>
      <c r="H113" s="92" t="s">
        <v>12051</v>
      </c>
      <c r="I113" s="92" t="s">
        <v>14</v>
      </c>
      <c r="J113" s="92" t="s">
        <v>1868</v>
      </c>
      <c r="K113" s="153"/>
    </row>
    <row r="114" spans="1:11" x14ac:dyDescent="0.3">
      <c r="A114" s="92" t="s">
        <v>12052</v>
      </c>
      <c r="B114" s="92" t="s">
        <v>11407</v>
      </c>
      <c r="C114" s="92" t="s">
        <v>12053</v>
      </c>
      <c r="D114" s="92" t="s">
        <v>21</v>
      </c>
      <c r="E114" s="92" t="s">
        <v>986</v>
      </c>
      <c r="F114" s="92" t="s">
        <v>12054</v>
      </c>
      <c r="G114" s="92" t="s">
        <v>12027</v>
      </c>
      <c r="H114" s="92" t="s">
        <v>12055</v>
      </c>
      <c r="I114" s="92" t="s">
        <v>14</v>
      </c>
      <c r="J114" s="92" t="s">
        <v>1868</v>
      </c>
      <c r="K114" s="153"/>
    </row>
    <row r="115" spans="1:11" x14ac:dyDescent="0.3">
      <c r="A115" s="92" t="s">
        <v>12056</v>
      </c>
      <c r="B115" s="92" t="s">
        <v>11407</v>
      </c>
      <c r="C115" s="92" t="s">
        <v>12057</v>
      </c>
      <c r="D115" s="92" t="s">
        <v>21</v>
      </c>
      <c r="E115" s="92" t="s">
        <v>986</v>
      </c>
      <c r="F115" s="92" t="s">
        <v>12058</v>
      </c>
      <c r="G115" s="92" t="s">
        <v>12059</v>
      </c>
      <c r="H115" s="92" t="s">
        <v>12060</v>
      </c>
      <c r="I115" s="92" t="s">
        <v>14</v>
      </c>
      <c r="J115" s="92" t="s">
        <v>1852</v>
      </c>
      <c r="K115" s="153"/>
    </row>
    <row r="116" spans="1:11" x14ac:dyDescent="0.3">
      <c r="A116" s="92" t="s">
        <v>12061</v>
      </c>
      <c r="B116" s="92" t="s">
        <v>11407</v>
      </c>
      <c r="C116" s="92" t="s">
        <v>12062</v>
      </c>
      <c r="D116" s="92" t="s">
        <v>21</v>
      </c>
      <c r="E116" s="92" t="s">
        <v>986</v>
      </c>
      <c r="F116" s="92" t="s">
        <v>12063</v>
      </c>
      <c r="G116" s="92" t="s">
        <v>12064</v>
      </c>
      <c r="H116" s="92" t="s">
        <v>12065</v>
      </c>
      <c r="I116" s="92" t="s">
        <v>14</v>
      </c>
      <c r="J116" s="92" t="s">
        <v>1868</v>
      </c>
      <c r="K116" s="153"/>
    </row>
    <row r="117" spans="1:11" x14ac:dyDescent="0.3">
      <c r="A117" s="92" t="s">
        <v>12066</v>
      </c>
      <c r="B117" s="92" t="s">
        <v>11407</v>
      </c>
      <c r="C117" s="92" t="s">
        <v>12067</v>
      </c>
      <c r="D117" s="92" t="s">
        <v>21</v>
      </c>
      <c r="E117" s="92" t="s">
        <v>12068</v>
      </c>
      <c r="F117" s="92" t="s">
        <v>12069</v>
      </c>
      <c r="G117" s="92" t="s">
        <v>12070</v>
      </c>
      <c r="H117" s="92" t="s">
        <v>12908</v>
      </c>
      <c r="I117" s="92" t="s">
        <v>14</v>
      </c>
      <c r="J117" s="92" t="s">
        <v>1852</v>
      </c>
      <c r="K117" s="155"/>
    </row>
    <row r="118" spans="1:11" x14ac:dyDescent="0.3">
      <c r="A118" s="92" t="s">
        <v>12071</v>
      </c>
      <c r="B118" s="92" t="s">
        <v>11407</v>
      </c>
      <c r="C118" s="92" t="s">
        <v>12072</v>
      </c>
      <c r="D118" s="92" t="s">
        <v>21</v>
      </c>
      <c r="E118" s="92" t="s">
        <v>986</v>
      </c>
      <c r="F118" s="92" t="s">
        <v>12073</v>
      </c>
      <c r="G118" s="92" t="s">
        <v>12074</v>
      </c>
      <c r="H118" s="92" t="s">
        <v>12075</v>
      </c>
      <c r="I118" s="92" t="s">
        <v>12076</v>
      </c>
      <c r="J118" s="92" t="s">
        <v>1868</v>
      </c>
      <c r="K118" s="153"/>
    </row>
    <row r="119" spans="1:11" x14ac:dyDescent="0.3">
      <c r="A119" s="92" t="s">
        <v>12077</v>
      </c>
      <c r="B119" s="92" t="s">
        <v>11407</v>
      </c>
      <c r="C119" s="92" t="s">
        <v>12078</v>
      </c>
      <c r="D119" s="92" t="s">
        <v>21</v>
      </c>
      <c r="E119" s="92" t="s">
        <v>12079</v>
      </c>
      <c r="F119" s="92" t="s">
        <v>12080</v>
      </c>
      <c r="G119" s="92" t="s">
        <v>10917</v>
      </c>
      <c r="H119" s="92" t="s">
        <v>12081</v>
      </c>
      <c r="I119" s="92" t="s">
        <v>14</v>
      </c>
      <c r="J119" s="92" t="s">
        <v>1868</v>
      </c>
      <c r="K119" s="153"/>
    </row>
    <row r="120" spans="1:11" x14ac:dyDescent="0.3">
      <c r="K120" s="153"/>
    </row>
    <row r="121" spans="1:11" x14ac:dyDescent="0.3">
      <c r="K121" s="153"/>
    </row>
    <row r="122" spans="1:11" x14ac:dyDescent="0.3">
      <c r="A122" s="1" t="s">
        <v>9420</v>
      </c>
      <c r="B122" s="1"/>
      <c r="K122" s="153"/>
    </row>
    <row r="123" spans="1:11" x14ac:dyDescent="0.3">
      <c r="A123" s="16" t="s">
        <v>11495</v>
      </c>
      <c r="B123">
        <f>COUNTA(A2:A119)</f>
        <v>118</v>
      </c>
      <c r="K123" s="153"/>
    </row>
    <row r="124" spans="1:11" x14ac:dyDescent="0.3">
      <c r="A124" s="16" t="s">
        <v>5885</v>
      </c>
      <c r="B124">
        <f>COUNTIF(D2:D119,"P")</f>
        <v>78</v>
      </c>
      <c r="K124" s="153"/>
    </row>
    <row r="125" spans="1:11" x14ac:dyDescent="0.3">
      <c r="A125" s="16" t="s">
        <v>5886</v>
      </c>
      <c r="B125">
        <f>COUNTIF(D2:D119,"N")</f>
        <v>14</v>
      </c>
      <c r="K125" s="153"/>
    </row>
    <row r="126" spans="1:11" x14ac:dyDescent="0.3">
      <c r="A126" s="16" t="s">
        <v>11496</v>
      </c>
      <c r="B126">
        <f>COUNTIF(D2:D119,"E")</f>
        <v>26</v>
      </c>
      <c r="K126" s="153"/>
    </row>
    <row r="127" spans="1:11" x14ac:dyDescent="0.3">
      <c r="A127" s="16" t="s">
        <v>11497</v>
      </c>
      <c r="B127">
        <f>COUNTIF(J2:J119,"P1")</f>
        <v>43</v>
      </c>
      <c r="K127" s="153"/>
    </row>
    <row r="128" spans="1:11" x14ac:dyDescent="0.3">
      <c r="A128" s="16" t="s">
        <v>11498</v>
      </c>
      <c r="B128">
        <f>COUNTIF(J2:J119,"P2")</f>
        <v>59</v>
      </c>
      <c r="K128" s="153"/>
    </row>
    <row r="129" spans="1:11" x14ac:dyDescent="0.3">
      <c r="A129" s="16" t="s">
        <v>11499</v>
      </c>
      <c r="B129">
        <f>COUNTIF(J2:J119,"P3")</f>
        <v>16</v>
      </c>
      <c r="K129" s="153"/>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B59B-C023-4844-A91C-C507E50794E0}">
  <dimension ref="A1:K176"/>
  <sheetViews>
    <sheetView workbookViewId="0">
      <pane ySplit="1" topLeftCell="A2" activePane="bottomLeft" state="frozen"/>
      <selection pane="bottomLeft"/>
    </sheetView>
  </sheetViews>
  <sheetFormatPr defaultRowHeight="14.4" x14ac:dyDescent="0.3"/>
  <cols>
    <col min="1" max="1" width="16.6640625" customWidth="1"/>
    <col min="2" max="2" width="33.33203125" customWidth="1"/>
    <col min="3" max="3" width="51.88671875" customWidth="1"/>
    <col min="4" max="4" width="9.21875" customWidth="1"/>
    <col min="5" max="5" width="22.21875" customWidth="1"/>
    <col min="6" max="8" width="46.33203125" customWidth="1"/>
    <col min="9"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12082</v>
      </c>
      <c r="B2" s="46" t="s">
        <v>12083</v>
      </c>
      <c r="C2" s="46" t="s">
        <v>12084</v>
      </c>
      <c r="D2" s="46" t="s">
        <v>13</v>
      </c>
      <c r="E2" s="46" t="s">
        <v>534</v>
      </c>
      <c r="F2" s="46" t="s">
        <v>12085</v>
      </c>
      <c r="G2" s="46" t="s">
        <v>12086</v>
      </c>
      <c r="H2" s="46" t="s">
        <v>12087</v>
      </c>
      <c r="I2" s="46" t="s">
        <v>12088</v>
      </c>
      <c r="J2" s="46" t="s">
        <v>1852</v>
      </c>
      <c r="K2" s="153"/>
    </row>
    <row r="3" spans="1:11" x14ac:dyDescent="0.3">
      <c r="A3" s="46" t="s">
        <v>12089</v>
      </c>
      <c r="B3" s="46" t="s">
        <v>12083</v>
      </c>
      <c r="C3" s="46" t="s">
        <v>12090</v>
      </c>
      <c r="D3" s="46" t="s">
        <v>13</v>
      </c>
      <c r="E3" s="46" t="s">
        <v>986</v>
      </c>
      <c r="F3" s="46" t="s">
        <v>12091</v>
      </c>
      <c r="G3" s="46" t="s">
        <v>12092</v>
      </c>
      <c r="H3" s="46" t="s">
        <v>11511</v>
      </c>
      <c r="I3" s="46" t="s">
        <v>14</v>
      </c>
      <c r="J3" s="46" t="s">
        <v>1852</v>
      </c>
      <c r="K3" s="153"/>
    </row>
    <row r="4" spans="1:11" x14ac:dyDescent="0.3">
      <c r="A4" s="46" t="s">
        <v>12093</v>
      </c>
      <c r="B4" s="46" t="s">
        <v>12083</v>
      </c>
      <c r="C4" s="46" t="s">
        <v>12094</v>
      </c>
      <c r="D4" s="46" t="s">
        <v>10</v>
      </c>
      <c r="E4" s="46" t="s">
        <v>534</v>
      </c>
      <c r="F4" s="46" t="s">
        <v>12095</v>
      </c>
      <c r="G4" s="46" t="s">
        <v>11520</v>
      </c>
      <c r="H4" s="46" t="s">
        <v>12096</v>
      </c>
      <c r="I4" s="46" t="s">
        <v>12097</v>
      </c>
      <c r="J4" s="46" t="s">
        <v>1852</v>
      </c>
      <c r="K4" s="153"/>
    </row>
    <row r="5" spans="1:11" x14ac:dyDescent="0.3">
      <c r="A5" s="46" t="s">
        <v>12098</v>
      </c>
      <c r="B5" s="46" t="s">
        <v>12083</v>
      </c>
      <c r="C5" s="46" t="s">
        <v>11518</v>
      </c>
      <c r="D5" s="46" t="s">
        <v>10</v>
      </c>
      <c r="E5" s="46" t="s">
        <v>534</v>
      </c>
      <c r="F5" s="46" t="s">
        <v>12099</v>
      </c>
      <c r="G5" s="46" t="s">
        <v>11520</v>
      </c>
      <c r="H5" s="46" t="s">
        <v>11521</v>
      </c>
      <c r="I5" s="46" t="s">
        <v>11522</v>
      </c>
      <c r="J5" s="46" t="s">
        <v>1852</v>
      </c>
      <c r="K5" s="153"/>
    </row>
    <row r="6" spans="1:11" x14ac:dyDescent="0.3">
      <c r="A6" s="46" t="s">
        <v>12100</v>
      </c>
      <c r="B6" s="46" t="s">
        <v>12083</v>
      </c>
      <c r="C6" s="46" t="s">
        <v>11524</v>
      </c>
      <c r="D6" s="46" t="s">
        <v>10</v>
      </c>
      <c r="E6" s="46" t="s">
        <v>534</v>
      </c>
      <c r="F6" s="46" t="s">
        <v>12101</v>
      </c>
      <c r="G6" s="46" t="s">
        <v>11520</v>
      </c>
      <c r="H6" s="46" t="s">
        <v>11526</v>
      </c>
      <c r="I6" s="46" t="s">
        <v>11527</v>
      </c>
      <c r="J6" s="46" t="s">
        <v>1852</v>
      </c>
      <c r="K6" s="153"/>
    </row>
    <row r="7" spans="1:11" x14ac:dyDescent="0.3">
      <c r="A7" s="46" t="s">
        <v>12102</v>
      </c>
      <c r="B7" s="46" t="s">
        <v>12083</v>
      </c>
      <c r="C7" s="46" t="s">
        <v>12103</v>
      </c>
      <c r="D7" s="46" t="s">
        <v>10</v>
      </c>
      <c r="E7" s="46" t="s">
        <v>534</v>
      </c>
      <c r="F7" s="46" t="s">
        <v>12104</v>
      </c>
      <c r="G7" s="46" t="s">
        <v>11520</v>
      </c>
      <c r="H7" s="46" t="s">
        <v>12105</v>
      </c>
      <c r="I7" s="46" t="s">
        <v>12106</v>
      </c>
      <c r="J7" s="46" t="s">
        <v>1852</v>
      </c>
      <c r="K7" s="153"/>
    </row>
    <row r="8" spans="1:11" x14ac:dyDescent="0.3">
      <c r="A8" s="46" t="s">
        <v>12107</v>
      </c>
      <c r="B8" s="46" t="s">
        <v>12083</v>
      </c>
      <c r="C8" s="46" t="s">
        <v>12108</v>
      </c>
      <c r="D8" s="46" t="s">
        <v>10</v>
      </c>
      <c r="E8" s="46" t="s">
        <v>534</v>
      </c>
      <c r="F8" s="46" t="s">
        <v>12109</v>
      </c>
      <c r="G8" s="46" t="s">
        <v>11520</v>
      </c>
      <c r="H8" s="46" t="s">
        <v>11531</v>
      </c>
      <c r="I8" s="46" t="s">
        <v>12110</v>
      </c>
      <c r="J8" s="46" t="s">
        <v>1852</v>
      </c>
      <c r="K8" s="153"/>
    </row>
    <row r="9" spans="1:11" x14ac:dyDescent="0.3">
      <c r="A9" s="46" t="s">
        <v>12111</v>
      </c>
      <c r="B9" s="46" t="s">
        <v>12083</v>
      </c>
      <c r="C9" s="46" t="s">
        <v>12112</v>
      </c>
      <c r="D9" s="46" t="s">
        <v>10</v>
      </c>
      <c r="E9" s="46" t="s">
        <v>534</v>
      </c>
      <c r="F9" s="46" t="s">
        <v>12113</v>
      </c>
      <c r="G9" s="46" t="s">
        <v>11520</v>
      </c>
      <c r="H9" s="46" t="s">
        <v>12114</v>
      </c>
      <c r="I9" s="46" t="s">
        <v>12115</v>
      </c>
      <c r="J9" s="46" t="s">
        <v>1852</v>
      </c>
      <c r="K9" s="153"/>
    </row>
    <row r="10" spans="1:11" x14ac:dyDescent="0.3">
      <c r="A10" s="46" t="s">
        <v>12116</v>
      </c>
      <c r="B10" s="46" t="s">
        <v>12083</v>
      </c>
      <c r="C10" s="46" t="s">
        <v>19951</v>
      </c>
      <c r="D10" s="46" t="s">
        <v>10</v>
      </c>
      <c r="E10" s="46" t="s">
        <v>534</v>
      </c>
      <c r="F10" s="46" t="s">
        <v>19952</v>
      </c>
      <c r="G10" s="46" t="s">
        <v>11520</v>
      </c>
      <c r="H10" s="46" t="s">
        <v>12117</v>
      </c>
      <c r="I10" s="46" t="s">
        <v>19955</v>
      </c>
      <c r="J10" s="46" t="s">
        <v>1852</v>
      </c>
      <c r="K10" s="153"/>
    </row>
    <row r="11" spans="1:11" x14ac:dyDescent="0.3">
      <c r="A11" s="46" t="s">
        <v>12118</v>
      </c>
      <c r="B11" s="46" t="s">
        <v>12083</v>
      </c>
      <c r="C11" s="46" t="s">
        <v>12119</v>
      </c>
      <c r="D11" s="46" t="s">
        <v>13</v>
      </c>
      <c r="E11" s="46" t="s">
        <v>534</v>
      </c>
      <c r="F11" s="46" t="s">
        <v>12120</v>
      </c>
      <c r="G11" s="46" t="s">
        <v>12121</v>
      </c>
      <c r="H11" s="46" t="s">
        <v>12122</v>
      </c>
      <c r="I11" s="46" t="s">
        <v>14</v>
      </c>
      <c r="J11" s="46" t="s">
        <v>1868</v>
      </c>
      <c r="K11" s="153"/>
    </row>
    <row r="12" spans="1:11" x14ac:dyDescent="0.3">
      <c r="A12" s="46" t="s">
        <v>12123</v>
      </c>
      <c r="B12" s="46" t="s">
        <v>12083</v>
      </c>
      <c r="C12" s="46" t="s">
        <v>19953</v>
      </c>
      <c r="D12" s="46" t="s">
        <v>13</v>
      </c>
      <c r="E12" s="46" t="s">
        <v>534</v>
      </c>
      <c r="F12" s="46" t="s">
        <v>19954</v>
      </c>
      <c r="G12" s="46" t="s">
        <v>12121</v>
      </c>
      <c r="H12" s="46" t="s">
        <v>12124</v>
      </c>
      <c r="I12" s="46" t="s">
        <v>14</v>
      </c>
      <c r="J12" s="46" t="s">
        <v>1868</v>
      </c>
      <c r="K12" s="153"/>
    </row>
    <row r="13" spans="1:11" x14ac:dyDescent="0.3">
      <c r="A13" s="46" t="s">
        <v>12125</v>
      </c>
      <c r="B13" s="46" t="s">
        <v>12083</v>
      </c>
      <c r="C13" s="46" t="s">
        <v>12126</v>
      </c>
      <c r="D13" s="46" t="s">
        <v>10</v>
      </c>
      <c r="E13" s="46" t="s">
        <v>986</v>
      </c>
      <c r="F13" s="46" t="s">
        <v>11559</v>
      </c>
      <c r="G13" s="46" t="s">
        <v>11520</v>
      </c>
      <c r="H13" s="46" t="s">
        <v>12127</v>
      </c>
      <c r="I13" s="46" t="s">
        <v>12128</v>
      </c>
      <c r="J13" s="46" t="s">
        <v>1852</v>
      </c>
      <c r="K13" s="153"/>
    </row>
    <row r="14" spans="1:11" x14ac:dyDescent="0.3">
      <c r="A14" s="46" t="s">
        <v>12129</v>
      </c>
      <c r="B14" s="46" t="s">
        <v>12083</v>
      </c>
      <c r="C14" s="46" t="s">
        <v>12130</v>
      </c>
      <c r="D14" s="46" t="s">
        <v>13</v>
      </c>
      <c r="E14" s="46" t="s">
        <v>986</v>
      </c>
      <c r="F14" s="46" t="s">
        <v>12131</v>
      </c>
      <c r="G14" s="46" t="s">
        <v>12121</v>
      </c>
      <c r="H14" s="46" t="s">
        <v>12132</v>
      </c>
      <c r="I14" s="46" t="s">
        <v>14</v>
      </c>
      <c r="J14" s="46" t="s">
        <v>1868</v>
      </c>
      <c r="K14" s="153"/>
    </row>
    <row r="15" spans="1:11" x14ac:dyDescent="0.3">
      <c r="A15" s="46" t="s">
        <v>12133</v>
      </c>
      <c r="B15" s="46" t="s">
        <v>12083</v>
      </c>
      <c r="C15" s="46" t="s">
        <v>12134</v>
      </c>
      <c r="D15" s="46" t="s">
        <v>13</v>
      </c>
      <c r="E15" s="46" t="s">
        <v>986</v>
      </c>
      <c r="F15" s="46" t="s">
        <v>12135</v>
      </c>
      <c r="G15" s="46" t="s">
        <v>12121</v>
      </c>
      <c r="H15" s="46" t="s">
        <v>12136</v>
      </c>
      <c r="I15" s="46" t="s">
        <v>14</v>
      </c>
      <c r="J15" s="46" t="s">
        <v>1852</v>
      </c>
      <c r="K15" s="153"/>
    </row>
    <row r="16" spans="1:11" x14ac:dyDescent="0.3">
      <c r="A16" s="46" t="s">
        <v>12137</v>
      </c>
      <c r="B16" s="46" t="s">
        <v>12083</v>
      </c>
      <c r="C16" s="46" t="s">
        <v>12138</v>
      </c>
      <c r="D16" s="46" t="s">
        <v>13</v>
      </c>
      <c r="E16" s="46" t="s">
        <v>986</v>
      </c>
      <c r="F16" s="46" t="s">
        <v>12139</v>
      </c>
      <c r="G16" s="46" t="s">
        <v>12140</v>
      </c>
      <c r="H16" s="46" t="s">
        <v>12141</v>
      </c>
      <c r="I16" s="46" t="s">
        <v>14</v>
      </c>
      <c r="J16" s="46" t="s">
        <v>1852</v>
      </c>
      <c r="K16" s="153"/>
    </row>
    <row r="17" spans="1:11" x14ac:dyDescent="0.3">
      <c r="A17" s="46" t="s">
        <v>12142</v>
      </c>
      <c r="B17" s="46" t="s">
        <v>12083</v>
      </c>
      <c r="C17" s="46" t="s">
        <v>12143</v>
      </c>
      <c r="D17" s="46" t="s">
        <v>13</v>
      </c>
      <c r="E17" s="46" t="s">
        <v>986</v>
      </c>
      <c r="F17" s="46" t="s">
        <v>12144</v>
      </c>
      <c r="G17" s="46" t="s">
        <v>12145</v>
      </c>
      <c r="H17" s="46" t="s">
        <v>12146</v>
      </c>
      <c r="I17" s="46" t="s">
        <v>14</v>
      </c>
      <c r="J17" s="46" t="s">
        <v>1868</v>
      </c>
      <c r="K17" s="153"/>
    </row>
    <row r="18" spans="1:11" x14ac:dyDescent="0.3">
      <c r="A18" s="46" t="s">
        <v>12147</v>
      </c>
      <c r="B18" s="46" t="s">
        <v>12083</v>
      </c>
      <c r="C18" s="46" t="s">
        <v>10235</v>
      </c>
      <c r="D18" s="46" t="s">
        <v>13</v>
      </c>
      <c r="E18" s="46" t="s">
        <v>4088</v>
      </c>
      <c r="F18" s="46" t="s">
        <v>12148</v>
      </c>
      <c r="G18" s="46" t="s">
        <v>8508</v>
      </c>
      <c r="H18" s="46" t="s">
        <v>11580</v>
      </c>
      <c r="I18" s="46" t="s">
        <v>14</v>
      </c>
      <c r="J18" s="46" t="s">
        <v>1868</v>
      </c>
      <c r="K18" s="153"/>
    </row>
    <row r="19" spans="1:11" x14ac:dyDescent="0.3">
      <c r="A19" s="46" t="s">
        <v>12149</v>
      </c>
      <c r="B19" s="46" t="s">
        <v>12083</v>
      </c>
      <c r="C19" s="46" t="s">
        <v>12150</v>
      </c>
      <c r="D19" s="46" t="s">
        <v>13</v>
      </c>
      <c r="E19" s="46" t="s">
        <v>4204</v>
      </c>
      <c r="F19" s="46" t="s">
        <v>12151</v>
      </c>
      <c r="G19" s="46" t="s">
        <v>12152</v>
      </c>
      <c r="H19" s="46" t="s">
        <v>12153</v>
      </c>
      <c r="I19" s="46" t="s">
        <v>12154</v>
      </c>
      <c r="J19" s="46" t="s">
        <v>1868</v>
      </c>
      <c r="K19" s="153"/>
    </row>
    <row r="20" spans="1:11" x14ac:dyDescent="0.3">
      <c r="A20" s="46" t="s">
        <v>12155</v>
      </c>
      <c r="B20" s="46" t="s">
        <v>12083</v>
      </c>
      <c r="C20" s="46" t="s">
        <v>12156</v>
      </c>
      <c r="D20" s="46" t="s">
        <v>10</v>
      </c>
      <c r="E20" s="46" t="s">
        <v>986</v>
      </c>
      <c r="F20" s="46" t="s">
        <v>12157</v>
      </c>
      <c r="G20" s="46" t="s">
        <v>12158</v>
      </c>
      <c r="H20" s="46" t="s">
        <v>12159</v>
      </c>
      <c r="I20" s="46" t="s">
        <v>12160</v>
      </c>
      <c r="J20" s="46" t="s">
        <v>1852</v>
      </c>
      <c r="K20" s="153"/>
    </row>
    <row r="21" spans="1:11" x14ac:dyDescent="0.3">
      <c r="A21" s="46" t="s">
        <v>12161</v>
      </c>
      <c r="B21" s="46" t="s">
        <v>12083</v>
      </c>
      <c r="C21" s="46" t="s">
        <v>12162</v>
      </c>
      <c r="D21" s="46" t="s">
        <v>10</v>
      </c>
      <c r="E21" s="46" t="s">
        <v>986</v>
      </c>
      <c r="F21" s="46" t="s">
        <v>12163</v>
      </c>
      <c r="G21" s="46" t="s">
        <v>12158</v>
      </c>
      <c r="H21" s="46" t="s">
        <v>12164</v>
      </c>
      <c r="I21" s="46" t="s">
        <v>12165</v>
      </c>
      <c r="J21" s="46" t="s">
        <v>1852</v>
      </c>
      <c r="K21" s="153"/>
    </row>
    <row r="22" spans="1:11" x14ac:dyDescent="0.3">
      <c r="A22" s="46" t="s">
        <v>12166</v>
      </c>
      <c r="B22" s="46" t="s">
        <v>12083</v>
      </c>
      <c r="C22" s="46" t="s">
        <v>12167</v>
      </c>
      <c r="D22" s="46" t="s">
        <v>10</v>
      </c>
      <c r="E22" s="46" t="s">
        <v>986</v>
      </c>
      <c r="F22" s="46" t="s">
        <v>10555</v>
      </c>
      <c r="G22" s="46" t="s">
        <v>12158</v>
      </c>
      <c r="H22" s="46" t="s">
        <v>12168</v>
      </c>
      <c r="I22" s="46" t="s">
        <v>12169</v>
      </c>
      <c r="J22" s="46" t="s">
        <v>1852</v>
      </c>
      <c r="K22" s="153"/>
    </row>
    <row r="23" spans="1:11" x14ac:dyDescent="0.3">
      <c r="A23" s="46" t="s">
        <v>12170</v>
      </c>
      <c r="B23" s="46" t="s">
        <v>12083</v>
      </c>
      <c r="C23" s="46" t="s">
        <v>12171</v>
      </c>
      <c r="D23" s="46" t="s">
        <v>13</v>
      </c>
      <c r="E23" s="46" t="s">
        <v>664</v>
      </c>
      <c r="F23" s="46" t="s">
        <v>12172</v>
      </c>
      <c r="G23" s="46" t="s">
        <v>12173</v>
      </c>
      <c r="H23" s="46" t="s">
        <v>12174</v>
      </c>
      <c r="I23" s="46" t="s">
        <v>12175</v>
      </c>
      <c r="J23" s="46" t="s">
        <v>1852</v>
      </c>
      <c r="K23" s="153"/>
    </row>
    <row r="24" spans="1:11" x14ac:dyDescent="0.3">
      <c r="A24" s="89" t="s">
        <v>12176</v>
      </c>
      <c r="B24" s="89" t="s">
        <v>12177</v>
      </c>
      <c r="C24" s="89" t="s">
        <v>12178</v>
      </c>
      <c r="D24" s="89" t="s">
        <v>13</v>
      </c>
      <c r="E24" s="89" t="s">
        <v>52</v>
      </c>
      <c r="F24" s="89" t="s">
        <v>12179</v>
      </c>
      <c r="G24" s="89" t="s">
        <v>11520</v>
      </c>
      <c r="H24" s="89" t="s">
        <v>12180</v>
      </c>
      <c r="I24" s="89" t="s">
        <v>12181</v>
      </c>
      <c r="J24" s="89" t="s">
        <v>1852</v>
      </c>
      <c r="K24" s="153"/>
    </row>
    <row r="25" spans="1:11" x14ac:dyDescent="0.3">
      <c r="A25" s="89" t="s">
        <v>12182</v>
      </c>
      <c r="B25" s="89" t="s">
        <v>12177</v>
      </c>
      <c r="C25" s="89" t="s">
        <v>12183</v>
      </c>
      <c r="D25" s="89" t="s">
        <v>13</v>
      </c>
      <c r="E25" s="89" t="s">
        <v>52</v>
      </c>
      <c r="F25" s="89" t="s">
        <v>12184</v>
      </c>
      <c r="G25" s="89" t="s">
        <v>12121</v>
      </c>
      <c r="H25" s="89" t="s">
        <v>12185</v>
      </c>
      <c r="I25" s="89" t="s">
        <v>14</v>
      </c>
      <c r="J25" s="89" t="s">
        <v>1852</v>
      </c>
      <c r="K25" s="153"/>
    </row>
    <row r="26" spans="1:11" x14ac:dyDescent="0.3">
      <c r="A26" s="89" t="s">
        <v>12186</v>
      </c>
      <c r="B26" s="89" t="s">
        <v>12177</v>
      </c>
      <c r="C26" s="89" t="s">
        <v>12187</v>
      </c>
      <c r="D26" s="89" t="s">
        <v>13</v>
      </c>
      <c r="E26" s="89" t="s">
        <v>52</v>
      </c>
      <c r="F26" s="89" t="s">
        <v>12188</v>
      </c>
      <c r="G26" s="89" t="s">
        <v>11520</v>
      </c>
      <c r="H26" s="89" t="s">
        <v>12189</v>
      </c>
      <c r="I26" s="89" t="s">
        <v>12190</v>
      </c>
      <c r="J26" s="89" t="s">
        <v>1852</v>
      </c>
      <c r="K26" s="153"/>
    </row>
    <row r="27" spans="1:11" x14ac:dyDescent="0.3">
      <c r="A27" s="89" t="s">
        <v>12191</v>
      </c>
      <c r="B27" s="89" t="s">
        <v>12177</v>
      </c>
      <c r="C27" s="89" t="s">
        <v>12192</v>
      </c>
      <c r="D27" s="89" t="s">
        <v>13</v>
      </c>
      <c r="E27" s="89" t="s">
        <v>52</v>
      </c>
      <c r="F27" s="89" t="s">
        <v>12193</v>
      </c>
      <c r="G27" s="89" t="s">
        <v>11520</v>
      </c>
      <c r="H27" s="89" t="s">
        <v>12194</v>
      </c>
      <c r="I27" s="89" t="s">
        <v>12195</v>
      </c>
      <c r="J27" s="89" t="s">
        <v>1852</v>
      </c>
      <c r="K27" s="153"/>
    </row>
    <row r="28" spans="1:11" x14ac:dyDescent="0.3">
      <c r="A28" s="89" t="s">
        <v>12196</v>
      </c>
      <c r="B28" s="89" t="s">
        <v>12177</v>
      </c>
      <c r="C28" s="89" t="s">
        <v>12197</v>
      </c>
      <c r="D28" s="89" t="s">
        <v>13</v>
      </c>
      <c r="E28" s="89" t="s">
        <v>52</v>
      </c>
      <c r="F28" s="89" t="s">
        <v>12198</v>
      </c>
      <c r="G28" s="89" t="s">
        <v>12121</v>
      </c>
      <c r="H28" s="89" t="s">
        <v>12199</v>
      </c>
      <c r="I28" s="89" t="s">
        <v>14</v>
      </c>
      <c r="J28" s="89" t="s">
        <v>1852</v>
      </c>
      <c r="K28" s="153"/>
    </row>
    <row r="29" spans="1:11" x14ac:dyDescent="0.3">
      <c r="A29" s="89" t="s">
        <v>12200</v>
      </c>
      <c r="B29" s="89" t="s">
        <v>12177</v>
      </c>
      <c r="C29" s="89" t="s">
        <v>8977</v>
      </c>
      <c r="D29" s="89" t="s">
        <v>13</v>
      </c>
      <c r="E29" s="89" t="s">
        <v>52</v>
      </c>
      <c r="F29" s="89" t="s">
        <v>12201</v>
      </c>
      <c r="G29" s="89" t="s">
        <v>12121</v>
      </c>
      <c r="H29" s="89" t="s">
        <v>8980</v>
      </c>
      <c r="I29" s="89" t="s">
        <v>14</v>
      </c>
      <c r="J29" s="89" t="s">
        <v>1852</v>
      </c>
      <c r="K29" s="153"/>
    </row>
    <row r="30" spans="1:11" x14ac:dyDescent="0.3">
      <c r="A30" s="89" t="s">
        <v>12202</v>
      </c>
      <c r="B30" s="89" t="s">
        <v>12177</v>
      </c>
      <c r="C30" s="89" t="s">
        <v>12203</v>
      </c>
      <c r="D30" s="89" t="s">
        <v>13</v>
      </c>
      <c r="E30" s="89" t="s">
        <v>52</v>
      </c>
      <c r="F30" s="89" t="s">
        <v>11641</v>
      </c>
      <c r="G30" s="89" t="s">
        <v>12204</v>
      </c>
      <c r="H30" s="89" t="s">
        <v>12205</v>
      </c>
      <c r="I30" s="89" t="s">
        <v>12206</v>
      </c>
      <c r="J30" s="89" t="s">
        <v>1852</v>
      </c>
      <c r="K30" s="153"/>
    </row>
    <row r="31" spans="1:11" x14ac:dyDescent="0.3">
      <c r="A31" s="89" t="s">
        <v>12207</v>
      </c>
      <c r="B31" s="89" t="s">
        <v>12177</v>
      </c>
      <c r="C31" s="89" t="s">
        <v>12208</v>
      </c>
      <c r="D31" s="89" t="s">
        <v>13</v>
      </c>
      <c r="E31" s="89" t="s">
        <v>12209</v>
      </c>
      <c r="F31" s="89" t="s">
        <v>11641</v>
      </c>
      <c r="G31" s="89" t="s">
        <v>12210</v>
      </c>
      <c r="H31" s="89" t="s">
        <v>12211</v>
      </c>
      <c r="I31" s="89" t="s">
        <v>12212</v>
      </c>
      <c r="J31" s="89" t="s">
        <v>1868</v>
      </c>
      <c r="K31" s="153"/>
    </row>
    <row r="32" spans="1:11" x14ac:dyDescent="0.3">
      <c r="A32" s="89" t="s">
        <v>12213</v>
      </c>
      <c r="B32" s="89" t="s">
        <v>12177</v>
      </c>
      <c r="C32" s="89" t="s">
        <v>12214</v>
      </c>
      <c r="D32" s="89" t="s">
        <v>13</v>
      </c>
      <c r="E32" s="89" t="s">
        <v>52</v>
      </c>
      <c r="F32" s="89" t="s">
        <v>12215</v>
      </c>
      <c r="G32" s="89" t="s">
        <v>12216</v>
      </c>
      <c r="H32" s="89" t="s">
        <v>12217</v>
      </c>
      <c r="I32" s="89" t="s">
        <v>12218</v>
      </c>
      <c r="J32" s="89" t="s">
        <v>1868</v>
      </c>
      <c r="K32" s="153"/>
    </row>
    <row r="33" spans="1:11" x14ac:dyDescent="0.3">
      <c r="A33" s="89" t="s">
        <v>12219</v>
      </c>
      <c r="B33" s="89" t="s">
        <v>12177</v>
      </c>
      <c r="C33" s="89" t="s">
        <v>12220</v>
      </c>
      <c r="D33" s="89" t="s">
        <v>21</v>
      </c>
      <c r="E33" s="89" t="s">
        <v>12221</v>
      </c>
      <c r="F33" s="89" t="s">
        <v>12222</v>
      </c>
      <c r="G33" s="89" t="s">
        <v>12223</v>
      </c>
      <c r="H33" s="89" t="s">
        <v>12224</v>
      </c>
      <c r="I33" s="89" t="s">
        <v>12225</v>
      </c>
      <c r="J33" s="89" t="s">
        <v>1852</v>
      </c>
      <c r="K33" s="153"/>
    </row>
    <row r="34" spans="1:11" x14ac:dyDescent="0.3">
      <c r="A34" s="89" t="s">
        <v>12226</v>
      </c>
      <c r="B34" s="89" t="s">
        <v>12177</v>
      </c>
      <c r="C34" s="89" t="s">
        <v>12227</v>
      </c>
      <c r="D34" s="89" t="s">
        <v>13</v>
      </c>
      <c r="E34" s="89" t="s">
        <v>12209</v>
      </c>
      <c r="F34" s="89" t="s">
        <v>12228</v>
      </c>
      <c r="G34" s="89" t="s">
        <v>12229</v>
      </c>
      <c r="H34" s="89" t="s">
        <v>12230</v>
      </c>
      <c r="I34" s="89" t="s">
        <v>14</v>
      </c>
      <c r="J34" s="89" t="s">
        <v>1868</v>
      </c>
      <c r="K34" s="153"/>
    </row>
    <row r="35" spans="1:11" x14ac:dyDescent="0.3">
      <c r="A35" s="89" t="s">
        <v>12231</v>
      </c>
      <c r="B35" s="89" t="s">
        <v>12177</v>
      </c>
      <c r="C35" s="89" t="s">
        <v>12232</v>
      </c>
      <c r="D35" s="89" t="s">
        <v>21</v>
      </c>
      <c r="E35" s="89" t="s">
        <v>52</v>
      </c>
      <c r="F35" s="89" t="s">
        <v>12233</v>
      </c>
      <c r="G35" s="89" t="s">
        <v>11520</v>
      </c>
      <c r="H35" s="89" t="s">
        <v>12234</v>
      </c>
      <c r="I35" s="89" t="s">
        <v>14</v>
      </c>
      <c r="J35" s="89" t="s">
        <v>1868</v>
      </c>
      <c r="K35" s="153"/>
    </row>
    <row r="36" spans="1:11" x14ac:dyDescent="0.3">
      <c r="A36" s="89" t="s">
        <v>12235</v>
      </c>
      <c r="B36" s="89" t="s">
        <v>12177</v>
      </c>
      <c r="C36" s="89" t="s">
        <v>12236</v>
      </c>
      <c r="D36" s="89" t="s">
        <v>13</v>
      </c>
      <c r="E36" s="89" t="s">
        <v>52</v>
      </c>
      <c r="F36" s="89" t="s">
        <v>12237</v>
      </c>
      <c r="G36" s="89" t="s">
        <v>12238</v>
      </c>
      <c r="H36" s="89" t="s">
        <v>12239</v>
      </c>
      <c r="I36" s="89" t="s">
        <v>12240</v>
      </c>
      <c r="J36" s="89" t="s">
        <v>1852</v>
      </c>
      <c r="K36" s="153"/>
    </row>
    <row r="37" spans="1:11" x14ac:dyDescent="0.3">
      <c r="A37" s="89" t="s">
        <v>12241</v>
      </c>
      <c r="B37" s="89" t="s">
        <v>12177</v>
      </c>
      <c r="C37" s="89" t="s">
        <v>12242</v>
      </c>
      <c r="D37" s="89" t="s">
        <v>13</v>
      </c>
      <c r="E37" s="89" t="s">
        <v>52</v>
      </c>
      <c r="F37" s="89" t="s">
        <v>12243</v>
      </c>
      <c r="G37" s="89" t="s">
        <v>12238</v>
      </c>
      <c r="H37" s="89" t="s">
        <v>12244</v>
      </c>
      <c r="I37" s="89" t="s">
        <v>14</v>
      </c>
      <c r="J37" s="89" t="s">
        <v>1852</v>
      </c>
      <c r="K37" s="153"/>
    </row>
    <row r="38" spans="1:11" x14ac:dyDescent="0.3">
      <c r="A38" s="89" t="s">
        <v>12245</v>
      </c>
      <c r="B38" s="89" t="s">
        <v>12177</v>
      </c>
      <c r="C38" s="89" t="s">
        <v>12246</v>
      </c>
      <c r="D38" s="89" t="s">
        <v>13</v>
      </c>
      <c r="E38" s="89" t="s">
        <v>12247</v>
      </c>
      <c r="F38" s="89" t="s">
        <v>12248</v>
      </c>
      <c r="G38" s="89" t="s">
        <v>12249</v>
      </c>
      <c r="H38" s="89" t="s">
        <v>12250</v>
      </c>
      <c r="I38" s="89" t="s">
        <v>14</v>
      </c>
      <c r="J38" s="89" t="s">
        <v>1852</v>
      </c>
      <c r="K38" s="153"/>
    </row>
    <row r="39" spans="1:11" x14ac:dyDescent="0.3">
      <c r="A39" s="89" t="s">
        <v>12251</v>
      </c>
      <c r="B39" s="89" t="s">
        <v>12177</v>
      </c>
      <c r="C39" s="89" t="s">
        <v>12252</v>
      </c>
      <c r="D39" s="89" t="s">
        <v>21</v>
      </c>
      <c r="E39" s="89" t="s">
        <v>52</v>
      </c>
      <c r="F39" s="89" t="s">
        <v>12253</v>
      </c>
      <c r="G39" s="89" t="s">
        <v>11520</v>
      </c>
      <c r="H39" s="89" t="s">
        <v>12254</v>
      </c>
      <c r="I39" s="89" t="s">
        <v>14</v>
      </c>
      <c r="J39" s="89" t="s">
        <v>1868</v>
      </c>
      <c r="K39" s="153"/>
    </row>
    <row r="40" spans="1:11" x14ac:dyDescent="0.3">
      <c r="A40" s="89" t="s">
        <v>12255</v>
      </c>
      <c r="B40" s="89" t="s">
        <v>12177</v>
      </c>
      <c r="C40" s="89" t="s">
        <v>12256</v>
      </c>
      <c r="D40" s="89" t="s">
        <v>13</v>
      </c>
      <c r="E40" s="89" t="s">
        <v>52</v>
      </c>
      <c r="F40" s="89" t="s">
        <v>12257</v>
      </c>
      <c r="G40" s="89" t="s">
        <v>12258</v>
      </c>
      <c r="H40" s="89" t="s">
        <v>12259</v>
      </c>
      <c r="I40" s="89" t="s">
        <v>12260</v>
      </c>
      <c r="J40" s="89" t="s">
        <v>1868</v>
      </c>
      <c r="K40" s="153"/>
    </row>
    <row r="41" spans="1:11" x14ac:dyDescent="0.3">
      <c r="A41" s="89" t="s">
        <v>12261</v>
      </c>
      <c r="B41" s="89" t="s">
        <v>12177</v>
      </c>
      <c r="C41" s="89" t="s">
        <v>12262</v>
      </c>
      <c r="D41" s="89" t="s">
        <v>13</v>
      </c>
      <c r="E41" s="89" t="s">
        <v>8654</v>
      </c>
      <c r="F41" s="89" t="s">
        <v>12263</v>
      </c>
      <c r="G41" s="89" t="s">
        <v>12264</v>
      </c>
      <c r="H41" s="89" t="s">
        <v>12265</v>
      </c>
      <c r="I41" s="89" t="s">
        <v>12266</v>
      </c>
      <c r="J41" s="89" t="s">
        <v>1852</v>
      </c>
      <c r="K41" s="153"/>
    </row>
    <row r="42" spans="1:11" x14ac:dyDescent="0.3">
      <c r="A42" s="89" t="s">
        <v>12267</v>
      </c>
      <c r="B42" s="89" t="s">
        <v>12177</v>
      </c>
      <c r="C42" s="89" t="s">
        <v>12268</v>
      </c>
      <c r="D42" s="89" t="s">
        <v>13</v>
      </c>
      <c r="E42" s="89" t="s">
        <v>12209</v>
      </c>
      <c r="F42" s="89" t="s">
        <v>12269</v>
      </c>
      <c r="G42" s="89" t="s">
        <v>12270</v>
      </c>
      <c r="H42" s="89" t="s">
        <v>12271</v>
      </c>
      <c r="I42" s="89" t="s">
        <v>14</v>
      </c>
      <c r="J42" s="89" t="s">
        <v>1868</v>
      </c>
      <c r="K42" s="153"/>
    </row>
    <row r="43" spans="1:11" x14ac:dyDescent="0.3">
      <c r="A43" s="89" t="s">
        <v>12272</v>
      </c>
      <c r="B43" s="89" t="s">
        <v>12177</v>
      </c>
      <c r="C43" s="89" t="s">
        <v>12273</v>
      </c>
      <c r="D43" s="89" t="s">
        <v>13</v>
      </c>
      <c r="E43" s="89" t="s">
        <v>12209</v>
      </c>
      <c r="F43" s="89" t="s">
        <v>12274</v>
      </c>
      <c r="G43" s="89" t="s">
        <v>12275</v>
      </c>
      <c r="H43" s="89" t="s">
        <v>12276</v>
      </c>
      <c r="I43" s="89" t="s">
        <v>14</v>
      </c>
      <c r="J43" s="89" t="s">
        <v>1868</v>
      </c>
      <c r="K43" s="153"/>
    </row>
    <row r="44" spans="1:11" x14ac:dyDescent="0.3">
      <c r="A44" s="47" t="s">
        <v>12277</v>
      </c>
      <c r="B44" s="47" t="s">
        <v>12278</v>
      </c>
      <c r="C44" s="47" t="s">
        <v>12279</v>
      </c>
      <c r="D44" s="47" t="s">
        <v>13</v>
      </c>
      <c r="E44" s="47" t="s">
        <v>40</v>
      </c>
      <c r="F44" s="47" t="s">
        <v>12280</v>
      </c>
      <c r="G44" s="47" t="s">
        <v>12281</v>
      </c>
      <c r="H44" s="47" t="s">
        <v>12282</v>
      </c>
      <c r="I44" s="47" t="s">
        <v>12283</v>
      </c>
      <c r="J44" s="47" t="s">
        <v>1852</v>
      </c>
      <c r="K44" s="153"/>
    </row>
    <row r="45" spans="1:11" x14ac:dyDescent="0.3">
      <c r="A45" s="47" t="s">
        <v>12284</v>
      </c>
      <c r="B45" s="47" t="s">
        <v>12278</v>
      </c>
      <c r="C45" s="47" t="s">
        <v>12285</v>
      </c>
      <c r="D45" s="47" t="s">
        <v>13</v>
      </c>
      <c r="E45" s="47" t="s">
        <v>40</v>
      </c>
      <c r="F45" s="47" t="s">
        <v>12286</v>
      </c>
      <c r="G45" s="47" t="s">
        <v>12281</v>
      </c>
      <c r="H45" s="47" t="s">
        <v>12287</v>
      </c>
      <c r="I45" s="47" t="s">
        <v>14</v>
      </c>
      <c r="J45" s="47" t="s">
        <v>1852</v>
      </c>
      <c r="K45" s="153"/>
    </row>
    <row r="46" spans="1:11" x14ac:dyDescent="0.3">
      <c r="A46" s="47" t="s">
        <v>12288</v>
      </c>
      <c r="B46" s="47" t="s">
        <v>12278</v>
      </c>
      <c r="C46" s="47" t="s">
        <v>12289</v>
      </c>
      <c r="D46" s="47" t="s">
        <v>13</v>
      </c>
      <c r="E46" s="47" t="s">
        <v>12290</v>
      </c>
      <c r="F46" s="47" t="s">
        <v>12291</v>
      </c>
      <c r="G46" s="47" t="s">
        <v>12292</v>
      </c>
      <c r="H46" s="47" t="s">
        <v>12293</v>
      </c>
      <c r="I46" s="47" t="s">
        <v>12294</v>
      </c>
      <c r="J46" s="47" t="s">
        <v>1852</v>
      </c>
      <c r="K46" s="153"/>
    </row>
    <row r="47" spans="1:11" x14ac:dyDescent="0.3">
      <c r="A47" s="47" t="s">
        <v>12295</v>
      </c>
      <c r="B47" s="47" t="s">
        <v>12278</v>
      </c>
      <c r="C47" s="47" t="s">
        <v>12296</v>
      </c>
      <c r="D47" s="47" t="s">
        <v>13</v>
      </c>
      <c r="E47" s="47" t="s">
        <v>12297</v>
      </c>
      <c r="F47" s="47" t="s">
        <v>12291</v>
      </c>
      <c r="G47" s="47" t="s">
        <v>10917</v>
      </c>
      <c r="H47" s="47" t="s">
        <v>12298</v>
      </c>
      <c r="I47" s="47" t="s">
        <v>12299</v>
      </c>
      <c r="J47" s="47" t="s">
        <v>1868</v>
      </c>
      <c r="K47" s="153"/>
    </row>
    <row r="48" spans="1:11" x14ac:dyDescent="0.3">
      <c r="A48" s="47" t="s">
        <v>12300</v>
      </c>
      <c r="B48" s="47" t="s">
        <v>12278</v>
      </c>
      <c r="C48" s="47" t="s">
        <v>12301</v>
      </c>
      <c r="D48" s="47" t="s">
        <v>13</v>
      </c>
      <c r="E48" s="47" t="s">
        <v>40</v>
      </c>
      <c r="F48" s="47" t="s">
        <v>12302</v>
      </c>
      <c r="G48" s="47" t="s">
        <v>12303</v>
      </c>
      <c r="H48" s="47" t="s">
        <v>12304</v>
      </c>
      <c r="I48" s="47" t="s">
        <v>14</v>
      </c>
      <c r="J48" s="47" t="s">
        <v>1868</v>
      </c>
      <c r="K48" s="153"/>
    </row>
    <row r="49" spans="1:11" x14ac:dyDescent="0.3">
      <c r="A49" s="47" t="s">
        <v>12305</v>
      </c>
      <c r="B49" s="47" t="s">
        <v>12278</v>
      </c>
      <c r="C49" s="47" t="s">
        <v>12306</v>
      </c>
      <c r="D49" s="47" t="s">
        <v>13</v>
      </c>
      <c r="E49" s="47" t="s">
        <v>12307</v>
      </c>
      <c r="F49" s="47" t="s">
        <v>12308</v>
      </c>
      <c r="G49" s="47" t="s">
        <v>12309</v>
      </c>
      <c r="H49" s="47" t="s">
        <v>12310</v>
      </c>
      <c r="I49" s="47" t="s">
        <v>14</v>
      </c>
      <c r="J49" s="47" t="s">
        <v>1868</v>
      </c>
      <c r="K49" s="153"/>
    </row>
    <row r="50" spans="1:11" x14ac:dyDescent="0.3">
      <c r="A50" s="47" t="s">
        <v>12311</v>
      </c>
      <c r="B50" s="47" t="s">
        <v>12278</v>
      </c>
      <c r="C50" s="47" t="s">
        <v>12312</v>
      </c>
      <c r="D50" s="47" t="s">
        <v>13</v>
      </c>
      <c r="E50" s="47" t="s">
        <v>40</v>
      </c>
      <c r="F50" s="47" t="s">
        <v>12313</v>
      </c>
      <c r="G50" s="47" t="s">
        <v>12314</v>
      </c>
      <c r="H50" s="47" t="s">
        <v>12315</v>
      </c>
      <c r="I50" s="47" t="s">
        <v>14</v>
      </c>
      <c r="J50" s="47" t="s">
        <v>1852</v>
      </c>
      <c r="K50" s="153"/>
    </row>
    <row r="51" spans="1:11" x14ac:dyDescent="0.3">
      <c r="A51" s="47" t="s">
        <v>12316</v>
      </c>
      <c r="B51" s="47" t="s">
        <v>12278</v>
      </c>
      <c r="C51" s="47" t="s">
        <v>12317</v>
      </c>
      <c r="D51" s="47" t="s">
        <v>13</v>
      </c>
      <c r="E51" s="47" t="s">
        <v>40</v>
      </c>
      <c r="F51" s="47" t="s">
        <v>12318</v>
      </c>
      <c r="G51" s="47" t="s">
        <v>12319</v>
      </c>
      <c r="H51" s="47" t="s">
        <v>12320</v>
      </c>
      <c r="I51" s="47" t="s">
        <v>14</v>
      </c>
      <c r="J51" s="47" t="s">
        <v>1868</v>
      </c>
      <c r="K51" s="153"/>
    </row>
    <row r="52" spans="1:11" x14ac:dyDescent="0.3">
      <c r="A52" s="47" t="s">
        <v>12321</v>
      </c>
      <c r="B52" s="47" t="s">
        <v>12278</v>
      </c>
      <c r="C52" s="47" t="s">
        <v>12322</v>
      </c>
      <c r="D52" s="47" t="s">
        <v>13</v>
      </c>
      <c r="E52" s="47" t="s">
        <v>40</v>
      </c>
      <c r="F52" s="47" t="s">
        <v>9014</v>
      </c>
      <c r="G52" s="47" t="s">
        <v>12323</v>
      </c>
      <c r="H52" s="47" t="s">
        <v>12324</v>
      </c>
      <c r="I52" s="47" t="s">
        <v>14</v>
      </c>
      <c r="J52" s="47" t="s">
        <v>1852</v>
      </c>
      <c r="K52" s="153"/>
    </row>
    <row r="53" spans="1:11" x14ac:dyDescent="0.3">
      <c r="A53" s="47" t="s">
        <v>12325</v>
      </c>
      <c r="B53" s="47" t="s">
        <v>12278</v>
      </c>
      <c r="C53" s="47" t="s">
        <v>12326</v>
      </c>
      <c r="D53" s="47" t="s">
        <v>13</v>
      </c>
      <c r="E53" s="47" t="s">
        <v>12290</v>
      </c>
      <c r="F53" s="47" t="s">
        <v>12327</v>
      </c>
      <c r="G53" s="47" t="s">
        <v>11613</v>
      </c>
      <c r="H53" s="47" t="s">
        <v>12328</v>
      </c>
      <c r="I53" s="47" t="s">
        <v>12329</v>
      </c>
      <c r="J53" s="47" t="s">
        <v>1868</v>
      </c>
      <c r="K53" s="153"/>
    </row>
    <row r="54" spans="1:11" x14ac:dyDescent="0.3">
      <c r="A54" s="47" t="s">
        <v>12330</v>
      </c>
      <c r="B54" s="47" t="s">
        <v>12278</v>
      </c>
      <c r="C54" s="47" t="s">
        <v>12331</v>
      </c>
      <c r="D54" s="47" t="s">
        <v>13</v>
      </c>
      <c r="E54" s="47" t="s">
        <v>12332</v>
      </c>
      <c r="F54" s="47" t="s">
        <v>12333</v>
      </c>
      <c r="G54" s="47" t="s">
        <v>12334</v>
      </c>
      <c r="H54" s="47" t="s">
        <v>12335</v>
      </c>
      <c r="I54" s="47" t="s">
        <v>14</v>
      </c>
      <c r="J54" s="47" t="s">
        <v>1868</v>
      </c>
      <c r="K54" s="153"/>
    </row>
    <row r="55" spans="1:11" x14ac:dyDescent="0.3">
      <c r="A55" s="47" t="s">
        <v>12336</v>
      </c>
      <c r="B55" s="47" t="s">
        <v>12278</v>
      </c>
      <c r="C55" s="47" t="s">
        <v>12337</v>
      </c>
      <c r="D55" s="47" t="s">
        <v>13</v>
      </c>
      <c r="E55" s="47" t="s">
        <v>40</v>
      </c>
      <c r="F55" s="47" t="s">
        <v>12338</v>
      </c>
      <c r="G55" s="47" t="s">
        <v>12339</v>
      </c>
      <c r="H55" s="47" t="s">
        <v>12340</v>
      </c>
      <c r="I55" s="47" t="s">
        <v>14</v>
      </c>
      <c r="J55" s="47" t="s">
        <v>1868</v>
      </c>
      <c r="K55" s="153"/>
    </row>
    <row r="56" spans="1:11" x14ac:dyDescent="0.3">
      <c r="A56" s="47" t="s">
        <v>12341</v>
      </c>
      <c r="B56" s="47" t="s">
        <v>12278</v>
      </c>
      <c r="C56" s="47" t="s">
        <v>12342</v>
      </c>
      <c r="D56" s="47" t="s">
        <v>21</v>
      </c>
      <c r="E56" s="47" t="s">
        <v>40</v>
      </c>
      <c r="F56" s="47" t="s">
        <v>12343</v>
      </c>
      <c r="G56" s="47" t="s">
        <v>12344</v>
      </c>
      <c r="H56" s="47" t="s">
        <v>12345</v>
      </c>
      <c r="I56" s="47" t="s">
        <v>14</v>
      </c>
      <c r="J56" s="47" t="s">
        <v>1868</v>
      </c>
      <c r="K56" s="153"/>
    </row>
    <row r="57" spans="1:11" x14ac:dyDescent="0.3">
      <c r="A57" s="47" t="s">
        <v>12346</v>
      </c>
      <c r="B57" s="47" t="s">
        <v>12278</v>
      </c>
      <c r="C57" s="47" t="s">
        <v>12347</v>
      </c>
      <c r="D57" s="47" t="s">
        <v>21</v>
      </c>
      <c r="E57" s="47" t="s">
        <v>12348</v>
      </c>
      <c r="F57" s="47" t="s">
        <v>12349</v>
      </c>
      <c r="G57" s="47" t="s">
        <v>12350</v>
      </c>
      <c r="H57" s="47" t="s">
        <v>12351</v>
      </c>
      <c r="I57" s="47" t="s">
        <v>14</v>
      </c>
      <c r="J57" s="47" t="s">
        <v>1852</v>
      </c>
      <c r="K57" s="153"/>
    </row>
    <row r="58" spans="1:11" x14ac:dyDescent="0.3">
      <c r="A58" s="47" t="s">
        <v>12352</v>
      </c>
      <c r="B58" s="47" t="s">
        <v>12278</v>
      </c>
      <c r="C58" s="47" t="s">
        <v>12353</v>
      </c>
      <c r="D58" s="47" t="s">
        <v>21</v>
      </c>
      <c r="E58" s="47" t="s">
        <v>12354</v>
      </c>
      <c r="F58" s="47" t="s">
        <v>12355</v>
      </c>
      <c r="G58" s="47" t="s">
        <v>12303</v>
      </c>
      <c r="H58" s="47" t="s">
        <v>12356</v>
      </c>
      <c r="I58" s="47" t="s">
        <v>14</v>
      </c>
      <c r="J58" s="47" t="s">
        <v>1868</v>
      </c>
      <c r="K58" s="153"/>
    </row>
    <row r="59" spans="1:11" x14ac:dyDescent="0.3">
      <c r="A59" s="47" t="s">
        <v>12357</v>
      </c>
      <c r="B59" s="47" t="s">
        <v>12278</v>
      </c>
      <c r="C59" s="47" t="s">
        <v>12358</v>
      </c>
      <c r="D59" s="47" t="s">
        <v>13</v>
      </c>
      <c r="E59" s="47" t="s">
        <v>12307</v>
      </c>
      <c r="F59" s="47" t="s">
        <v>12359</v>
      </c>
      <c r="G59" s="47" t="s">
        <v>12360</v>
      </c>
      <c r="H59" s="47" t="s">
        <v>12361</v>
      </c>
      <c r="I59" s="47" t="s">
        <v>14</v>
      </c>
      <c r="J59" s="47" t="s">
        <v>1868</v>
      </c>
      <c r="K59" s="153"/>
    </row>
    <row r="60" spans="1:11" x14ac:dyDescent="0.3">
      <c r="A60" s="47" t="s">
        <v>12362</v>
      </c>
      <c r="B60" s="47" t="s">
        <v>12278</v>
      </c>
      <c r="C60" s="47" t="s">
        <v>12363</v>
      </c>
      <c r="D60" s="47" t="s">
        <v>13</v>
      </c>
      <c r="E60" s="47" t="s">
        <v>40</v>
      </c>
      <c r="F60" s="47" t="s">
        <v>12364</v>
      </c>
      <c r="G60" s="47" t="s">
        <v>12365</v>
      </c>
      <c r="H60" s="47" t="s">
        <v>12366</v>
      </c>
      <c r="I60" s="47" t="s">
        <v>14</v>
      </c>
      <c r="J60" s="47" t="s">
        <v>1852</v>
      </c>
      <c r="K60" s="153"/>
    </row>
    <row r="61" spans="1:11" x14ac:dyDescent="0.3">
      <c r="A61" s="47" t="s">
        <v>12367</v>
      </c>
      <c r="B61" s="47" t="s">
        <v>12278</v>
      </c>
      <c r="C61" s="47" t="s">
        <v>12368</v>
      </c>
      <c r="D61" s="47" t="s">
        <v>13</v>
      </c>
      <c r="E61" s="47" t="s">
        <v>40</v>
      </c>
      <c r="F61" s="47" t="s">
        <v>12369</v>
      </c>
      <c r="G61" s="47" t="s">
        <v>12370</v>
      </c>
      <c r="H61" s="47" t="s">
        <v>12371</v>
      </c>
      <c r="I61" s="47" t="s">
        <v>12372</v>
      </c>
      <c r="J61" s="47" t="s">
        <v>1873</v>
      </c>
      <c r="K61" s="153"/>
    </row>
    <row r="62" spans="1:11" x14ac:dyDescent="0.3">
      <c r="A62" s="40" t="s">
        <v>12910</v>
      </c>
      <c r="B62" s="40" t="s">
        <v>12373</v>
      </c>
      <c r="C62" s="40" t="s">
        <v>12374</v>
      </c>
      <c r="D62" s="40" t="s">
        <v>13</v>
      </c>
      <c r="E62" s="40" t="s">
        <v>629</v>
      </c>
      <c r="F62" s="40" t="s">
        <v>12872</v>
      </c>
      <c r="G62" s="40" t="s">
        <v>12375</v>
      </c>
      <c r="H62" s="40" t="s">
        <v>12376</v>
      </c>
      <c r="I62" s="40" t="s">
        <v>12377</v>
      </c>
      <c r="J62" s="40" t="s">
        <v>1852</v>
      </c>
      <c r="K62" s="155"/>
    </row>
    <row r="63" spans="1:11" x14ac:dyDescent="0.3">
      <c r="A63" s="40" t="s">
        <v>12911</v>
      </c>
      <c r="B63" s="40" t="s">
        <v>12373</v>
      </c>
      <c r="C63" s="40" t="s">
        <v>12378</v>
      </c>
      <c r="D63" s="40" t="s">
        <v>10</v>
      </c>
      <c r="E63" s="40" t="s">
        <v>629</v>
      </c>
      <c r="F63" s="40" t="s">
        <v>12379</v>
      </c>
      <c r="G63" s="40" t="s">
        <v>12380</v>
      </c>
      <c r="H63" s="40" t="s">
        <v>12381</v>
      </c>
      <c r="I63" s="40" t="s">
        <v>12382</v>
      </c>
      <c r="J63" s="40" t="s">
        <v>1852</v>
      </c>
      <c r="K63" s="153"/>
    </row>
    <row r="64" spans="1:11" x14ac:dyDescent="0.3">
      <c r="A64" s="40" t="s">
        <v>12912</v>
      </c>
      <c r="B64" s="40" t="s">
        <v>12373</v>
      </c>
      <c r="C64" s="40" t="s">
        <v>12383</v>
      </c>
      <c r="D64" s="40" t="s">
        <v>10</v>
      </c>
      <c r="E64" s="40" t="s">
        <v>629</v>
      </c>
      <c r="F64" s="40" t="s">
        <v>12379</v>
      </c>
      <c r="G64" s="40" t="s">
        <v>12384</v>
      </c>
      <c r="H64" s="40" t="s">
        <v>12385</v>
      </c>
      <c r="I64" s="40" t="s">
        <v>12386</v>
      </c>
      <c r="J64" s="40" t="s">
        <v>1852</v>
      </c>
      <c r="K64" s="153"/>
    </row>
    <row r="65" spans="1:11" x14ac:dyDescent="0.3">
      <c r="A65" s="40" t="s">
        <v>12913</v>
      </c>
      <c r="B65" s="40" t="s">
        <v>12373</v>
      </c>
      <c r="C65" s="40" t="s">
        <v>12387</v>
      </c>
      <c r="D65" s="40" t="s">
        <v>10</v>
      </c>
      <c r="E65" s="40" t="s">
        <v>12388</v>
      </c>
      <c r="F65" s="40" t="s">
        <v>12379</v>
      </c>
      <c r="G65" s="40" t="s">
        <v>12389</v>
      </c>
      <c r="H65" s="40" t="s">
        <v>12390</v>
      </c>
      <c r="I65" s="40" t="s">
        <v>12391</v>
      </c>
      <c r="J65" s="40" t="s">
        <v>1852</v>
      </c>
      <c r="K65" s="153"/>
    </row>
    <row r="66" spans="1:11" x14ac:dyDescent="0.3">
      <c r="A66" s="40" t="s">
        <v>12914</v>
      </c>
      <c r="B66" s="40" t="s">
        <v>12373</v>
      </c>
      <c r="C66" s="40" t="s">
        <v>12392</v>
      </c>
      <c r="D66" s="40" t="s">
        <v>13</v>
      </c>
      <c r="E66" s="40" t="s">
        <v>629</v>
      </c>
      <c r="F66" s="40" t="s">
        <v>12379</v>
      </c>
      <c r="G66" s="40" t="s">
        <v>12393</v>
      </c>
      <c r="H66" s="40" t="s">
        <v>12394</v>
      </c>
      <c r="I66" s="40" t="s">
        <v>12395</v>
      </c>
      <c r="J66" s="40" t="s">
        <v>1868</v>
      </c>
      <c r="K66" s="154"/>
    </row>
    <row r="67" spans="1:11" x14ac:dyDescent="0.3">
      <c r="A67" s="40" t="s">
        <v>12915</v>
      </c>
      <c r="B67" s="40" t="s">
        <v>12373</v>
      </c>
      <c r="C67" s="40" t="s">
        <v>12396</v>
      </c>
      <c r="D67" s="40" t="s">
        <v>13</v>
      </c>
      <c r="E67" s="40" t="s">
        <v>629</v>
      </c>
      <c r="F67" s="40" t="s">
        <v>12379</v>
      </c>
      <c r="G67" s="40" t="s">
        <v>12873</v>
      </c>
      <c r="H67" s="40" t="s">
        <v>12397</v>
      </c>
      <c r="I67" s="40" t="s">
        <v>12398</v>
      </c>
      <c r="J67" s="40" t="s">
        <v>1868</v>
      </c>
      <c r="K67" s="155"/>
    </row>
    <row r="68" spans="1:11" x14ac:dyDescent="0.3">
      <c r="A68" s="40" t="s">
        <v>12916</v>
      </c>
      <c r="B68" s="40" t="s">
        <v>12373</v>
      </c>
      <c r="C68" s="40" t="s">
        <v>12399</v>
      </c>
      <c r="D68" s="40" t="s">
        <v>13</v>
      </c>
      <c r="E68" s="40" t="s">
        <v>629</v>
      </c>
      <c r="F68" s="40" t="s">
        <v>12379</v>
      </c>
      <c r="G68" s="40" t="s">
        <v>12400</v>
      </c>
      <c r="H68" s="40" t="s">
        <v>12401</v>
      </c>
      <c r="I68" s="40" t="s">
        <v>12402</v>
      </c>
      <c r="J68" s="40" t="s">
        <v>1868</v>
      </c>
      <c r="K68" s="153"/>
    </row>
    <row r="69" spans="1:11" x14ac:dyDescent="0.3">
      <c r="A69" s="40" t="s">
        <v>12917</v>
      </c>
      <c r="B69" s="40" t="s">
        <v>12373</v>
      </c>
      <c r="C69" s="40" t="s">
        <v>12403</v>
      </c>
      <c r="D69" s="40" t="s">
        <v>13</v>
      </c>
      <c r="E69" s="40" t="s">
        <v>629</v>
      </c>
      <c r="F69" s="40" t="s">
        <v>12404</v>
      </c>
      <c r="G69" s="40" t="s">
        <v>12375</v>
      </c>
      <c r="H69" s="40" t="s">
        <v>12405</v>
      </c>
      <c r="I69" s="40" t="s">
        <v>12406</v>
      </c>
      <c r="J69" s="40" t="s">
        <v>1852</v>
      </c>
      <c r="K69" s="153"/>
    </row>
    <row r="70" spans="1:11" x14ac:dyDescent="0.3">
      <c r="A70" s="40" t="s">
        <v>12918</v>
      </c>
      <c r="B70" s="40" t="s">
        <v>12373</v>
      </c>
      <c r="C70" s="40" t="s">
        <v>12407</v>
      </c>
      <c r="D70" s="40" t="s">
        <v>21</v>
      </c>
      <c r="E70" s="40" t="s">
        <v>629</v>
      </c>
      <c r="F70" s="40" t="s">
        <v>12408</v>
      </c>
      <c r="G70" s="40" t="s">
        <v>12409</v>
      </c>
      <c r="H70" s="40" t="s">
        <v>12410</v>
      </c>
      <c r="I70" s="40" t="s">
        <v>12411</v>
      </c>
      <c r="J70" s="40" t="s">
        <v>1852</v>
      </c>
      <c r="K70" s="153"/>
    </row>
    <row r="71" spans="1:11" x14ac:dyDescent="0.3">
      <c r="A71" s="40" t="s">
        <v>12919</v>
      </c>
      <c r="B71" s="40" t="s">
        <v>12373</v>
      </c>
      <c r="C71" s="40" t="s">
        <v>12412</v>
      </c>
      <c r="D71" s="40" t="s">
        <v>13</v>
      </c>
      <c r="E71" s="40" t="s">
        <v>629</v>
      </c>
      <c r="F71" s="40" t="s">
        <v>12413</v>
      </c>
      <c r="G71" s="40" t="s">
        <v>12414</v>
      </c>
      <c r="H71" s="40" t="s">
        <v>12415</v>
      </c>
      <c r="I71" s="40" t="s">
        <v>14</v>
      </c>
      <c r="J71" s="40" t="s">
        <v>1868</v>
      </c>
      <c r="K71" s="153"/>
    </row>
    <row r="72" spans="1:11" x14ac:dyDescent="0.3">
      <c r="A72" s="40" t="s">
        <v>12920</v>
      </c>
      <c r="B72" s="40" t="s">
        <v>12373</v>
      </c>
      <c r="C72" s="40" t="s">
        <v>12416</v>
      </c>
      <c r="D72" s="40" t="s">
        <v>13</v>
      </c>
      <c r="E72" s="40" t="s">
        <v>629</v>
      </c>
      <c r="F72" s="40" t="s">
        <v>12417</v>
      </c>
      <c r="G72" s="40" t="s">
        <v>12418</v>
      </c>
      <c r="H72" s="40" t="s">
        <v>12419</v>
      </c>
      <c r="I72" s="40" t="s">
        <v>14</v>
      </c>
      <c r="J72" s="40" t="s">
        <v>1868</v>
      </c>
      <c r="K72" s="153"/>
    </row>
    <row r="73" spans="1:11" x14ac:dyDescent="0.3">
      <c r="A73" s="40" t="s">
        <v>12921</v>
      </c>
      <c r="B73" s="40" t="s">
        <v>12373</v>
      </c>
      <c r="C73" s="40" t="s">
        <v>12420</v>
      </c>
      <c r="D73" s="40" t="s">
        <v>21</v>
      </c>
      <c r="E73" s="40" t="s">
        <v>12388</v>
      </c>
      <c r="F73" s="40" t="s">
        <v>12421</v>
      </c>
      <c r="G73" s="40" t="s">
        <v>12422</v>
      </c>
      <c r="H73" s="40" t="s">
        <v>12423</v>
      </c>
      <c r="I73" s="40" t="s">
        <v>12424</v>
      </c>
      <c r="J73" s="40" t="s">
        <v>1852</v>
      </c>
      <c r="K73" s="153"/>
    </row>
    <row r="74" spans="1:11" x14ac:dyDescent="0.3">
      <c r="A74" s="40" t="s">
        <v>12922</v>
      </c>
      <c r="B74" s="40" t="s">
        <v>12373</v>
      </c>
      <c r="C74" s="40" t="s">
        <v>12425</v>
      </c>
      <c r="D74" s="40" t="s">
        <v>13</v>
      </c>
      <c r="E74" s="40" t="s">
        <v>629</v>
      </c>
      <c r="F74" s="40" t="s">
        <v>12426</v>
      </c>
      <c r="G74" s="40" t="s">
        <v>12427</v>
      </c>
      <c r="H74" s="40" t="s">
        <v>12428</v>
      </c>
      <c r="I74" s="40" t="s">
        <v>12429</v>
      </c>
      <c r="J74" s="40" t="s">
        <v>1868</v>
      </c>
      <c r="K74" s="153"/>
    </row>
    <row r="75" spans="1:11" x14ac:dyDescent="0.3">
      <c r="A75" s="40" t="s">
        <v>12923</v>
      </c>
      <c r="B75" s="40" t="s">
        <v>12373</v>
      </c>
      <c r="C75" s="40" t="s">
        <v>12430</v>
      </c>
      <c r="D75" s="40" t="s">
        <v>10</v>
      </c>
      <c r="E75" s="40" t="s">
        <v>12431</v>
      </c>
      <c r="F75" s="40" t="s">
        <v>12432</v>
      </c>
      <c r="G75" s="40" t="s">
        <v>12433</v>
      </c>
      <c r="H75" s="40" t="s">
        <v>12434</v>
      </c>
      <c r="I75" s="40" t="s">
        <v>12435</v>
      </c>
      <c r="J75" s="40" t="s">
        <v>1852</v>
      </c>
      <c r="K75" s="153"/>
    </row>
    <row r="76" spans="1:11" x14ac:dyDescent="0.3">
      <c r="A76" s="90" t="s">
        <v>12924</v>
      </c>
      <c r="B76" s="90" t="s">
        <v>12436</v>
      </c>
      <c r="C76" s="90" t="s">
        <v>12437</v>
      </c>
      <c r="D76" s="90" t="s">
        <v>13</v>
      </c>
      <c r="E76" s="90" t="s">
        <v>664</v>
      </c>
      <c r="F76" s="90" t="s">
        <v>12438</v>
      </c>
      <c r="G76" s="90" t="s">
        <v>12439</v>
      </c>
      <c r="H76" s="90" t="s">
        <v>12440</v>
      </c>
      <c r="I76" s="90" t="s">
        <v>14</v>
      </c>
      <c r="J76" s="90" t="s">
        <v>1852</v>
      </c>
      <c r="K76" s="153"/>
    </row>
    <row r="77" spans="1:11" x14ac:dyDescent="0.3">
      <c r="A77" s="90" t="s">
        <v>12925</v>
      </c>
      <c r="B77" s="90" t="s">
        <v>12436</v>
      </c>
      <c r="C77" s="90" t="s">
        <v>12441</v>
      </c>
      <c r="D77" s="90" t="s">
        <v>13</v>
      </c>
      <c r="E77" s="90" t="s">
        <v>664</v>
      </c>
      <c r="F77" s="90" t="s">
        <v>12442</v>
      </c>
      <c r="G77" s="90" t="s">
        <v>12443</v>
      </c>
      <c r="H77" s="90" t="s">
        <v>12444</v>
      </c>
      <c r="I77" s="90" t="s">
        <v>12445</v>
      </c>
      <c r="J77" s="90" t="s">
        <v>1852</v>
      </c>
      <c r="K77" s="153"/>
    </row>
    <row r="78" spans="1:11" x14ac:dyDescent="0.3">
      <c r="A78" s="90" t="s">
        <v>12926</v>
      </c>
      <c r="B78" s="90" t="s">
        <v>12436</v>
      </c>
      <c r="C78" s="90" t="s">
        <v>12446</v>
      </c>
      <c r="D78" s="90" t="s">
        <v>13</v>
      </c>
      <c r="E78" s="90" t="s">
        <v>664</v>
      </c>
      <c r="F78" s="90" t="s">
        <v>12442</v>
      </c>
      <c r="G78" s="90" t="s">
        <v>12447</v>
      </c>
      <c r="H78" s="90" t="s">
        <v>12448</v>
      </c>
      <c r="I78" s="90" t="s">
        <v>12449</v>
      </c>
      <c r="J78" s="90" t="s">
        <v>1852</v>
      </c>
      <c r="K78" s="153"/>
    </row>
    <row r="79" spans="1:11" x14ac:dyDescent="0.3">
      <c r="A79" s="90" t="s">
        <v>12927</v>
      </c>
      <c r="B79" s="90" t="s">
        <v>12436</v>
      </c>
      <c r="C79" s="90" t="s">
        <v>12450</v>
      </c>
      <c r="D79" s="90" t="s">
        <v>13</v>
      </c>
      <c r="E79" s="90" t="s">
        <v>664</v>
      </c>
      <c r="F79" s="90" t="s">
        <v>12451</v>
      </c>
      <c r="G79" s="90" t="s">
        <v>12452</v>
      </c>
      <c r="H79" s="90" t="s">
        <v>12453</v>
      </c>
      <c r="I79" s="90" t="s">
        <v>12454</v>
      </c>
      <c r="J79" s="90" t="s">
        <v>1852</v>
      </c>
      <c r="K79" s="153"/>
    </row>
    <row r="80" spans="1:11" x14ac:dyDescent="0.3">
      <c r="A80" s="90" t="s">
        <v>12928</v>
      </c>
      <c r="B80" s="90" t="s">
        <v>12436</v>
      </c>
      <c r="C80" s="90" t="s">
        <v>12455</v>
      </c>
      <c r="D80" s="90" t="s">
        <v>13</v>
      </c>
      <c r="E80" s="90" t="s">
        <v>664</v>
      </c>
      <c r="F80" s="90" t="s">
        <v>12456</v>
      </c>
      <c r="G80" s="90" t="s">
        <v>12457</v>
      </c>
      <c r="H80" s="90" t="s">
        <v>12458</v>
      </c>
      <c r="I80" s="90" t="s">
        <v>12459</v>
      </c>
      <c r="J80" s="90" t="s">
        <v>1868</v>
      </c>
      <c r="K80" s="153"/>
    </row>
    <row r="81" spans="1:11" x14ac:dyDescent="0.3">
      <c r="A81" s="90" t="s">
        <v>12929</v>
      </c>
      <c r="B81" s="90" t="s">
        <v>12436</v>
      </c>
      <c r="C81" s="90" t="s">
        <v>12460</v>
      </c>
      <c r="D81" s="90" t="s">
        <v>10</v>
      </c>
      <c r="E81" s="90" t="s">
        <v>664</v>
      </c>
      <c r="F81" s="90" t="s">
        <v>12461</v>
      </c>
      <c r="G81" s="90" t="s">
        <v>12462</v>
      </c>
      <c r="H81" s="90" t="s">
        <v>12463</v>
      </c>
      <c r="I81" s="90" t="s">
        <v>12464</v>
      </c>
      <c r="J81" s="90" t="s">
        <v>1852</v>
      </c>
      <c r="K81" s="153"/>
    </row>
    <row r="82" spans="1:11" x14ac:dyDescent="0.3">
      <c r="A82" s="90" t="s">
        <v>12930</v>
      </c>
      <c r="B82" s="90" t="s">
        <v>12436</v>
      </c>
      <c r="C82" s="90" t="s">
        <v>12465</v>
      </c>
      <c r="D82" s="90" t="s">
        <v>10</v>
      </c>
      <c r="E82" s="90" t="s">
        <v>664</v>
      </c>
      <c r="F82" s="90" t="s">
        <v>12466</v>
      </c>
      <c r="G82" s="90" t="s">
        <v>12467</v>
      </c>
      <c r="H82" s="90" t="s">
        <v>12468</v>
      </c>
      <c r="I82" s="90" t="s">
        <v>12469</v>
      </c>
      <c r="J82" s="90" t="s">
        <v>1852</v>
      </c>
      <c r="K82" s="153"/>
    </row>
    <row r="83" spans="1:11" x14ac:dyDescent="0.3">
      <c r="A83" s="90" t="s">
        <v>12931</v>
      </c>
      <c r="B83" s="90" t="s">
        <v>12436</v>
      </c>
      <c r="C83" s="90" t="s">
        <v>12470</v>
      </c>
      <c r="D83" s="90" t="s">
        <v>13</v>
      </c>
      <c r="E83" s="90" t="s">
        <v>664</v>
      </c>
      <c r="F83" s="90" t="s">
        <v>12471</v>
      </c>
      <c r="G83" s="90" t="s">
        <v>12472</v>
      </c>
      <c r="H83" s="90" t="s">
        <v>12473</v>
      </c>
      <c r="I83" s="90" t="s">
        <v>12474</v>
      </c>
      <c r="J83" s="90" t="s">
        <v>1868</v>
      </c>
      <c r="K83" s="154"/>
    </row>
    <row r="84" spans="1:11" x14ac:dyDescent="0.3">
      <c r="A84" s="90" t="s">
        <v>12932</v>
      </c>
      <c r="B84" s="90" t="s">
        <v>12436</v>
      </c>
      <c r="C84" s="90" t="s">
        <v>12475</v>
      </c>
      <c r="D84" s="90" t="s">
        <v>10</v>
      </c>
      <c r="E84" s="90" t="s">
        <v>664</v>
      </c>
      <c r="F84" s="90" t="s">
        <v>12476</v>
      </c>
      <c r="G84" s="90" t="s">
        <v>12477</v>
      </c>
      <c r="H84" s="90" t="s">
        <v>12478</v>
      </c>
      <c r="I84" s="90" t="s">
        <v>12479</v>
      </c>
      <c r="J84" s="90" t="s">
        <v>1868</v>
      </c>
      <c r="K84" s="153"/>
    </row>
    <row r="85" spans="1:11" x14ac:dyDescent="0.3">
      <c r="A85" s="90" t="s">
        <v>12933</v>
      </c>
      <c r="B85" s="90" t="s">
        <v>12436</v>
      </c>
      <c r="C85" s="90" t="s">
        <v>12480</v>
      </c>
      <c r="D85" s="90" t="s">
        <v>21</v>
      </c>
      <c r="E85" s="90" t="s">
        <v>664</v>
      </c>
      <c r="F85" s="90" t="s">
        <v>12481</v>
      </c>
      <c r="G85" s="90" t="s">
        <v>12482</v>
      </c>
      <c r="H85" s="90" t="s">
        <v>12483</v>
      </c>
      <c r="I85" s="90" t="s">
        <v>12484</v>
      </c>
      <c r="J85" s="90" t="s">
        <v>1868</v>
      </c>
      <c r="K85" s="153"/>
    </row>
    <row r="86" spans="1:11" x14ac:dyDescent="0.3">
      <c r="A86" s="90" t="s">
        <v>12934</v>
      </c>
      <c r="B86" s="90" t="s">
        <v>12436</v>
      </c>
      <c r="C86" s="90" t="s">
        <v>12485</v>
      </c>
      <c r="D86" s="90" t="s">
        <v>13</v>
      </c>
      <c r="E86" s="90" t="s">
        <v>12486</v>
      </c>
      <c r="F86" s="90" t="s">
        <v>12487</v>
      </c>
      <c r="G86" s="90" t="s">
        <v>12488</v>
      </c>
      <c r="H86" s="90" t="s">
        <v>12489</v>
      </c>
      <c r="I86" s="90" t="s">
        <v>12490</v>
      </c>
      <c r="J86" s="90" t="s">
        <v>1868</v>
      </c>
      <c r="K86" s="153"/>
    </row>
    <row r="87" spans="1:11" x14ac:dyDescent="0.3">
      <c r="A87" s="90" t="s">
        <v>12935</v>
      </c>
      <c r="B87" s="90" t="s">
        <v>12436</v>
      </c>
      <c r="C87" s="90" t="s">
        <v>12491</v>
      </c>
      <c r="D87" s="90" t="s">
        <v>13</v>
      </c>
      <c r="E87" s="90" t="s">
        <v>664</v>
      </c>
      <c r="F87" s="90" t="s">
        <v>12492</v>
      </c>
      <c r="G87" s="90" t="s">
        <v>12493</v>
      </c>
      <c r="H87" s="90" t="s">
        <v>12494</v>
      </c>
      <c r="I87" s="90" t="s">
        <v>14</v>
      </c>
      <c r="J87" s="90" t="s">
        <v>1868</v>
      </c>
      <c r="K87" s="153"/>
    </row>
    <row r="88" spans="1:11" x14ac:dyDescent="0.3">
      <c r="A88" s="90" t="s">
        <v>12936</v>
      </c>
      <c r="B88" s="90" t="s">
        <v>12436</v>
      </c>
      <c r="C88" s="90" t="s">
        <v>12495</v>
      </c>
      <c r="D88" s="90" t="s">
        <v>13</v>
      </c>
      <c r="E88" s="90" t="s">
        <v>664</v>
      </c>
      <c r="F88" s="90" t="s">
        <v>12496</v>
      </c>
      <c r="G88" s="90" t="s">
        <v>12497</v>
      </c>
      <c r="H88" s="90" t="s">
        <v>12498</v>
      </c>
      <c r="I88" s="90" t="s">
        <v>12499</v>
      </c>
      <c r="J88" s="90" t="s">
        <v>1868</v>
      </c>
      <c r="K88" s="153"/>
    </row>
    <row r="89" spans="1:11" x14ac:dyDescent="0.3">
      <c r="A89" s="90" t="s">
        <v>12937</v>
      </c>
      <c r="B89" s="90" t="s">
        <v>12436</v>
      </c>
      <c r="C89" s="90" t="s">
        <v>12500</v>
      </c>
      <c r="D89" s="90" t="s">
        <v>13</v>
      </c>
      <c r="E89" s="90" t="s">
        <v>664</v>
      </c>
      <c r="F89" s="90" t="s">
        <v>12501</v>
      </c>
      <c r="G89" s="90" t="s">
        <v>12502</v>
      </c>
      <c r="H89" s="90" t="s">
        <v>12503</v>
      </c>
      <c r="I89" s="90" t="s">
        <v>12504</v>
      </c>
      <c r="J89" s="90" t="s">
        <v>1873</v>
      </c>
      <c r="K89" s="153"/>
    </row>
    <row r="90" spans="1:11" x14ac:dyDescent="0.3">
      <c r="A90" s="91" t="s">
        <v>12938</v>
      </c>
      <c r="B90" s="91" t="s">
        <v>12505</v>
      </c>
      <c r="C90" s="91" t="s">
        <v>12506</v>
      </c>
      <c r="D90" s="91" t="s">
        <v>10</v>
      </c>
      <c r="E90" s="91" t="s">
        <v>36</v>
      </c>
      <c r="F90" s="91" t="s">
        <v>12874</v>
      </c>
      <c r="G90" s="91" t="s">
        <v>12507</v>
      </c>
      <c r="H90" s="91" t="s">
        <v>12508</v>
      </c>
      <c r="I90" s="91" t="s">
        <v>12509</v>
      </c>
      <c r="J90" s="91" t="s">
        <v>1852</v>
      </c>
      <c r="K90" s="153"/>
    </row>
    <row r="91" spans="1:11" x14ac:dyDescent="0.3">
      <c r="A91" s="91" t="s">
        <v>12939</v>
      </c>
      <c r="B91" s="91" t="s">
        <v>12505</v>
      </c>
      <c r="C91" s="91" t="s">
        <v>12510</v>
      </c>
      <c r="D91" s="91" t="s">
        <v>13</v>
      </c>
      <c r="E91" s="91" t="s">
        <v>36</v>
      </c>
      <c r="F91" s="91" t="s">
        <v>12875</v>
      </c>
      <c r="G91" s="91" t="s">
        <v>12375</v>
      </c>
      <c r="H91" s="91" t="s">
        <v>12511</v>
      </c>
      <c r="I91" s="91" t="s">
        <v>12512</v>
      </c>
      <c r="J91" s="91" t="s">
        <v>1852</v>
      </c>
      <c r="K91" s="153"/>
    </row>
    <row r="92" spans="1:11" x14ac:dyDescent="0.3">
      <c r="A92" s="91" t="s">
        <v>12940</v>
      </c>
      <c r="B92" s="91" t="s">
        <v>12505</v>
      </c>
      <c r="C92" s="91" t="s">
        <v>12513</v>
      </c>
      <c r="D92" s="91" t="s">
        <v>10</v>
      </c>
      <c r="E92" s="91" t="s">
        <v>36</v>
      </c>
      <c r="F92" s="91" t="s">
        <v>12876</v>
      </c>
      <c r="G92" s="91" t="s">
        <v>12409</v>
      </c>
      <c r="H92" s="91" t="s">
        <v>12514</v>
      </c>
      <c r="I92" s="91" t="s">
        <v>12515</v>
      </c>
      <c r="J92" s="91" t="s">
        <v>1852</v>
      </c>
      <c r="K92" s="154"/>
    </row>
    <row r="93" spans="1:11" x14ac:dyDescent="0.3">
      <c r="A93" s="91" t="s">
        <v>12941</v>
      </c>
      <c r="B93" s="91" t="s">
        <v>12505</v>
      </c>
      <c r="C93" s="91" t="s">
        <v>12516</v>
      </c>
      <c r="D93" s="91" t="s">
        <v>10</v>
      </c>
      <c r="E93" s="91" t="s">
        <v>36</v>
      </c>
      <c r="F93" s="91" t="s">
        <v>12877</v>
      </c>
      <c r="G93" s="91" t="s">
        <v>12517</v>
      </c>
      <c r="H93" s="91" t="s">
        <v>12518</v>
      </c>
      <c r="I93" s="91" t="s">
        <v>12519</v>
      </c>
      <c r="J93" s="91" t="s">
        <v>1852</v>
      </c>
      <c r="K93" s="153"/>
    </row>
    <row r="94" spans="1:11" x14ac:dyDescent="0.3">
      <c r="A94" s="91" t="s">
        <v>12942</v>
      </c>
      <c r="B94" s="91" t="s">
        <v>12505</v>
      </c>
      <c r="C94" s="91" t="s">
        <v>12520</v>
      </c>
      <c r="D94" s="91" t="s">
        <v>21</v>
      </c>
      <c r="E94" s="91" t="s">
        <v>36</v>
      </c>
      <c r="F94" s="91" t="s">
        <v>12878</v>
      </c>
      <c r="G94" s="91" t="s">
        <v>12409</v>
      </c>
      <c r="H94" s="91" t="s">
        <v>12521</v>
      </c>
      <c r="I94" s="91" t="s">
        <v>12522</v>
      </c>
      <c r="J94" s="91" t="s">
        <v>1868</v>
      </c>
      <c r="K94" s="153"/>
    </row>
    <row r="95" spans="1:11" x14ac:dyDescent="0.3">
      <c r="A95" s="91" t="s">
        <v>12943</v>
      </c>
      <c r="B95" s="91" t="s">
        <v>12505</v>
      </c>
      <c r="C95" s="91" t="s">
        <v>12523</v>
      </c>
      <c r="D95" s="91" t="s">
        <v>21</v>
      </c>
      <c r="E95" s="91" t="s">
        <v>36</v>
      </c>
      <c r="F95" s="91" t="s">
        <v>12879</v>
      </c>
      <c r="G95" s="91" t="s">
        <v>12524</v>
      </c>
      <c r="H95" s="91" t="s">
        <v>12525</v>
      </c>
      <c r="I95" s="91" t="s">
        <v>12512</v>
      </c>
      <c r="J95" s="91" t="s">
        <v>1868</v>
      </c>
      <c r="K95" s="153"/>
    </row>
    <row r="96" spans="1:11" x14ac:dyDescent="0.3">
      <c r="A96" s="91" t="s">
        <v>12944</v>
      </c>
      <c r="B96" s="91" t="s">
        <v>12505</v>
      </c>
      <c r="C96" s="91" t="s">
        <v>12526</v>
      </c>
      <c r="D96" s="91" t="s">
        <v>21</v>
      </c>
      <c r="E96" s="91" t="s">
        <v>36</v>
      </c>
      <c r="F96" s="91" t="s">
        <v>12880</v>
      </c>
      <c r="G96" s="91" t="s">
        <v>12409</v>
      </c>
      <c r="H96" s="91" t="s">
        <v>12527</v>
      </c>
      <c r="I96" s="91" t="s">
        <v>12528</v>
      </c>
      <c r="J96" s="91" t="s">
        <v>1868</v>
      </c>
      <c r="K96" s="153"/>
    </row>
    <row r="97" spans="1:11" x14ac:dyDescent="0.3">
      <c r="A97" s="91" t="s">
        <v>12945</v>
      </c>
      <c r="B97" s="91" t="s">
        <v>12505</v>
      </c>
      <c r="C97" s="91" t="s">
        <v>12529</v>
      </c>
      <c r="D97" s="91" t="s">
        <v>21</v>
      </c>
      <c r="E97" s="91" t="s">
        <v>36</v>
      </c>
      <c r="F97" s="91" t="s">
        <v>12881</v>
      </c>
      <c r="G97" s="91" t="s">
        <v>12530</v>
      </c>
      <c r="H97" s="91" t="s">
        <v>12531</v>
      </c>
      <c r="I97" s="91" t="s">
        <v>12512</v>
      </c>
      <c r="J97" s="91" t="s">
        <v>1868</v>
      </c>
      <c r="K97" s="153"/>
    </row>
    <row r="98" spans="1:11" x14ac:dyDescent="0.3">
      <c r="A98" s="91" t="s">
        <v>12946</v>
      </c>
      <c r="B98" s="91" t="s">
        <v>12505</v>
      </c>
      <c r="C98" s="91" t="s">
        <v>12532</v>
      </c>
      <c r="D98" s="91" t="s">
        <v>10</v>
      </c>
      <c r="E98" s="91" t="s">
        <v>36</v>
      </c>
      <c r="F98" s="91" t="s">
        <v>12533</v>
      </c>
      <c r="G98" s="91" t="s">
        <v>12409</v>
      </c>
      <c r="H98" s="91" t="s">
        <v>12534</v>
      </c>
      <c r="I98" s="91" t="s">
        <v>12535</v>
      </c>
      <c r="J98" s="91" t="s">
        <v>1852</v>
      </c>
      <c r="K98" s="153"/>
    </row>
    <row r="99" spans="1:11" x14ac:dyDescent="0.3">
      <c r="A99" s="91" t="s">
        <v>12947</v>
      </c>
      <c r="B99" s="91" t="s">
        <v>12505</v>
      </c>
      <c r="C99" s="91" t="s">
        <v>12536</v>
      </c>
      <c r="D99" s="91" t="s">
        <v>13</v>
      </c>
      <c r="E99" s="91" t="s">
        <v>36</v>
      </c>
      <c r="F99" s="91" t="s">
        <v>12537</v>
      </c>
      <c r="G99" s="91" t="s">
        <v>12538</v>
      </c>
      <c r="H99" s="91" t="s">
        <v>12539</v>
      </c>
      <c r="I99" s="91" t="s">
        <v>12512</v>
      </c>
      <c r="J99" s="91" t="s">
        <v>1852</v>
      </c>
      <c r="K99" s="153"/>
    </row>
    <row r="100" spans="1:11" x14ac:dyDescent="0.3">
      <c r="A100" s="91" t="s">
        <v>12948</v>
      </c>
      <c r="B100" s="91" t="s">
        <v>12505</v>
      </c>
      <c r="C100" s="91" t="s">
        <v>12540</v>
      </c>
      <c r="D100" s="91" t="s">
        <v>10</v>
      </c>
      <c r="E100" s="91" t="s">
        <v>36</v>
      </c>
      <c r="F100" s="91" t="s">
        <v>12541</v>
      </c>
      <c r="G100" s="91" t="s">
        <v>12542</v>
      </c>
      <c r="H100" s="91" t="s">
        <v>12543</v>
      </c>
      <c r="I100" s="91" t="s">
        <v>12544</v>
      </c>
      <c r="J100" s="91" t="s">
        <v>1852</v>
      </c>
      <c r="K100" s="153"/>
    </row>
    <row r="101" spans="1:11" x14ac:dyDescent="0.3">
      <c r="A101" s="91" t="s">
        <v>12952</v>
      </c>
      <c r="B101" s="91" t="s">
        <v>12505</v>
      </c>
      <c r="C101" s="91" t="s">
        <v>12545</v>
      </c>
      <c r="D101" s="91" t="s">
        <v>13</v>
      </c>
      <c r="E101" s="91" t="s">
        <v>36</v>
      </c>
      <c r="F101" s="91" t="s">
        <v>12546</v>
      </c>
      <c r="G101" s="91" t="s">
        <v>12547</v>
      </c>
      <c r="H101" s="91" t="s">
        <v>12548</v>
      </c>
      <c r="I101" s="91" t="s">
        <v>14</v>
      </c>
      <c r="J101" s="91" t="s">
        <v>1868</v>
      </c>
      <c r="K101" s="153"/>
    </row>
    <row r="102" spans="1:11" x14ac:dyDescent="0.3">
      <c r="A102" s="91" t="s">
        <v>12953</v>
      </c>
      <c r="B102" s="91" t="s">
        <v>12505</v>
      </c>
      <c r="C102" s="91" t="s">
        <v>12549</v>
      </c>
      <c r="D102" s="91" t="s">
        <v>13</v>
      </c>
      <c r="E102" s="91" t="s">
        <v>36</v>
      </c>
      <c r="F102" s="91" t="s">
        <v>12882</v>
      </c>
      <c r="G102" s="91" t="s">
        <v>12883</v>
      </c>
      <c r="H102" s="91" t="s">
        <v>12550</v>
      </c>
      <c r="I102" s="91" t="s">
        <v>14</v>
      </c>
      <c r="J102" s="91" t="s">
        <v>1868</v>
      </c>
      <c r="K102" s="153"/>
    </row>
    <row r="103" spans="1:11" x14ac:dyDescent="0.3">
      <c r="A103" s="91" t="s">
        <v>12954</v>
      </c>
      <c r="B103" s="91" t="s">
        <v>12505</v>
      </c>
      <c r="C103" s="91" t="s">
        <v>12884</v>
      </c>
      <c r="D103" s="91" t="s">
        <v>13</v>
      </c>
      <c r="E103" s="91" t="s">
        <v>36</v>
      </c>
      <c r="F103" s="91" t="s">
        <v>12885</v>
      </c>
      <c r="G103" s="91" t="s">
        <v>3312</v>
      </c>
      <c r="H103" s="91" t="s">
        <v>12551</v>
      </c>
      <c r="I103" s="91" t="s">
        <v>12951</v>
      </c>
      <c r="J103" s="91" t="s">
        <v>1868</v>
      </c>
      <c r="K103" s="153"/>
    </row>
    <row r="104" spans="1:11" x14ac:dyDescent="0.3">
      <c r="A104" s="92" t="s">
        <v>12955</v>
      </c>
      <c r="B104" s="92" t="s">
        <v>12552</v>
      </c>
      <c r="C104" s="92" t="s">
        <v>12553</v>
      </c>
      <c r="D104" s="92" t="s">
        <v>13</v>
      </c>
      <c r="E104" s="92" t="s">
        <v>534</v>
      </c>
      <c r="F104" s="92" t="s">
        <v>12554</v>
      </c>
      <c r="G104" s="92" t="s">
        <v>12555</v>
      </c>
      <c r="H104" s="92" t="s">
        <v>12556</v>
      </c>
      <c r="I104" s="92" t="s">
        <v>12557</v>
      </c>
      <c r="J104" s="92" t="s">
        <v>1852</v>
      </c>
      <c r="K104" s="153"/>
    </row>
    <row r="105" spans="1:11" x14ac:dyDescent="0.3">
      <c r="A105" s="92" t="s">
        <v>12956</v>
      </c>
      <c r="B105" s="92" t="s">
        <v>12552</v>
      </c>
      <c r="C105" s="92" t="s">
        <v>19956</v>
      </c>
      <c r="D105" s="92" t="s">
        <v>10</v>
      </c>
      <c r="E105" s="92" t="s">
        <v>534</v>
      </c>
      <c r="F105" s="92" t="s">
        <v>12558</v>
      </c>
      <c r="G105" s="92" t="s">
        <v>19957</v>
      </c>
      <c r="H105" s="92" t="s">
        <v>12559</v>
      </c>
      <c r="I105" s="92" t="s">
        <v>19958</v>
      </c>
      <c r="J105" s="92" t="s">
        <v>1852</v>
      </c>
      <c r="K105" s="153"/>
    </row>
    <row r="106" spans="1:11" x14ac:dyDescent="0.3">
      <c r="A106" s="92" t="s">
        <v>12957</v>
      </c>
      <c r="B106" s="92" t="s">
        <v>12552</v>
      </c>
      <c r="C106" s="92" t="s">
        <v>12560</v>
      </c>
      <c r="D106" s="92" t="s">
        <v>13</v>
      </c>
      <c r="E106" s="92" t="s">
        <v>534</v>
      </c>
      <c r="F106" s="92" t="s">
        <v>12561</v>
      </c>
      <c r="G106" s="92" t="s">
        <v>12562</v>
      </c>
      <c r="H106" s="92" t="s">
        <v>12563</v>
      </c>
      <c r="I106" s="92" t="s">
        <v>12564</v>
      </c>
      <c r="J106" s="92" t="s">
        <v>1868</v>
      </c>
      <c r="K106" s="153"/>
    </row>
    <row r="107" spans="1:11" x14ac:dyDescent="0.3">
      <c r="A107" s="92" t="s">
        <v>12958</v>
      </c>
      <c r="B107" s="92" t="s">
        <v>12552</v>
      </c>
      <c r="C107" s="92" t="s">
        <v>12565</v>
      </c>
      <c r="D107" s="92" t="s">
        <v>10</v>
      </c>
      <c r="E107" s="92" t="s">
        <v>534</v>
      </c>
      <c r="F107" s="92" t="s">
        <v>12566</v>
      </c>
      <c r="G107" s="92" t="s">
        <v>12567</v>
      </c>
      <c r="H107" s="92" t="s">
        <v>12568</v>
      </c>
      <c r="I107" s="92" t="s">
        <v>12569</v>
      </c>
      <c r="J107" s="92" t="s">
        <v>1852</v>
      </c>
      <c r="K107" s="153"/>
    </row>
    <row r="108" spans="1:11" x14ac:dyDescent="0.3">
      <c r="A108" s="92" t="s">
        <v>12959</v>
      </c>
      <c r="B108" s="92" t="s">
        <v>12552</v>
      </c>
      <c r="C108" s="92" t="s">
        <v>12570</v>
      </c>
      <c r="D108" s="92" t="s">
        <v>13</v>
      </c>
      <c r="E108" s="92" t="s">
        <v>534</v>
      </c>
      <c r="F108" s="92" t="s">
        <v>12571</v>
      </c>
      <c r="G108" s="92" t="s">
        <v>12572</v>
      </c>
      <c r="H108" s="92" t="s">
        <v>12573</v>
      </c>
      <c r="I108" s="92" t="s">
        <v>12574</v>
      </c>
      <c r="J108" s="92" t="s">
        <v>1868</v>
      </c>
      <c r="K108" s="153"/>
    </row>
    <row r="109" spans="1:11" x14ac:dyDescent="0.3">
      <c r="A109" s="92" t="s">
        <v>12960</v>
      </c>
      <c r="B109" s="92" t="s">
        <v>12552</v>
      </c>
      <c r="C109" s="92" t="s">
        <v>12575</v>
      </c>
      <c r="D109" s="92" t="s">
        <v>10</v>
      </c>
      <c r="E109" s="92" t="s">
        <v>52</v>
      </c>
      <c r="F109" s="92" t="s">
        <v>12576</v>
      </c>
      <c r="G109" s="92" t="s">
        <v>12577</v>
      </c>
      <c r="H109" s="92" t="s">
        <v>12578</v>
      </c>
      <c r="I109" s="92" t="s">
        <v>12579</v>
      </c>
      <c r="J109" s="92" t="s">
        <v>1852</v>
      </c>
      <c r="K109" s="153"/>
    </row>
    <row r="110" spans="1:11" x14ac:dyDescent="0.3">
      <c r="A110" s="92" t="s">
        <v>12961</v>
      </c>
      <c r="B110" s="92" t="s">
        <v>12552</v>
      </c>
      <c r="C110" s="92" t="s">
        <v>12580</v>
      </c>
      <c r="D110" s="92" t="s">
        <v>13</v>
      </c>
      <c r="E110" s="92" t="s">
        <v>664</v>
      </c>
      <c r="F110" s="92" t="s">
        <v>12581</v>
      </c>
      <c r="G110" s="92" t="s">
        <v>12582</v>
      </c>
      <c r="H110" s="92" t="s">
        <v>12583</v>
      </c>
      <c r="I110" s="92" t="s">
        <v>12584</v>
      </c>
      <c r="J110" s="92" t="s">
        <v>1868</v>
      </c>
      <c r="K110" s="153"/>
    </row>
    <row r="111" spans="1:11" x14ac:dyDescent="0.3">
      <c r="A111" s="92" t="s">
        <v>12962</v>
      </c>
      <c r="B111" s="92" t="s">
        <v>12552</v>
      </c>
      <c r="C111" s="92" t="s">
        <v>12585</v>
      </c>
      <c r="D111" s="92" t="s">
        <v>10</v>
      </c>
      <c r="E111" s="92" t="s">
        <v>629</v>
      </c>
      <c r="F111" s="92" t="s">
        <v>12586</v>
      </c>
      <c r="G111" s="92" t="s">
        <v>12587</v>
      </c>
      <c r="H111" s="92" t="s">
        <v>12588</v>
      </c>
      <c r="I111" s="92" t="s">
        <v>12589</v>
      </c>
      <c r="J111" s="92" t="s">
        <v>1852</v>
      </c>
      <c r="K111" s="153"/>
    </row>
    <row r="112" spans="1:11" x14ac:dyDescent="0.3">
      <c r="A112" s="92" t="s">
        <v>12963</v>
      </c>
      <c r="B112" s="92" t="s">
        <v>12552</v>
      </c>
      <c r="C112" s="92" t="s">
        <v>12590</v>
      </c>
      <c r="D112" s="92" t="s">
        <v>13</v>
      </c>
      <c r="E112" s="92" t="s">
        <v>664</v>
      </c>
      <c r="F112" s="92" t="s">
        <v>12591</v>
      </c>
      <c r="G112" s="92" t="s">
        <v>12592</v>
      </c>
      <c r="H112" s="92" t="s">
        <v>12593</v>
      </c>
      <c r="I112" s="92" t="s">
        <v>14</v>
      </c>
      <c r="J112" s="92" t="s">
        <v>1868</v>
      </c>
      <c r="K112" s="153"/>
    </row>
    <row r="113" spans="1:11" x14ac:dyDescent="0.3">
      <c r="A113" s="92" t="s">
        <v>12964</v>
      </c>
      <c r="B113" s="92" t="s">
        <v>12552</v>
      </c>
      <c r="C113" s="92" t="s">
        <v>12594</v>
      </c>
      <c r="D113" s="92" t="s">
        <v>13</v>
      </c>
      <c r="E113" s="92" t="s">
        <v>14</v>
      </c>
      <c r="F113" s="92" t="s">
        <v>12595</v>
      </c>
      <c r="G113" s="92" t="s">
        <v>12596</v>
      </c>
      <c r="H113" s="92" t="s">
        <v>12597</v>
      </c>
      <c r="I113" s="92" t="s">
        <v>12598</v>
      </c>
      <c r="J113" s="92" t="s">
        <v>1868</v>
      </c>
      <c r="K113" s="153"/>
    </row>
    <row r="114" spans="1:11" x14ac:dyDescent="0.3">
      <c r="A114" s="92" t="s">
        <v>12965</v>
      </c>
      <c r="B114" s="92" t="s">
        <v>12552</v>
      </c>
      <c r="C114" s="92" t="s">
        <v>12599</v>
      </c>
      <c r="D114" s="92" t="s">
        <v>13</v>
      </c>
      <c r="E114" s="92" t="s">
        <v>731</v>
      </c>
      <c r="F114" s="92" t="s">
        <v>12600</v>
      </c>
      <c r="G114" s="92" t="s">
        <v>12601</v>
      </c>
      <c r="H114" s="92" t="s">
        <v>12602</v>
      </c>
      <c r="I114" s="92" t="s">
        <v>14</v>
      </c>
      <c r="J114" s="92" t="s">
        <v>1852</v>
      </c>
      <c r="K114" s="153"/>
    </row>
    <row r="115" spans="1:11" x14ac:dyDescent="0.3">
      <c r="A115" s="92" t="s">
        <v>12966</v>
      </c>
      <c r="B115" s="92" t="s">
        <v>12552</v>
      </c>
      <c r="C115" s="92" t="s">
        <v>12603</v>
      </c>
      <c r="D115" s="92" t="s">
        <v>13</v>
      </c>
      <c r="E115" s="92" t="s">
        <v>14</v>
      </c>
      <c r="F115" s="92" t="s">
        <v>12604</v>
      </c>
      <c r="G115" s="92" t="s">
        <v>12605</v>
      </c>
      <c r="H115" s="92" t="s">
        <v>12606</v>
      </c>
      <c r="I115" s="92" t="s">
        <v>14</v>
      </c>
      <c r="J115" s="92" t="s">
        <v>1868</v>
      </c>
      <c r="K115" s="153"/>
    </row>
    <row r="116" spans="1:11" x14ac:dyDescent="0.3">
      <c r="A116" s="92" t="s">
        <v>12967</v>
      </c>
      <c r="B116" s="92" t="s">
        <v>12552</v>
      </c>
      <c r="C116" s="92" t="s">
        <v>12607</v>
      </c>
      <c r="D116" s="92" t="s">
        <v>10</v>
      </c>
      <c r="E116" s="92" t="s">
        <v>14</v>
      </c>
      <c r="F116" s="92" t="s">
        <v>12608</v>
      </c>
      <c r="G116" s="92" t="s">
        <v>12609</v>
      </c>
      <c r="H116" s="92" t="s">
        <v>12610</v>
      </c>
      <c r="I116" s="92" t="s">
        <v>12611</v>
      </c>
      <c r="J116" s="92" t="s">
        <v>1868</v>
      </c>
      <c r="K116" s="153"/>
    </row>
    <row r="117" spans="1:11" x14ac:dyDescent="0.3">
      <c r="A117" s="92" t="s">
        <v>12968</v>
      </c>
      <c r="B117" s="92" t="s">
        <v>12552</v>
      </c>
      <c r="C117" s="92" t="s">
        <v>12612</v>
      </c>
      <c r="D117" s="92" t="s">
        <v>21</v>
      </c>
      <c r="E117" s="92" t="s">
        <v>14</v>
      </c>
      <c r="F117" s="92" t="s">
        <v>12613</v>
      </c>
      <c r="G117" s="92" t="s">
        <v>12614</v>
      </c>
      <c r="H117" s="92" t="s">
        <v>12615</v>
      </c>
      <c r="I117" s="92" t="s">
        <v>12616</v>
      </c>
      <c r="J117" s="92" t="s">
        <v>1868</v>
      </c>
      <c r="K117" s="153"/>
    </row>
    <row r="118" spans="1:11" x14ac:dyDescent="0.3">
      <c r="A118" s="46" t="s">
        <v>12969</v>
      </c>
      <c r="B118" s="46" t="s">
        <v>12617</v>
      </c>
      <c r="C118" s="46" t="s">
        <v>12618</v>
      </c>
      <c r="D118" s="46" t="s">
        <v>13</v>
      </c>
      <c r="E118" s="46" t="s">
        <v>14</v>
      </c>
      <c r="F118" s="46" t="s">
        <v>12619</v>
      </c>
      <c r="G118" s="46" t="s">
        <v>12620</v>
      </c>
      <c r="H118" s="46" t="s">
        <v>12621</v>
      </c>
      <c r="I118" s="46" t="s">
        <v>12622</v>
      </c>
      <c r="J118" s="46" t="s">
        <v>1852</v>
      </c>
      <c r="K118" s="153"/>
    </row>
    <row r="119" spans="1:11" x14ac:dyDescent="0.3">
      <c r="A119" s="46" t="s">
        <v>12970</v>
      </c>
      <c r="B119" s="46" t="s">
        <v>12617</v>
      </c>
      <c r="C119" s="46" t="s">
        <v>12623</v>
      </c>
      <c r="D119" s="46" t="s">
        <v>13</v>
      </c>
      <c r="E119" s="46" t="s">
        <v>664</v>
      </c>
      <c r="F119" s="46" t="s">
        <v>12624</v>
      </c>
      <c r="G119" s="46" t="s">
        <v>12625</v>
      </c>
      <c r="H119" s="46" t="s">
        <v>12626</v>
      </c>
      <c r="I119" s="46" t="s">
        <v>12627</v>
      </c>
      <c r="J119" s="46" t="s">
        <v>1852</v>
      </c>
      <c r="K119" s="153"/>
    </row>
    <row r="120" spans="1:11" x14ac:dyDescent="0.3">
      <c r="A120" s="46" t="s">
        <v>12971</v>
      </c>
      <c r="B120" s="46" t="s">
        <v>12617</v>
      </c>
      <c r="C120" s="46" t="s">
        <v>12628</v>
      </c>
      <c r="D120" s="46" t="s">
        <v>10</v>
      </c>
      <c r="E120" s="46" t="s">
        <v>664</v>
      </c>
      <c r="F120" s="46" t="s">
        <v>12629</v>
      </c>
      <c r="G120" s="46" t="s">
        <v>12630</v>
      </c>
      <c r="H120" s="46" t="s">
        <v>12631</v>
      </c>
      <c r="I120" s="46" t="s">
        <v>12464</v>
      </c>
      <c r="J120" s="46" t="s">
        <v>1852</v>
      </c>
      <c r="K120" s="153"/>
    </row>
    <row r="121" spans="1:11" x14ac:dyDescent="0.3">
      <c r="A121" s="46" t="s">
        <v>12972</v>
      </c>
      <c r="B121" s="46" t="s">
        <v>12617</v>
      </c>
      <c r="C121" s="46" t="s">
        <v>12632</v>
      </c>
      <c r="D121" s="46" t="s">
        <v>10</v>
      </c>
      <c r="E121" s="46" t="s">
        <v>629</v>
      </c>
      <c r="F121" s="46" t="s">
        <v>12633</v>
      </c>
      <c r="G121" s="46" t="s">
        <v>12634</v>
      </c>
      <c r="H121" s="46" t="s">
        <v>12635</v>
      </c>
      <c r="I121" s="46" t="s">
        <v>12636</v>
      </c>
      <c r="J121" s="46" t="s">
        <v>1852</v>
      </c>
      <c r="K121" s="153"/>
    </row>
    <row r="122" spans="1:11" x14ac:dyDescent="0.3">
      <c r="A122" s="46" t="s">
        <v>12973</v>
      </c>
      <c r="B122" s="46" t="s">
        <v>12617</v>
      </c>
      <c r="C122" s="46" t="s">
        <v>12637</v>
      </c>
      <c r="D122" s="46" t="s">
        <v>21</v>
      </c>
      <c r="E122" s="46" t="s">
        <v>12388</v>
      </c>
      <c r="F122" s="46" t="s">
        <v>12638</v>
      </c>
      <c r="G122" s="46" t="s">
        <v>12639</v>
      </c>
      <c r="H122" s="46" t="s">
        <v>12640</v>
      </c>
      <c r="I122" s="46" t="s">
        <v>12641</v>
      </c>
      <c r="J122" s="46" t="s">
        <v>1852</v>
      </c>
      <c r="K122" s="153"/>
    </row>
    <row r="123" spans="1:11" x14ac:dyDescent="0.3">
      <c r="A123" s="46" t="s">
        <v>12974</v>
      </c>
      <c r="B123" s="46" t="s">
        <v>12617</v>
      </c>
      <c r="C123" s="46" t="s">
        <v>12642</v>
      </c>
      <c r="D123" s="46" t="s">
        <v>10</v>
      </c>
      <c r="E123" s="46" t="s">
        <v>664</v>
      </c>
      <c r="F123" s="46" t="s">
        <v>12643</v>
      </c>
      <c r="G123" s="46" t="s">
        <v>12644</v>
      </c>
      <c r="H123" s="46" t="s">
        <v>12645</v>
      </c>
      <c r="I123" s="46" t="s">
        <v>12646</v>
      </c>
      <c r="J123" s="46" t="s">
        <v>1868</v>
      </c>
      <c r="K123" s="153"/>
    </row>
    <row r="124" spans="1:11" x14ac:dyDescent="0.3">
      <c r="A124" s="46" t="s">
        <v>12975</v>
      </c>
      <c r="B124" s="46" t="s">
        <v>12617</v>
      </c>
      <c r="C124" s="46" t="s">
        <v>12647</v>
      </c>
      <c r="D124" s="46" t="s">
        <v>13</v>
      </c>
      <c r="E124" s="46" t="s">
        <v>14</v>
      </c>
      <c r="F124" s="46" t="s">
        <v>12648</v>
      </c>
      <c r="G124" s="46" t="s">
        <v>12649</v>
      </c>
      <c r="H124" s="46" t="s">
        <v>12650</v>
      </c>
      <c r="I124" s="46" t="s">
        <v>12651</v>
      </c>
      <c r="J124" s="46" t="s">
        <v>1868</v>
      </c>
      <c r="K124" s="153"/>
    </row>
    <row r="125" spans="1:11" x14ac:dyDescent="0.3">
      <c r="A125" s="46" t="s">
        <v>12976</v>
      </c>
      <c r="B125" s="46" t="s">
        <v>12617</v>
      </c>
      <c r="C125" s="46" t="s">
        <v>12652</v>
      </c>
      <c r="D125" s="46" t="s">
        <v>13</v>
      </c>
      <c r="E125" s="46" t="s">
        <v>36</v>
      </c>
      <c r="F125" s="46" t="s">
        <v>12886</v>
      </c>
      <c r="G125" s="46" t="s">
        <v>12653</v>
      </c>
      <c r="H125" s="46" t="s">
        <v>12654</v>
      </c>
      <c r="I125" s="46" t="s">
        <v>14</v>
      </c>
      <c r="J125" s="46" t="s">
        <v>1852</v>
      </c>
      <c r="K125" s="153"/>
    </row>
    <row r="126" spans="1:11" x14ac:dyDescent="0.3">
      <c r="A126" s="46" t="s">
        <v>12977</v>
      </c>
      <c r="B126" s="46" t="s">
        <v>12617</v>
      </c>
      <c r="C126" s="46" t="s">
        <v>12655</v>
      </c>
      <c r="D126" s="46" t="s">
        <v>13</v>
      </c>
      <c r="E126" s="46" t="s">
        <v>14</v>
      </c>
      <c r="F126" s="46" t="s">
        <v>12656</v>
      </c>
      <c r="G126" s="46" t="s">
        <v>12657</v>
      </c>
      <c r="H126" s="46" t="s">
        <v>12658</v>
      </c>
      <c r="I126" s="46" t="s">
        <v>12659</v>
      </c>
      <c r="J126" s="46" t="s">
        <v>1868</v>
      </c>
      <c r="K126" s="153"/>
    </row>
    <row r="127" spans="1:11" x14ac:dyDescent="0.3">
      <c r="A127" s="46" t="s">
        <v>12978</v>
      </c>
      <c r="B127" s="46" t="s">
        <v>12617</v>
      </c>
      <c r="C127" s="46" t="s">
        <v>12660</v>
      </c>
      <c r="D127" s="46" t="s">
        <v>13</v>
      </c>
      <c r="E127" s="46" t="s">
        <v>14</v>
      </c>
      <c r="F127" s="46" t="s">
        <v>12661</v>
      </c>
      <c r="G127" s="46" t="s">
        <v>12592</v>
      </c>
      <c r="H127" s="46" t="s">
        <v>12662</v>
      </c>
      <c r="I127" s="46" t="s">
        <v>14</v>
      </c>
      <c r="J127" s="46" t="s">
        <v>1868</v>
      </c>
      <c r="K127" s="153"/>
    </row>
    <row r="128" spans="1:11" x14ac:dyDescent="0.3">
      <c r="A128" s="46" t="s">
        <v>12979</v>
      </c>
      <c r="B128" s="46" t="s">
        <v>12617</v>
      </c>
      <c r="C128" s="46" t="s">
        <v>12663</v>
      </c>
      <c r="D128" s="46" t="s">
        <v>10</v>
      </c>
      <c r="E128" s="46" t="s">
        <v>14</v>
      </c>
      <c r="F128" s="46" t="s">
        <v>12664</v>
      </c>
      <c r="G128" s="46" t="s">
        <v>12665</v>
      </c>
      <c r="H128" s="46" t="s">
        <v>12666</v>
      </c>
      <c r="I128" s="46" t="s">
        <v>12667</v>
      </c>
      <c r="J128" s="46" t="s">
        <v>1873</v>
      </c>
      <c r="K128" s="153"/>
    </row>
    <row r="129" spans="1:11" x14ac:dyDescent="0.3">
      <c r="A129" s="46" t="s">
        <v>12980</v>
      </c>
      <c r="B129" s="46" t="s">
        <v>12617</v>
      </c>
      <c r="C129" s="46" t="s">
        <v>12668</v>
      </c>
      <c r="D129" s="46" t="s">
        <v>13</v>
      </c>
      <c r="E129" s="46" t="s">
        <v>664</v>
      </c>
      <c r="F129" s="46" t="s">
        <v>12669</v>
      </c>
      <c r="G129" s="46" t="s">
        <v>12670</v>
      </c>
      <c r="H129" s="46" t="s">
        <v>12671</v>
      </c>
      <c r="I129" s="46" t="s">
        <v>12672</v>
      </c>
      <c r="J129" s="46" t="s">
        <v>1868</v>
      </c>
      <c r="K129" s="153"/>
    </row>
    <row r="130" spans="1:11" x14ac:dyDescent="0.3">
      <c r="A130" s="89" t="s">
        <v>12981</v>
      </c>
      <c r="B130" s="89" t="s">
        <v>12673</v>
      </c>
      <c r="C130" s="89" t="s">
        <v>12674</v>
      </c>
      <c r="D130" s="89" t="s">
        <v>13</v>
      </c>
      <c r="E130" s="89" t="s">
        <v>664</v>
      </c>
      <c r="F130" s="89" t="s">
        <v>12887</v>
      </c>
      <c r="G130" s="89" t="s">
        <v>12675</v>
      </c>
      <c r="H130" s="89" t="s">
        <v>12676</v>
      </c>
      <c r="I130" s="89" t="s">
        <v>12677</v>
      </c>
      <c r="J130" s="89" t="s">
        <v>1852</v>
      </c>
      <c r="K130" s="153"/>
    </row>
    <row r="131" spans="1:11" x14ac:dyDescent="0.3">
      <c r="A131" s="89" t="s">
        <v>12982</v>
      </c>
      <c r="B131" s="89" t="s">
        <v>12673</v>
      </c>
      <c r="C131" s="89" t="s">
        <v>12678</v>
      </c>
      <c r="D131" s="89" t="s">
        <v>13</v>
      </c>
      <c r="E131" s="89" t="s">
        <v>664</v>
      </c>
      <c r="F131" s="89" t="s">
        <v>12679</v>
      </c>
      <c r="G131" s="89" t="s">
        <v>12675</v>
      </c>
      <c r="H131" s="89" t="s">
        <v>12680</v>
      </c>
      <c r="I131" s="89" t="s">
        <v>12677</v>
      </c>
      <c r="J131" s="89" t="s">
        <v>1852</v>
      </c>
      <c r="K131" s="153"/>
    </row>
    <row r="132" spans="1:11" x14ac:dyDescent="0.3">
      <c r="A132" s="89" t="s">
        <v>12983</v>
      </c>
      <c r="B132" s="89" t="s">
        <v>12673</v>
      </c>
      <c r="C132" s="89" t="s">
        <v>12681</v>
      </c>
      <c r="D132" s="89" t="s">
        <v>10</v>
      </c>
      <c r="E132" s="89" t="s">
        <v>664</v>
      </c>
      <c r="F132" s="89" t="s">
        <v>12682</v>
      </c>
      <c r="G132" s="89" t="s">
        <v>12683</v>
      </c>
      <c r="H132" s="89" t="s">
        <v>12684</v>
      </c>
      <c r="I132" s="89" t="s">
        <v>12685</v>
      </c>
      <c r="J132" s="89" t="s">
        <v>1852</v>
      </c>
      <c r="K132" s="153"/>
    </row>
    <row r="133" spans="1:11" x14ac:dyDescent="0.3">
      <c r="A133" s="89" t="s">
        <v>12984</v>
      </c>
      <c r="B133" s="89" t="s">
        <v>12673</v>
      </c>
      <c r="C133" s="89" t="s">
        <v>12686</v>
      </c>
      <c r="D133" s="89" t="s">
        <v>10</v>
      </c>
      <c r="E133" s="89" t="s">
        <v>699</v>
      </c>
      <c r="F133" s="89" t="s">
        <v>12687</v>
      </c>
      <c r="G133" s="89" t="s">
        <v>12688</v>
      </c>
      <c r="H133" s="89" t="s">
        <v>12689</v>
      </c>
      <c r="I133" s="89" t="s">
        <v>12690</v>
      </c>
      <c r="J133" s="89" t="s">
        <v>1852</v>
      </c>
      <c r="K133" s="156"/>
    </row>
    <row r="134" spans="1:11" x14ac:dyDescent="0.3">
      <c r="A134" s="89" t="s">
        <v>12985</v>
      </c>
      <c r="B134" s="89" t="s">
        <v>12673</v>
      </c>
      <c r="C134" s="89" t="s">
        <v>12691</v>
      </c>
      <c r="D134" s="89" t="s">
        <v>13</v>
      </c>
      <c r="E134" s="89" t="s">
        <v>664</v>
      </c>
      <c r="F134" s="89" t="s">
        <v>12692</v>
      </c>
      <c r="G134" s="89" t="s">
        <v>12693</v>
      </c>
      <c r="H134" s="89" t="s">
        <v>12694</v>
      </c>
      <c r="I134" s="89" t="s">
        <v>14</v>
      </c>
      <c r="J134" s="89" t="s">
        <v>1868</v>
      </c>
      <c r="K134" s="153"/>
    </row>
    <row r="135" spans="1:11" x14ac:dyDescent="0.3">
      <c r="A135" s="89" t="s">
        <v>12986</v>
      </c>
      <c r="B135" s="89" t="s">
        <v>12673</v>
      </c>
      <c r="C135" s="89" t="s">
        <v>12695</v>
      </c>
      <c r="D135" s="89" t="s">
        <v>13</v>
      </c>
      <c r="E135" s="89" t="s">
        <v>664</v>
      </c>
      <c r="F135" s="89" t="s">
        <v>12696</v>
      </c>
      <c r="G135" s="89" t="s">
        <v>12697</v>
      </c>
      <c r="H135" s="89" t="s">
        <v>12698</v>
      </c>
      <c r="I135" s="89" t="s">
        <v>12699</v>
      </c>
      <c r="J135" s="89" t="s">
        <v>1852</v>
      </c>
      <c r="K135" s="153"/>
    </row>
    <row r="136" spans="1:11" x14ac:dyDescent="0.3">
      <c r="A136" s="89" t="s">
        <v>12987</v>
      </c>
      <c r="B136" s="89" t="s">
        <v>12673</v>
      </c>
      <c r="C136" s="89" t="s">
        <v>12700</v>
      </c>
      <c r="D136" s="89" t="s">
        <v>13</v>
      </c>
      <c r="E136" s="89" t="s">
        <v>664</v>
      </c>
      <c r="F136" s="89" t="s">
        <v>12701</v>
      </c>
      <c r="G136" s="89" t="s">
        <v>12702</v>
      </c>
      <c r="H136" s="89" t="s">
        <v>12703</v>
      </c>
      <c r="I136" s="89" t="s">
        <v>12704</v>
      </c>
      <c r="J136" s="89" t="s">
        <v>1868</v>
      </c>
      <c r="K136" s="153"/>
    </row>
    <row r="137" spans="1:11" x14ac:dyDescent="0.3">
      <c r="A137" s="89" t="s">
        <v>12988</v>
      </c>
      <c r="B137" s="89" t="s">
        <v>12673</v>
      </c>
      <c r="C137" s="89" t="s">
        <v>12705</v>
      </c>
      <c r="D137" s="89" t="s">
        <v>10</v>
      </c>
      <c r="E137" s="89" t="s">
        <v>664</v>
      </c>
      <c r="F137" s="89" t="s">
        <v>12706</v>
      </c>
      <c r="G137" s="89" t="s">
        <v>12707</v>
      </c>
      <c r="H137" s="89" t="s">
        <v>12708</v>
      </c>
      <c r="I137" s="89" t="s">
        <v>12709</v>
      </c>
      <c r="J137" s="89" t="s">
        <v>1868</v>
      </c>
      <c r="K137" s="153"/>
    </row>
    <row r="138" spans="1:11" x14ac:dyDescent="0.3">
      <c r="A138" s="89" t="s">
        <v>12989</v>
      </c>
      <c r="B138" s="89" t="s">
        <v>12673</v>
      </c>
      <c r="C138" s="89" t="s">
        <v>12710</v>
      </c>
      <c r="D138" s="89" t="s">
        <v>10</v>
      </c>
      <c r="E138" s="89" t="s">
        <v>664</v>
      </c>
      <c r="F138" s="89" t="s">
        <v>12711</v>
      </c>
      <c r="G138" s="89" t="s">
        <v>12712</v>
      </c>
      <c r="H138" s="89" t="s">
        <v>12713</v>
      </c>
      <c r="I138" s="89" t="s">
        <v>12714</v>
      </c>
      <c r="J138" s="89" t="s">
        <v>1852</v>
      </c>
      <c r="K138" s="153"/>
    </row>
    <row r="139" spans="1:11" x14ac:dyDescent="0.3">
      <c r="A139" s="89" t="s">
        <v>12990</v>
      </c>
      <c r="B139" s="89" t="s">
        <v>12673</v>
      </c>
      <c r="C139" s="89" t="s">
        <v>12715</v>
      </c>
      <c r="D139" s="89" t="s">
        <v>13</v>
      </c>
      <c r="E139" s="89" t="s">
        <v>664</v>
      </c>
      <c r="F139" s="89" t="s">
        <v>12716</v>
      </c>
      <c r="G139" s="89" t="s">
        <v>12717</v>
      </c>
      <c r="H139" s="89" t="s">
        <v>12718</v>
      </c>
      <c r="I139" s="89" t="s">
        <v>14</v>
      </c>
      <c r="J139" s="89" t="s">
        <v>1873</v>
      </c>
      <c r="K139" s="153"/>
    </row>
    <row r="140" spans="1:11" x14ac:dyDescent="0.3">
      <c r="A140" s="89" t="s">
        <v>12991</v>
      </c>
      <c r="B140" s="89" t="s">
        <v>12673</v>
      </c>
      <c r="C140" s="89" t="s">
        <v>12719</v>
      </c>
      <c r="D140" s="89" t="s">
        <v>13</v>
      </c>
      <c r="E140" s="89" t="s">
        <v>694</v>
      </c>
      <c r="F140" s="89" t="s">
        <v>12720</v>
      </c>
      <c r="G140" s="89" t="s">
        <v>12721</v>
      </c>
      <c r="H140" s="89" t="s">
        <v>12722</v>
      </c>
      <c r="I140" s="89" t="s">
        <v>12723</v>
      </c>
      <c r="J140" s="89" t="s">
        <v>1868</v>
      </c>
      <c r="K140" s="156"/>
    </row>
    <row r="141" spans="1:11" x14ac:dyDescent="0.3">
      <c r="A141" s="89" t="s">
        <v>12992</v>
      </c>
      <c r="B141" s="89" t="s">
        <v>12673</v>
      </c>
      <c r="C141" s="89" t="s">
        <v>12724</v>
      </c>
      <c r="D141" s="89" t="s">
        <v>10</v>
      </c>
      <c r="E141" s="89" t="s">
        <v>664</v>
      </c>
      <c r="F141" s="89" t="s">
        <v>12725</v>
      </c>
      <c r="G141" s="89" t="s">
        <v>12726</v>
      </c>
      <c r="H141" s="89" t="s">
        <v>12727</v>
      </c>
      <c r="I141" s="89" t="s">
        <v>12728</v>
      </c>
      <c r="J141" s="89" t="s">
        <v>1868</v>
      </c>
      <c r="K141" s="153"/>
    </row>
    <row r="142" spans="1:11" x14ac:dyDescent="0.3">
      <c r="A142" s="47" t="s">
        <v>12993</v>
      </c>
      <c r="B142" s="47" t="s">
        <v>12729</v>
      </c>
      <c r="C142" s="47" t="s">
        <v>12730</v>
      </c>
      <c r="D142" s="47" t="s">
        <v>21</v>
      </c>
      <c r="E142" s="47" t="s">
        <v>52</v>
      </c>
      <c r="F142" s="47" t="s">
        <v>12731</v>
      </c>
      <c r="G142" s="47" t="s">
        <v>12732</v>
      </c>
      <c r="H142" s="47" t="s">
        <v>12733</v>
      </c>
      <c r="I142" s="47" t="s">
        <v>12734</v>
      </c>
      <c r="J142" s="47" t="s">
        <v>1852</v>
      </c>
      <c r="K142" s="153"/>
    </row>
    <row r="143" spans="1:11" x14ac:dyDescent="0.3">
      <c r="A143" s="47" t="s">
        <v>12994</v>
      </c>
      <c r="B143" s="47" t="s">
        <v>12729</v>
      </c>
      <c r="C143" s="47" t="s">
        <v>12735</v>
      </c>
      <c r="D143" s="47" t="s">
        <v>21</v>
      </c>
      <c r="E143" s="47" t="s">
        <v>534</v>
      </c>
      <c r="F143" s="47" t="s">
        <v>12736</v>
      </c>
      <c r="G143" s="47" t="s">
        <v>12737</v>
      </c>
      <c r="H143" s="47" t="s">
        <v>12738</v>
      </c>
      <c r="I143" s="47" t="s">
        <v>12739</v>
      </c>
      <c r="J143" s="47" t="s">
        <v>1868</v>
      </c>
      <c r="K143" s="153"/>
    </row>
    <row r="144" spans="1:11" x14ac:dyDescent="0.3">
      <c r="A144" s="47" t="s">
        <v>12995</v>
      </c>
      <c r="B144" s="47" t="s">
        <v>12729</v>
      </c>
      <c r="C144" s="47" t="s">
        <v>12740</v>
      </c>
      <c r="D144" s="47" t="s">
        <v>21</v>
      </c>
      <c r="E144" s="47" t="s">
        <v>534</v>
      </c>
      <c r="F144" s="47" t="s">
        <v>12741</v>
      </c>
      <c r="G144" s="47" t="s">
        <v>12742</v>
      </c>
      <c r="H144" s="47" t="s">
        <v>12743</v>
      </c>
      <c r="I144" s="47" t="s">
        <v>14</v>
      </c>
      <c r="J144" s="47" t="s">
        <v>1868</v>
      </c>
      <c r="K144" s="153"/>
    </row>
    <row r="145" spans="1:11" x14ac:dyDescent="0.3">
      <c r="A145" s="47" t="s">
        <v>12996</v>
      </c>
      <c r="B145" s="47" t="s">
        <v>12729</v>
      </c>
      <c r="C145" s="47" t="s">
        <v>12744</v>
      </c>
      <c r="D145" s="47" t="s">
        <v>21</v>
      </c>
      <c r="E145" s="47" t="s">
        <v>14</v>
      </c>
      <c r="F145" s="47" t="s">
        <v>12745</v>
      </c>
      <c r="G145" s="47" t="s">
        <v>12746</v>
      </c>
      <c r="H145" s="47" t="s">
        <v>12747</v>
      </c>
      <c r="I145" s="47" t="s">
        <v>12748</v>
      </c>
      <c r="J145" s="47" t="s">
        <v>1868</v>
      </c>
      <c r="K145" s="153"/>
    </row>
    <row r="146" spans="1:11" x14ac:dyDescent="0.3">
      <c r="A146" s="47" t="s">
        <v>12997</v>
      </c>
      <c r="B146" s="47" t="s">
        <v>12729</v>
      </c>
      <c r="C146" s="47" t="s">
        <v>12749</v>
      </c>
      <c r="D146" s="47" t="s">
        <v>21</v>
      </c>
      <c r="E146" s="47" t="s">
        <v>534</v>
      </c>
      <c r="F146" s="47" t="s">
        <v>12750</v>
      </c>
      <c r="G146" s="47" t="s">
        <v>12751</v>
      </c>
      <c r="H146" s="47" t="s">
        <v>12752</v>
      </c>
      <c r="I146" s="47" t="s">
        <v>12753</v>
      </c>
      <c r="J146" s="47" t="s">
        <v>1852</v>
      </c>
      <c r="K146" s="153"/>
    </row>
    <row r="147" spans="1:11" x14ac:dyDescent="0.3">
      <c r="A147" s="47" t="s">
        <v>12998</v>
      </c>
      <c r="B147" s="47" t="s">
        <v>12729</v>
      </c>
      <c r="C147" s="47" t="s">
        <v>19959</v>
      </c>
      <c r="D147" s="47" t="s">
        <v>21</v>
      </c>
      <c r="E147" s="47" t="s">
        <v>534</v>
      </c>
      <c r="F147" s="47" t="s">
        <v>19960</v>
      </c>
      <c r="G147" s="47" t="s">
        <v>19961</v>
      </c>
      <c r="H147" s="47" t="s">
        <v>12754</v>
      </c>
      <c r="I147" s="47" t="s">
        <v>19962</v>
      </c>
      <c r="J147" s="47" t="s">
        <v>1852</v>
      </c>
      <c r="K147" s="153"/>
    </row>
    <row r="148" spans="1:11" x14ac:dyDescent="0.3">
      <c r="A148" s="47" t="s">
        <v>12999</v>
      </c>
      <c r="B148" s="47" t="s">
        <v>12729</v>
      </c>
      <c r="C148" s="47" t="s">
        <v>12755</v>
      </c>
      <c r="D148" s="47" t="s">
        <v>21</v>
      </c>
      <c r="E148" s="47" t="s">
        <v>14</v>
      </c>
      <c r="F148" s="47" t="s">
        <v>12756</v>
      </c>
      <c r="G148" s="47" t="s">
        <v>4310</v>
      </c>
      <c r="H148" s="47" t="s">
        <v>12757</v>
      </c>
      <c r="I148" s="47" t="s">
        <v>12758</v>
      </c>
      <c r="J148" s="47" t="s">
        <v>1852</v>
      </c>
      <c r="K148" s="153"/>
    </row>
    <row r="149" spans="1:11" x14ac:dyDescent="0.3">
      <c r="A149" s="47" t="s">
        <v>13000</v>
      </c>
      <c r="B149" s="47" t="s">
        <v>12729</v>
      </c>
      <c r="C149" s="47" t="s">
        <v>12759</v>
      </c>
      <c r="D149" s="47" t="s">
        <v>21</v>
      </c>
      <c r="E149" s="47" t="s">
        <v>14</v>
      </c>
      <c r="F149" s="47" t="s">
        <v>12760</v>
      </c>
      <c r="G149" s="47" t="s">
        <v>12761</v>
      </c>
      <c r="H149" s="47" t="s">
        <v>12762</v>
      </c>
      <c r="I149" s="47" t="s">
        <v>12763</v>
      </c>
      <c r="J149" s="47" t="s">
        <v>1868</v>
      </c>
      <c r="K149" s="153"/>
    </row>
    <row r="150" spans="1:11" x14ac:dyDescent="0.3">
      <c r="A150" s="47" t="s">
        <v>13001</v>
      </c>
      <c r="B150" s="47" t="s">
        <v>12729</v>
      </c>
      <c r="C150" s="47" t="s">
        <v>12764</v>
      </c>
      <c r="D150" s="47" t="s">
        <v>21</v>
      </c>
      <c r="E150" s="47" t="s">
        <v>14</v>
      </c>
      <c r="F150" s="47" t="s">
        <v>12765</v>
      </c>
      <c r="G150" s="47" t="s">
        <v>12766</v>
      </c>
      <c r="H150" s="47" t="s">
        <v>12767</v>
      </c>
      <c r="I150" s="47" t="s">
        <v>12768</v>
      </c>
      <c r="J150" s="47" t="s">
        <v>1852</v>
      </c>
      <c r="K150" s="153"/>
    </row>
    <row r="151" spans="1:11" x14ac:dyDescent="0.3">
      <c r="A151" s="47" t="s">
        <v>13002</v>
      </c>
      <c r="B151" s="47" t="s">
        <v>12729</v>
      </c>
      <c r="C151" s="47" t="s">
        <v>12769</v>
      </c>
      <c r="D151" s="47" t="s">
        <v>21</v>
      </c>
      <c r="E151" s="47" t="s">
        <v>14</v>
      </c>
      <c r="F151" s="47" t="s">
        <v>12770</v>
      </c>
      <c r="G151" s="47" t="s">
        <v>12771</v>
      </c>
      <c r="H151" s="47" t="s">
        <v>12772</v>
      </c>
      <c r="I151" s="47" t="s">
        <v>12773</v>
      </c>
      <c r="J151" s="47" t="s">
        <v>1852</v>
      </c>
      <c r="K151" s="153"/>
    </row>
    <row r="152" spans="1:11" x14ac:dyDescent="0.3">
      <c r="A152" s="47" t="s">
        <v>13003</v>
      </c>
      <c r="B152" s="47" t="s">
        <v>12729</v>
      </c>
      <c r="C152" s="47" t="s">
        <v>12774</v>
      </c>
      <c r="D152" s="47" t="s">
        <v>21</v>
      </c>
      <c r="E152" s="47" t="s">
        <v>14</v>
      </c>
      <c r="F152" s="47" t="s">
        <v>12775</v>
      </c>
      <c r="G152" s="47" t="s">
        <v>12776</v>
      </c>
      <c r="H152" s="47" t="s">
        <v>12777</v>
      </c>
      <c r="I152" s="47" t="s">
        <v>14</v>
      </c>
      <c r="J152" s="47" t="s">
        <v>1873</v>
      </c>
      <c r="K152" s="153"/>
    </row>
    <row r="153" spans="1:11" x14ac:dyDescent="0.3">
      <c r="A153" s="47" t="s">
        <v>13004</v>
      </c>
      <c r="B153" s="47" t="s">
        <v>12729</v>
      </c>
      <c r="C153" s="47" t="s">
        <v>12778</v>
      </c>
      <c r="D153" s="47" t="s">
        <v>21</v>
      </c>
      <c r="E153" s="47" t="s">
        <v>14</v>
      </c>
      <c r="F153" s="47" t="s">
        <v>12779</v>
      </c>
      <c r="G153" s="47" t="s">
        <v>12780</v>
      </c>
      <c r="H153" s="47" t="s">
        <v>12781</v>
      </c>
      <c r="I153" s="47" t="s">
        <v>14</v>
      </c>
      <c r="J153" s="47" t="s">
        <v>1852</v>
      </c>
      <c r="K153" s="153"/>
    </row>
    <row r="154" spans="1:11" x14ac:dyDescent="0.3">
      <c r="A154" s="47" t="s">
        <v>13005</v>
      </c>
      <c r="B154" s="47" t="s">
        <v>12729</v>
      </c>
      <c r="C154" s="47" t="s">
        <v>12782</v>
      </c>
      <c r="D154" s="47" t="s">
        <v>21</v>
      </c>
      <c r="E154" s="47" t="s">
        <v>14</v>
      </c>
      <c r="F154" s="47" t="s">
        <v>12783</v>
      </c>
      <c r="G154" s="47" t="s">
        <v>12784</v>
      </c>
      <c r="H154" s="47" t="s">
        <v>12785</v>
      </c>
      <c r="I154" s="47" t="s">
        <v>14</v>
      </c>
      <c r="J154" s="47" t="s">
        <v>1873</v>
      </c>
      <c r="K154" s="153"/>
    </row>
    <row r="155" spans="1:11" x14ac:dyDescent="0.3">
      <c r="A155" s="47" t="s">
        <v>13006</v>
      </c>
      <c r="B155" s="47" t="s">
        <v>12729</v>
      </c>
      <c r="C155" s="47" t="s">
        <v>12786</v>
      </c>
      <c r="D155" s="47" t="s">
        <v>21</v>
      </c>
      <c r="E155" s="47" t="s">
        <v>14</v>
      </c>
      <c r="F155" s="47" t="s">
        <v>12787</v>
      </c>
      <c r="G155" s="47" t="s">
        <v>12788</v>
      </c>
      <c r="H155" s="47" t="s">
        <v>12789</v>
      </c>
      <c r="I155" s="47" t="s">
        <v>14</v>
      </c>
      <c r="J155" s="47" t="s">
        <v>1868</v>
      </c>
      <c r="K155" s="153"/>
    </row>
    <row r="156" spans="1:11" x14ac:dyDescent="0.3">
      <c r="A156" s="47" t="s">
        <v>13007</v>
      </c>
      <c r="B156" s="47" t="s">
        <v>12729</v>
      </c>
      <c r="C156" s="47" t="s">
        <v>12790</v>
      </c>
      <c r="D156" s="47" t="s">
        <v>21</v>
      </c>
      <c r="E156" s="47" t="s">
        <v>534</v>
      </c>
      <c r="F156" s="47" t="s">
        <v>12791</v>
      </c>
      <c r="G156" s="47" t="s">
        <v>12742</v>
      </c>
      <c r="H156" s="47" t="s">
        <v>12792</v>
      </c>
      <c r="I156" s="47" t="s">
        <v>12793</v>
      </c>
      <c r="J156" s="47" t="s">
        <v>1868</v>
      </c>
      <c r="K156" s="153"/>
    </row>
    <row r="157" spans="1:11" x14ac:dyDescent="0.3">
      <c r="A157" s="47" t="s">
        <v>13008</v>
      </c>
      <c r="B157" s="47" t="s">
        <v>12729</v>
      </c>
      <c r="C157" s="47" t="s">
        <v>12794</v>
      </c>
      <c r="D157" s="47" t="s">
        <v>21</v>
      </c>
      <c r="E157" s="47" t="s">
        <v>534</v>
      </c>
      <c r="F157" s="47" t="s">
        <v>12795</v>
      </c>
      <c r="G157" s="47" t="s">
        <v>12796</v>
      </c>
      <c r="H157" s="47" t="s">
        <v>12797</v>
      </c>
      <c r="I157" s="47" t="s">
        <v>12798</v>
      </c>
      <c r="J157" s="47" t="s">
        <v>1868</v>
      </c>
      <c r="K157" s="153"/>
    </row>
    <row r="158" spans="1:11" x14ac:dyDescent="0.3">
      <c r="A158" s="47" t="s">
        <v>13009</v>
      </c>
      <c r="B158" s="47" t="s">
        <v>12729</v>
      </c>
      <c r="C158" s="47" t="s">
        <v>12799</v>
      </c>
      <c r="D158" s="47" t="s">
        <v>21</v>
      </c>
      <c r="E158" s="47" t="s">
        <v>534</v>
      </c>
      <c r="F158" s="47" t="s">
        <v>12800</v>
      </c>
      <c r="G158" s="47" t="s">
        <v>12801</v>
      </c>
      <c r="H158" s="47" t="s">
        <v>12802</v>
      </c>
      <c r="I158" s="47" t="s">
        <v>14</v>
      </c>
      <c r="J158" s="47" t="s">
        <v>1868</v>
      </c>
      <c r="K158" s="153"/>
    </row>
    <row r="159" spans="1:11" x14ac:dyDescent="0.3">
      <c r="A159" s="47" t="s">
        <v>13010</v>
      </c>
      <c r="B159" s="47" t="s">
        <v>12729</v>
      </c>
      <c r="C159" s="47" t="s">
        <v>12803</v>
      </c>
      <c r="D159" s="47" t="s">
        <v>21</v>
      </c>
      <c r="E159" s="47" t="s">
        <v>14</v>
      </c>
      <c r="F159" s="47" t="s">
        <v>12804</v>
      </c>
      <c r="G159" s="47" t="s">
        <v>12805</v>
      </c>
      <c r="H159" s="47" t="s">
        <v>12806</v>
      </c>
      <c r="I159" s="47" t="s">
        <v>14</v>
      </c>
      <c r="J159" s="47" t="s">
        <v>1852</v>
      </c>
      <c r="K159" s="153"/>
    </row>
    <row r="160" spans="1:11" x14ac:dyDescent="0.3">
      <c r="A160" s="47" t="s">
        <v>13011</v>
      </c>
      <c r="B160" s="47" t="s">
        <v>12729</v>
      </c>
      <c r="C160" s="47" t="s">
        <v>12807</v>
      </c>
      <c r="D160" s="47" t="s">
        <v>21</v>
      </c>
      <c r="E160" s="47" t="s">
        <v>14</v>
      </c>
      <c r="F160" s="47" t="s">
        <v>12808</v>
      </c>
      <c r="G160" s="47" t="s">
        <v>3466</v>
      </c>
      <c r="H160" s="47" t="s">
        <v>12809</v>
      </c>
      <c r="I160" s="47" t="s">
        <v>12810</v>
      </c>
      <c r="J160" s="47" t="s">
        <v>1852</v>
      </c>
      <c r="K160" s="153"/>
    </row>
    <row r="161" spans="1:11" x14ac:dyDescent="0.3">
      <c r="A161" s="47" t="s">
        <v>13012</v>
      </c>
      <c r="B161" s="47" t="s">
        <v>12729</v>
      </c>
      <c r="C161" s="47" t="s">
        <v>12811</v>
      </c>
      <c r="D161" s="47" t="s">
        <v>21</v>
      </c>
      <c r="E161" s="47" t="s">
        <v>14</v>
      </c>
      <c r="F161" s="47" t="s">
        <v>12812</v>
      </c>
      <c r="G161" s="47" t="s">
        <v>12742</v>
      </c>
      <c r="H161" s="47" t="s">
        <v>12949</v>
      </c>
      <c r="I161" s="47" t="s">
        <v>12813</v>
      </c>
      <c r="J161" s="47" t="s">
        <v>1873</v>
      </c>
      <c r="K161" s="156"/>
    </row>
    <row r="162" spans="1:11" x14ac:dyDescent="0.3">
      <c r="A162" s="47" t="s">
        <v>13013</v>
      </c>
      <c r="B162" s="47" t="s">
        <v>12729</v>
      </c>
      <c r="C162" s="47" t="s">
        <v>12814</v>
      </c>
      <c r="D162" s="47" t="s">
        <v>21</v>
      </c>
      <c r="E162" s="47" t="s">
        <v>664</v>
      </c>
      <c r="F162" s="47" t="s">
        <v>12815</v>
      </c>
      <c r="G162" s="47" t="s">
        <v>12816</v>
      </c>
      <c r="H162" s="47" t="s">
        <v>12817</v>
      </c>
      <c r="I162" s="47" t="s">
        <v>12818</v>
      </c>
      <c r="J162" s="47" t="s">
        <v>1868</v>
      </c>
      <c r="K162" s="153"/>
    </row>
    <row r="163" spans="1:11" x14ac:dyDescent="0.3">
      <c r="A163" s="47" t="s">
        <v>13014</v>
      </c>
      <c r="B163" s="47" t="s">
        <v>12729</v>
      </c>
      <c r="C163" s="47" t="s">
        <v>12819</v>
      </c>
      <c r="D163" s="47" t="s">
        <v>21</v>
      </c>
      <c r="E163" s="47" t="s">
        <v>55</v>
      </c>
      <c r="F163" s="47" t="s">
        <v>12820</v>
      </c>
      <c r="G163" s="47" t="s">
        <v>12821</v>
      </c>
      <c r="H163" s="47" t="s">
        <v>12822</v>
      </c>
      <c r="I163" s="47" t="s">
        <v>12823</v>
      </c>
      <c r="J163" s="47" t="s">
        <v>1852</v>
      </c>
      <c r="K163" s="154"/>
    </row>
    <row r="164" spans="1:11" x14ac:dyDescent="0.3">
      <c r="K164" s="153"/>
    </row>
    <row r="165" spans="1:11" x14ac:dyDescent="0.3">
      <c r="K165" s="153"/>
    </row>
    <row r="166" spans="1:11" ht="18" x14ac:dyDescent="0.35">
      <c r="A166" s="151" t="s">
        <v>9420</v>
      </c>
      <c r="B166" s="151"/>
      <c r="C166" s="151"/>
      <c r="D166" s="151"/>
      <c r="E166" s="151"/>
      <c r="F166" s="151"/>
      <c r="G166" s="151"/>
      <c r="H166" s="151"/>
      <c r="I166" s="151"/>
      <c r="J166" s="151"/>
      <c r="K166" s="153"/>
    </row>
    <row r="167" spans="1:11" x14ac:dyDescent="0.3">
      <c r="A167" s="16" t="s">
        <v>5883</v>
      </c>
      <c r="B167">
        <f>COUNTA(A2:A163)</f>
        <v>162</v>
      </c>
      <c r="D167" s="16" t="s">
        <v>9421</v>
      </c>
      <c r="E167">
        <f>COUNTIF(D2:D163,"P")</f>
        <v>88</v>
      </c>
      <c r="G167" s="16" t="s">
        <v>9424</v>
      </c>
      <c r="H167">
        <f>COUNTIF(J2:J163,"P1")</f>
        <v>84</v>
      </c>
      <c r="K167" s="153"/>
    </row>
    <row r="168" spans="1:11" x14ac:dyDescent="0.3">
      <c r="A168" s="16"/>
      <c r="D168" s="16" t="s">
        <v>9422</v>
      </c>
      <c r="E168">
        <f>COUNTIF(D2:D163,"N")</f>
        <v>37</v>
      </c>
      <c r="G168" s="16" t="s">
        <v>9425</v>
      </c>
      <c r="H168">
        <f>COUNTIF(J2:J163,"P2")</f>
        <v>71</v>
      </c>
      <c r="K168" s="153"/>
    </row>
    <row r="169" spans="1:11" x14ac:dyDescent="0.3">
      <c r="A169" s="16"/>
      <c r="D169" s="16" t="s">
        <v>12824</v>
      </c>
      <c r="E169">
        <f>COUNTIF(D2:D163,"E")</f>
        <v>37</v>
      </c>
      <c r="G169" s="16" t="s">
        <v>9426</v>
      </c>
      <c r="H169">
        <f>COUNTIF(J2:J163,"P3")</f>
        <v>7</v>
      </c>
      <c r="K169" s="153"/>
    </row>
    <row r="170" spans="1:11" x14ac:dyDescent="0.3">
      <c r="A170" s="16"/>
      <c r="D170" s="16"/>
      <c r="K170" s="153"/>
    </row>
    <row r="171" spans="1:11" x14ac:dyDescent="0.3">
      <c r="A171" s="16" t="s">
        <v>9427</v>
      </c>
      <c r="D171" s="16"/>
      <c r="K171" s="153"/>
    </row>
    <row r="172" spans="1:11" x14ac:dyDescent="0.3">
      <c r="A172" s="16" t="s">
        <v>12083</v>
      </c>
      <c r="B172">
        <f>COUNTIF(B2:B163,"1.*")</f>
        <v>22</v>
      </c>
      <c r="D172" s="16" t="s">
        <v>12505</v>
      </c>
      <c r="E172">
        <f>COUNTIF(B2:B163,"6.*")</f>
        <v>14</v>
      </c>
      <c r="K172" s="153"/>
    </row>
    <row r="173" spans="1:11" x14ac:dyDescent="0.3">
      <c r="A173" s="16" t="s">
        <v>12825</v>
      </c>
      <c r="B173">
        <f>COUNTIF(B2:B163,"2.*")</f>
        <v>20</v>
      </c>
      <c r="D173" s="16" t="s">
        <v>12552</v>
      </c>
      <c r="E173">
        <f>COUNTIF(B2:B163,"7.*")</f>
        <v>14</v>
      </c>
      <c r="K173" s="153"/>
    </row>
    <row r="174" spans="1:11" x14ac:dyDescent="0.3">
      <c r="A174" s="16" t="s">
        <v>12826</v>
      </c>
      <c r="B174">
        <f>COUNTIF(B2:B163,"3.*")</f>
        <v>18</v>
      </c>
      <c r="D174" s="16" t="s">
        <v>12617</v>
      </c>
      <c r="E174">
        <f>COUNTIF(B2:B163,"8.*")</f>
        <v>12</v>
      </c>
      <c r="K174" s="153"/>
    </row>
    <row r="175" spans="1:11" x14ac:dyDescent="0.3">
      <c r="A175" s="16" t="s">
        <v>12373</v>
      </c>
      <c r="B175">
        <f>COUNTIF(B2:B163,"4.*")</f>
        <v>14</v>
      </c>
      <c r="D175" s="16" t="s">
        <v>12673</v>
      </c>
      <c r="E175">
        <f>COUNTIF(B2:B163,"9.*")</f>
        <v>12</v>
      </c>
      <c r="K175" s="153"/>
    </row>
    <row r="176" spans="1:11" x14ac:dyDescent="0.3">
      <c r="A176" s="16" t="s">
        <v>12436</v>
      </c>
      <c r="B176">
        <f>COUNTIF(B2:B163,"5.*")</f>
        <v>14</v>
      </c>
      <c r="D176" s="16" t="s">
        <v>12729</v>
      </c>
      <c r="E176">
        <f>COUNTIF(B2:B163,"10.*")</f>
        <v>22</v>
      </c>
      <c r="K176" s="153"/>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A74FE-F6C5-4FA2-A86F-D0B0DEB8B22B}">
  <dimension ref="A1:J66"/>
  <sheetViews>
    <sheetView workbookViewId="0">
      <pane ySplit="1" topLeftCell="A2" activePane="bottomLeft" state="frozen"/>
      <selection pane="bottomLeft"/>
    </sheetView>
  </sheetViews>
  <sheetFormatPr defaultRowHeight="14.4" x14ac:dyDescent="0.3"/>
  <cols>
    <col min="1" max="1" width="14.77734375" customWidth="1"/>
    <col min="2" max="2" width="33.33203125" customWidth="1"/>
    <col min="3" max="3" width="42.5546875" customWidth="1"/>
    <col min="4" max="4" width="7.77734375" customWidth="1"/>
    <col min="5" max="5" width="19.44140625" customWidth="1"/>
    <col min="6" max="6" width="37" customWidth="1"/>
    <col min="7" max="7" width="33.33203125" customWidth="1"/>
    <col min="8" max="8" width="43.5546875" customWidth="1"/>
    <col min="9" max="9" width="36.109375" customWidth="1"/>
    <col min="10" max="10" width="10.21875" customWidth="1"/>
  </cols>
  <sheetData>
    <row r="1" spans="1:10" x14ac:dyDescent="0.3">
      <c r="A1" s="173" t="s">
        <v>0</v>
      </c>
      <c r="B1" s="173" t="s">
        <v>9</v>
      </c>
      <c r="C1" s="173" t="s">
        <v>1840</v>
      </c>
      <c r="D1" s="173" t="s">
        <v>2</v>
      </c>
      <c r="E1" s="173" t="s">
        <v>1841</v>
      </c>
      <c r="F1" s="173" t="s">
        <v>4</v>
      </c>
      <c r="G1" s="173" t="s">
        <v>1842</v>
      </c>
      <c r="H1" s="173" t="s">
        <v>6</v>
      </c>
      <c r="I1" s="173" t="s">
        <v>6979</v>
      </c>
      <c r="J1" s="173" t="s">
        <v>1131</v>
      </c>
    </row>
    <row r="2" spans="1:10" ht="28.8" x14ac:dyDescent="0.3">
      <c r="A2" s="153" t="s">
        <v>13141</v>
      </c>
      <c r="B2" s="153" t="s">
        <v>13142</v>
      </c>
      <c r="C2" s="153" t="s">
        <v>13143</v>
      </c>
      <c r="D2" s="153" t="s">
        <v>13</v>
      </c>
      <c r="E2" s="153" t="s">
        <v>13121</v>
      </c>
      <c r="F2" s="153" t="s">
        <v>13144</v>
      </c>
      <c r="G2" s="153" t="s">
        <v>13145</v>
      </c>
      <c r="H2" s="153" t="s">
        <v>13146</v>
      </c>
      <c r="I2" s="153" t="s">
        <v>14</v>
      </c>
      <c r="J2" s="153" t="s">
        <v>1852</v>
      </c>
    </row>
    <row r="3" spans="1:10" ht="28.8" x14ac:dyDescent="0.3">
      <c r="A3" s="153" t="s">
        <v>13147</v>
      </c>
      <c r="B3" s="153" t="s">
        <v>13142</v>
      </c>
      <c r="C3" s="153" t="s">
        <v>13148</v>
      </c>
      <c r="D3" s="153" t="s">
        <v>13</v>
      </c>
      <c r="E3" s="153" t="s">
        <v>13121</v>
      </c>
      <c r="F3" s="153" t="s">
        <v>13149</v>
      </c>
      <c r="G3" s="153" t="s">
        <v>13150</v>
      </c>
      <c r="H3" s="153" t="s">
        <v>13151</v>
      </c>
      <c r="I3" s="153" t="s">
        <v>14</v>
      </c>
      <c r="J3" s="153" t="s">
        <v>1852</v>
      </c>
    </row>
    <row r="4" spans="1:10" x14ac:dyDescent="0.3">
      <c r="A4" s="153" t="s">
        <v>13152</v>
      </c>
      <c r="B4" s="153" t="s">
        <v>13142</v>
      </c>
      <c r="C4" s="153" t="s">
        <v>13153</v>
      </c>
      <c r="D4" s="153" t="s">
        <v>13</v>
      </c>
      <c r="E4" s="153" t="s">
        <v>13121</v>
      </c>
      <c r="F4" s="153" t="s">
        <v>13154</v>
      </c>
      <c r="G4" s="153" t="s">
        <v>13155</v>
      </c>
      <c r="H4" s="153" t="s">
        <v>13156</v>
      </c>
      <c r="I4" s="153" t="s">
        <v>14</v>
      </c>
      <c r="J4" s="153" t="s">
        <v>1852</v>
      </c>
    </row>
    <row r="5" spans="1:10" ht="28.8" x14ac:dyDescent="0.3">
      <c r="A5" s="153" t="s">
        <v>13157</v>
      </c>
      <c r="B5" s="153" t="s">
        <v>13142</v>
      </c>
      <c r="C5" s="153" t="s">
        <v>13158</v>
      </c>
      <c r="D5" s="153" t="s">
        <v>13</v>
      </c>
      <c r="E5" s="153" t="s">
        <v>13121</v>
      </c>
      <c r="F5" s="153" t="s">
        <v>13159</v>
      </c>
      <c r="G5" s="153" t="s">
        <v>13160</v>
      </c>
      <c r="H5" s="153" t="s">
        <v>13161</v>
      </c>
      <c r="I5" s="153" t="s">
        <v>13162</v>
      </c>
      <c r="J5" s="153" t="s">
        <v>1852</v>
      </c>
    </row>
    <row r="6" spans="1:10" x14ac:dyDescent="0.3">
      <c r="A6" s="153" t="s">
        <v>13163</v>
      </c>
      <c r="B6" s="153" t="s">
        <v>13142</v>
      </c>
      <c r="C6" s="153" t="s">
        <v>13164</v>
      </c>
      <c r="D6" s="153" t="s">
        <v>10</v>
      </c>
      <c r="E6" s="153" t="s">
        <v>13121</v>
      </c>
      <c r="F6" s="153" t="s">
        <v>13165</v>
      </c>
      <c r="G6" s="153" t="s">
        <v>13166</v>
      </c>
      <c r="H6" s="153" t="s">
        <v>13167</v>
      </c>
      <c r="I6" s="153" t="s">
        <v>14</v>
      </c>
      <c r="J6" s="153" t="s">
        <v>1868</v>
      </c>
    </row>
    <row r="7" spans="1:10" x14ac:dyDescent="0.3">
      <c r="A7" s="153" t="s">
        <v>13168</v>
      </c>
      <c r="B7" s="153" t="s">
        <v>13142</v>
      </c>
      <c r="C7" s="153" t="s">
        <v>13169</v>
      </c>
      <c r="D7" s="153" t="s">
        <v>13</v>
      </c>
      <c r="E7" s="153" t="s">
        <v>13121</v>
      </c>
      <c r="F7" s="153" t="s">
        <v>13170</v>
      </c>
      <c r="G7" s="153" t="s">
        <v>13171</v>
      </c>
      <c r="H7" s="153" t="s">
        <v>13172</v>
      </c>
      <c r="I7" s="153" t="s">
        <v>14</v>
      </c>
      <c r="J7" s="153" t="s">
        <v>1868</v>
      </c>
    </row>
    <row r="8" spans="1:10" x14ac:dyDescent="0.3">
      <c r="A8" s="153" t="s">
        <v>13173</v>
      </c>
      <c r="B8" s="153" t="s">
        <v>13142</v>
      </c>
      <c r="C8" s="153" t="s">
        <v>13174</v>
      </c>
      <c r="D8" s="153" t="s">
        <v>13</v>
      </c>
      <c r="E8" s="153" t="s">
        <v>13121</v>
      </c>
      <c r="F8" s="153" t="s">
        <v>13175</v>
      </c>
      <c r="G8" s="153" t="s">
        <v>13176</v>
      </c>
      <c r="H8" s="153" t="s">
        <v>13177</v>
      </c>
      <c r="I8" s="153" t="s">
        <v>14</v>
      </c>
      <c r="J8" s="153" t="s">
        <v>1868</v>
      </c>
    </row>
    <row r="9" spans="1:10" x14ac:dyDescent="0.3">
      <c r="A9" s="153" t="s">
        <v>13178</v>
      </c>
      <c r="B9" s="153" t="s">
        <v>13142</v>
      </c>
      <c r="C9" s="153" t="s">
        <v>13179</v>
      </c>
      <c r="D9" s="153" t="s">
        <v>13</v>
      </c>
      <c r="E9" s="153" t="s">
        <v>13121</v>
      </c>
      <c r="F9" s="153" t="s">
        <v>13180</v>
      </c>
      <c r="G9" s="153" t="s">
        <v>13181</v>
      </c>
      <c r="H9" s="153" t="s">
        <v>13182</v>
      </c>
      <c r="I9" s="153" t="s">
        <v>14</v>
      </c>
      <c r="J9" s="153" t="s">
        <v>1852</v>
      </c>
    </row>
    <row r="10" spans="1:10" x14ac:dyDescent="0.3">
      <c r="A10" s="153" t="s">
        <v>13183</v>
      </c>
      <c r="B10" s="153" t="s">
        <v>13184</v>
      </c>
      <c r="C10" s="153" t="s">
        <v>13185</v>
      </c>
      <c r="D10" s="153" t="s">
        <v>13</v>
      </c>
      <c r="E10" s="153" t="s">
        <v>13125</v>
      </c>
      <c r="F10" s="153" t="s">
        <v>13186</v>
      </c>
      <c r="G10" s="153" t="s">
        <v>13187</v>
      </c>
      <c r="H10" s="153" t="s">
        <v>13188</v>
      </c>
      <c r="I10" s="153" t="s">
        <v>14</v>
      </c>
      <c r="J10" s="153" t="s">
        <v>1852</v>
      </c>
    </row>
    <row r="11" spans="1:10" x14ac:dyDescent="0.3">
      <c r="A11" s="153" t="s">
        <v>13189</v>
      </c>
      <c r="B11" s="153" t="s">
        <v>13184</v>
      </c>
      <c r="C11" s="153" t="s">
        <v>13190</v>
      </c>
      <c r="D11" s="153" t="s">
        <v>13</v>
      </c>
      <c r="E11" s="153" t="s">
        <v>13125</v>
      </c>
      <c r="F11" s="153" t="s">
        <v>13191</v>
      </c>
      <c r="G11" s="153" t="s">
        <v>13192</v>
      </c>
      <c r="H11" s="153" t="s">
        <v>13193</v>
      </c>
      <c r="I11" s="153" t="s">
        <v>14</v>
      </c>
      <c r="J11" s="153" t="s">
        <v>1852</v>
      </c>
    </row>
    <row r="12" spans="1:10" x14ac:dyDescent="0.3">
      <c r="A12" s="153" t="s">
        <v>13194</v>
      </c>
      <c r="B12" s="153" t="s">
        <v>13184</v>
      </c>
      <c r="C12" s="153" t="s">
        <v>13195</v>
      </c>
      <c r="D12" s="153" t="s">
        <v>10</v>
      </c>
      <c r="E12" s="153" t="s">
        <v>13125</v>
      </c>
      <c r="F12" s="153" t="s">
        <v>13196</v>
      </c>
      <c r="G12" s="153" t="s">
        <v>13197</v>
      </c>
      <c r="H12" s="153" t="s">
        <v>13198</v>
      </c>
      <c r="I12" s="153" t="s">
        <v>13199</v>
      </c>
      <c r="J12" s="153" t="s">
        <v>1852</v>
      </c>
    </row>
    <row r="13" spans="1:10" ht="28.8" x14ac:dyDescent="0.3">
      <c r="A13" s="153" t="s">
        <v>13200</v>
      </c>
      <c r="B13" s="153" t="s">
        <v>13184</v>
      </c>
      <c r="C13" s="153" t="s">
        <v>13201</v>
      </c>
      <c r="D13" s="153" t="s">
        <v>10</v>
      </c>
      <c r="E13" s="153" t="s">
        <v>13202</v>
      </c>
      <c r="F13" s="153" t="s">
        <v>13203</v>
      </c>
      <c r="G13" s="153" t="s">
        <v>13204</v>
      </c>
      <c r="H13" s="153" t="s">
        <v>8292</v>
      </c>
      <c r="I13" s="153" t="s">
        <v>13205</v>
      </c>
      <c r="J13" s="153" t="s">
        <v>1852</v>
      </c>
    </row>
    <row r="14" spans="1:10" x14ac:dyDescent="0.3">
      <c r="A14" s="153" t="s">
        <v>13206</v>
      </c>
      <c r="B14" s="153" t="s">
        <v>13184</v>
      </c>
      <c r="C14" s="153" t="s">
        <v>13207</v>
      </c>
      <c r="D14" s="153" t="s">
        <v>13</v>
      </c>
      <c r="E14" s="153" t="s">
        <v>13208</v>
      </c>
      <c r="F14" s="153" t="s">
        <v>13209</v>
      </c>
      <c r="G14" s="153" t="s">
        <v>13210</v>
      </c>
      <c r="H14" s="153" t="s">
        <v>13211</v>
      </c>
      <c r="I14" s="153" t="s">
        <v>14</v>
      </c>
      <c r="J14" s="153" t="s">
        <v>1868</v>
      </c>
    </row>
    <row r="15" spans="1:10" x14ac:dyDescent="0.3">
      <c r="A15" s="153" t="s">
        <v>13212</v>
      </c>
      <c r="B15" s="153" t="s">
        <v>13184</v>
      </c>
      <c r="C15" s="153" t="s">
        <v>13213</v>
      </c>
      <c r="D15" s="153" t="s">
        <v>13</v>
      </c>
      <c r="E15" s="153" t="s">
        <v>13214</v>
      </c>
      <c r="F15" s="153" t="s">
        <v>13215</v>
      </c>
      <c r="G15" s="153" t="s">
        <v>13216</v>
      </c>
      <c r="H15" s="153" t="s">
        <v>13217</v>
      </c>
      <c r="I15" s="153" t="s">
        <v>14</v>
      </c>
      <c r="J15" s="153" t="s">
        <v>1868</v>
      </c>
    </row>
    <row r="16" spans="1:10" ht="28.8" x14ac:dyDescent="0.3">
      <c r="A16" s="153" t="s">
        <v>13218</v>
      </c>
      <c r="B16" s="153" t="s">
        <v>13184</v>
      </c>
      <c r="C16" s="153" t="s">
        <v>13219</v>
      </c>
      <c r="D16" s="153" t="s">
        <v>13</v>
      </c>
      <c r="E16" s="153" t="s">
        <v>13125</v>
      </c>
      <c r="F16" s="153" t="s">
        <v>13220</v>
      </c>
      <c r="G16" s="153" t="s">
        <v>13221</v>
      </c>
      <c r="H16" s="153" t="s">
        <v>13222</v>
      </c>
      <c r="I16" s="153" t="s">
        <v>14</v>
      </c>
      <c r="J16" s="153" t="s">
        <v>1868</v>
      </c>
    </row>
    <row r="17" spans="1:10" ht="28.8" x14ac:dyDescent="0.3">
      <c r="A17" s="153" t="s">
        <v>13223</v>
      </c>
      <c r="B17" s="153" t="s">
        <v>13224</v>
      </c>
      <c r="C17" s="153" t="s">
        <v>13225</v>
      </c>
      <c r="D17" s="153" t="s">
        <v>13</v>
      </c>
      <c r="E17" s="153" t="s">
        <v>13130</v>
      </c>
      <c r="F17" s="153" t="s">
        <v>13226</v>
      </c>
      <c r="G17" s="153" t="s">
        <v>13227</v>
      </c>
      <c r="H17" s="153" t="s">
        <v>13228</v>
      </c>
      <c r="I17" s="153" t="s">
        <v>14</v>
      </c>
      <c r="J17" s="153" t="s">
        <v>1852</v>
      </c>
    </row>
    <row r="18" spans="1:10" ht="28.8" x14ac:dyDescent="0.3">
      <c r="A18" s="153" t="s">
        <v>13229</v>
      </c>
      <c r="B18" s="153" t="s">
        <v>13224</v>
      </c>
      <c r="C18" s="153" t="s">
        <v>13230</v>
      </c>
      <c r="D18" s="153" t="s">
        <v>10</v>
      </c>
      <c r="E18" s="153" t="s">
        <v>13231</v>
      </c>
      <c r="F18" s="153" t="s">
        <v>13232</v>
      </c>
      <c r="G18" s="153" t="s">
        <v>13233</v>
      </c>
      <c r="H18" s="153" t="s">
        <v>8292</v>
      </c>
      <c r="I18" s="153" t="s">
        <v>13234</v>
      </c>
      <c r="J18" s="153" t="s">
        <v>1852</v>
      </c>
    </row>
    <row r="19" spans="1:10" ht="28.8" x14ac:dyDescent="0.3">
      <c r="A19" s="153" t="s">
        <v>13235</v>
      </c>
      <c r="B19" s="153" t="s">
        <v>13224</v>
      </c>
      <c r="C19" s="153" t="s">
        <v>13236</v>
      </c>
      <c r="D19" s="153" t="s">
        <v>10</v>
      </c>
      <c r="E19" s="153" t="s">
        <v>13237</v>
      </c>
      <c r="F19" s="153" t="s">
        <v>13238</v>
      </c>
      <c r="G19" s="153" t="s">
        <v>13233</v>
      </c>
      <c r="H19" s="153" t="s">
        <v>13239</v>
      </c>
      <c r="I19" s="153" t="s">
        <v>13240</v>
      </c>
      <c r="J19" s="153" t="s">
        <v>1852</v>
      </c>
    </row>
    <row r="20" spans="1:10" ht="28.8" x14ac:dyDescent="0.3">
      <c r="A20" s="153" t="s">
        <v>13241</v>
      </c>
      <c r="B20" s="153" t="s">
        <v>13224</v>
      </c>
      <c r="C20" s="153" t="s">
        <v>13242</v>
      </c>
      <c r="D20" s="153" t="s">
        <v>10</v>
      </c>
      <c r="E20" s="153" t="s">
        <v>13130</v>
      </c>
      <c r="F20" s="153" t="s">
        <v>13243</v>
      </c>
      <c r="G20" s="153" t="s">
        <v>13233</v>
      </c>
      <c r="H20" s="153" t="s">
        <v>13244</v>
      </c>
      <c r="I20" s="153" t="s">
        <v>14</v>
      </c>
      <c r="J20" s="153" t="s">
        <v>1852</v>
      </c>
    </row>
    <row r="21" spans="1:10" ht="28.8" x14ac:dyDescent="0.3">
      <c r="A21" s="153" t="s">
        <v>13245</v>
      </c>
      <c r="B21" s="153" t="s">
        <v>13224</v>
      </c>
      <c r="C21" s="153" t="s">
        <v>13246</v>
      </c>
      <c r="D21" s="153" t="s">
        <v>13</v>
      </c>
      <c r="E21" s="153" t="s">
        <v>13130</v>
      </c>
      <c r="F21" s="153" t="s">
        <v>13247</v>
      </c>
      <c r="G21" s="153" t="s">
        <v>13248</v>
      </c>
      <c r="H21" s="153" t="s">
        <v>10571</v>
      </c>
      <c r="I21" s="153" t="s">
        <v>14</v>
      </c>
      <c r="J21" s="153" t="s">
        <v>1852</v>
      </c>
    </row>
    <row r="22" spans="1:10" ht="28.8" x14ac:dyDescent="0.3">
      <c r="A22" s="153" t="s">
        <v>13249</v>
      </c>
      <c r="B22" s="153" t="s">
        <v>13224</v>
      </c>
      <c r="C22" s="153" t="s">
        <v>13250</v>
      </c>
      <c r="D22" s="153" t="s">
        <v>13</v>
      </c>
      <c r="E22" s="153" t="s">
        <v>13251</v>
      </c>
      <c r="F22" s="153" t="s">
        <v>13252</v>
      </c>
      <c r="G22" s="153" t="s">
        <v>8508</v>
      </c>
      <c r="H22" s="153" t="s">
        <v>13253</v>
      </c>
      <c r="I22" s="153" t="s">
        <v>14</v>
      </c>
      <c r="J22" s="153" t="s">
        <v>1868</v>
      </c>
    </row>
    <row r="23" spans="1:10" ht="28.8" x14ac:dyDescent="0.3">
      <c r="A23" s="153" t="s">
        <v>13254</v>
      </c>
      <c r="B23" s="153" t="s">
        <v>13224</v>
      </c>
      <c r="C23" s="153" t="s">
        <v>13255</v>
      </c>
      <c r="D23" s="153" t="s">
        <v>10</v>
      </c>
      <c r="E23" s="153" t="s">
        <v>13130</v>
      </c>
      <c r="F23" s="153" t="s">
        <v>13256</v>
      </c>
      <c r="G23" s="153" t="s">
        <v>13233</v>
      </c>
      <c r="H23" s="153" t="s">
        <v>13257</v>
      </c>
      <c r="I23" s="153" t="s">
        <v>14</v>
      </c>
      <c r="J23" s="153" t="s">
        <v>1868</v>
      </c>
    </row>
    <row r="24" spans="1:10" ht="28.8" x14ac:dyDescent="0.3">
      <c r="A24" s="153" t="s">
        <v>13258</v>
      </c>
      <c r="B24" s="153" t="s">
        <v>13224</v>
      </c>
      <c r="C24" s="153" t="s">
        <v>13259</v>
      </c>
      <c r="D24" s="153" t="s">
        <v>10</v>
      </c>
      <c r="E24" s="153" t="s">
        <v>13260</v>
      </c>
      <c r="F24" s="153" t="s">
        <v>11982</v>
      </c>
      <c r="G24" s="153" t="s">
        <v>13233</v>
      </c>
      <c r="H24" s="153" t="s">
        <v>8302</v>
      </c>
      <c r="I24" s="153" t="s">
        <v>14</v>
      </c>
      <c r="J24" s="153" t="s">
        <v>1852</v>
      </c>
    </row>
    <row r="25" spans="1:10" ht="28.8" x14ac:dyDescent="0.3">
      <c r="A25" s="153" t="s">
        <v>13261</v>
      </c>
      <c r="B25" s="153" t="s">
        <v>13262</v>
      </c>
      <c r="C25" s="153" t="s">
        <v>13263</v>
      </c>
      <c r="D25" s="153" t="s">
        <v>13</v>
      </c>
      <c r="E25" s="153" t="s">
        <v>13135</v>
      </c>
      <c r="F25" s="153" t="s">
        <v>13264</v>
      </c>
      <c r="G25" s="153" t="s">
        <v>13265</v>
      </c>
      <c r="H25" s="153" t="s">
        <v>13266</v>
      </c>
      <c r="I25" s="153" t="s">
        <v>13267</v>
      </c>
      <c r="J25" s="153" t="s">
        <v>1852</v>
      </c>
    </row>
    <row r="26" spans="1:10" x14ac:dyDescent="0.3">
      <c r="A26" s="153" t="s">
        <v>13268</v>
      </c>
      <c r="B26" s="153" t="s">
        <v>13262</v>
      </c>
      <c r="C26" s="153" t="s">
        <v>13269</v>
      </c>
      <c r="D26" s="153" t="s">
        <v>13</v>
      </c>
      <c r="E26" s="153" t="s">
        <v>13135</v>
      </c>
      <c r="F26" s="153" t="s">
        <v>13270</v>
      </c>
      <c r="G26" s="153" t="s">
        <v>13265</v>
      </c>
      <c r="H26" s="153" t="s">
        <v>13271</v>
      </c>
      <c r="I26" s="153" t="s">
        <v>14</v>
      </c>
      <c r="J26" s="153" t="s">
        <v>1852</v>
      </c>
    </row>
    <row r="27" spans="1:10" ht="28.8" x14ac:dyDescent="0.3">
      <c r="A27" s="153" t="s">
        <v>13272</v>
      </c>
      <c r="B27" s="153" t="s">
        <v>13262</v>
      </c>
      <c r="C27" s="153" t="s">
        <v>13273</v>
      </c>
      <c r="D27" s="153" t="s">
        <v>10</v>
      </c>
      <c r="E27" s="153" t="s">
        <v>13135</v>
      </c>
      <c r="F27" s="153" t="s">
        <v>13274</v>
      </c>
      <c r="G27" s="153" t="s">
        <v>13275</v>
      </c>
      <c r="H27" s="153" t="s">
        <v>13276</v>
      </c>
      <c r="I27" s="153" t="s">
        <v>13277</v>
      </c>
      <c r="J27" s="153" t="s">
        <v>1852</v>
      </c>
    </row>
    <row r="28" spans="1:10" x14ac:dyDescent="0.3">
      <c r="A28" s="153" t="s">
        <v>13278</v>
      </c>
      <c r="B28" s="153" t="s">
        <v>13262</v>
      </c>
      <c r="C28" s="153" t="s">
        <v>13279</v>
      </c>
      <c r="D28" s="153" t="s">
        <v>13</v>
      </c>
      <c r="E28" s="153" t="s">
        <v>13135</v>
      </c>
      <c r="F28" s="153" t="s">
        <v>13280</v>
      </c>
      <c r="G28" s="153" t="s">
        <v>13281</v>
      </c>
      <c r="H28" s="153" t="s">
        <v>13282</v>
      </c>
      <c r="I28" s="153" t="s">
        <v>14</v>
      </c>
      <c r="J28" s="153" t="s">
        <v>1868</v>
      </c>
    </row>
    <row r="29" spans="1:10" x14ac:dyDescent="0.3">
      <c r="A29" s="153" t="s">
        <v>13283</v>
      </c>
      <c r="B29" s="153" t="s">
        <v>13262</v>
      </c>
      <c r="C29" s="153" t="s">
        <v>13284</v>
      </c>
      <c r="D29" s="153" t="s">
        <v>13</v>
      </c>
      <c r="E29" s="153" t="s">
        <v>13135</v>
      </c>
      <c r="F29" s="153" t="s">
        <v>13285</v>
      </c>
      <c r="G29" s="153" t="s">
        <v>13286</v>
      </c>
      <c r="H29" s="153" t="s">
        <v>13287</v>
      </c>
      <c r="I29" s="153" t="s">
        <v>14</v>
      </c>
      <c r="J29" s="153" t="s">
        <v>1868</v>
      </c>
    </row>
    <row r="30" spans="1:10" ht="28.8" x14ac:dyDescent="0.3">
      <c r="A30" s="153" t="s">
        <v>13288</v>
      </c>
      <c r="B30" s="153" t="s">
        <v>13262</v>
      </c>
      <c r="C30" s="153" t="s">
        <v>13289</v>
      </c>
      <c r="D30" s="153" t="s">
        <v>13</v>
      </c>
      <c r="E30" s="153" t="s">
        <v>13135</v>
      </c>
      <c r="F30" s="153" t="s">
        <v>13290</v>
      </c>
      <c r="G30" s="153" t="s">
        <v>13265</v>
      </c>
      <c r="H30" s="153" t="s">
        <v>13291</v>
      </c>
      <c r="I30" s="153" t="s">
        <v>14</v>
      </c>
      <c r="J30" s="153" t="s">
        <v>1868</v>
      </c>
    </row>
    <row r="31" spans="1:10" ht="28.8" x14ac:dyDescent="0.3">
      <c r="A31" s="153" t="s">
        <v>13292</v>
      </c>
      <c r="B31" s="153" t="s">
        <v>13262</v>
      </c>
      <c r="C31" s="153" t="s">
        <v>13293</v>
      </c>
      <c r="D31" s="153" t="s">
        <v>13</v>
      </c>
      <c r="E31" s="153" t="s">
        <v>13294</v>
      </c>
      <c r="F31" s="153" t="s">
        <v>13295</v>
      </c>
      <c r="G31" s="153" t="s">
        <v>13265</v>
      </c>
      <c r="H31" s="153" t="s">
        <v>13296</v>
      </c>
      <c r="I31" s="153" t="s">
        <v>13297</v>
      </c>
      <c r="J31" s="153" t="s">
        <v>1852</v>
      </c>
    </row>
    <row r="32" spans="1:10" ht="28.8" x14ac:dyDescent="0.3">
      <c r="A32" s="153" t="s">
        <v>13298</v>
      </c>
      <c r="B32" s="153" t="s">
        <v>13299</v>
      </c>
      <c r="C32" s="153" t="s">
        <v>13300</v>
      </c>
      <c r="D32" s="153" t="s">
        <v>13</v>
      </c>
      <c r="E32" s="153" t="s">
        <v>13026</v>
      </c>
      <c r="F32" s="153" t="s">
        <v>13301</v>
      </c>
      <c r="G32" s="153" t="s">
        <v>8194</v>
      </c>
      <c r="H32" s="153" t="s">
        <v>13302</v>
      </c>
      <c r="I32" s="153" t="s">
        <v>14</v>
      </c>
      <c r="J32" s="153" t="s">
        <v>1852</v>
      </c>
    </row>
    <row r="33" spans="1:10" ht="28.8" x14ac:dyDescent="0.3">
      <c r="A33" s="153" t="s">
        <v>13303</v>
      </c>
      <c r="B33" s="153" t="s">
        <v>13299</v>
      </c>
      <c r="C33" s="153" t="s">
        <v>13304</v>
      </c>
      <c r="D33" s="153" t="s">
        <v>13</v>
      </c>
      <c r="E33" s="153" t="s">
        <v>13305</v>
      </c>
      <c r="F33" s="153" t="s">
        <v>13306</v>
      </c>
      <c r="G33" s="153" t="s">
        <v>13307</v>
      </c>
      <c r="H33" s="153" t="s">
        <v>13308</v>
      </c>
      <c r="I33" s="153" t="s">
        <v>14</v>
      </c>
      <c r="J33" s="153" t="s">
        <v>1852</v>
      </c>
    </row>
    <row r="34" spans="1:10" ht="28.8" x14ac:dyDescent="0.3">
      <c r="A34" s="153" t="s">
        <v>13309</v>
      </c>
      <c r="B34" s="153" t="s">
        <v>13299</v>
      </c>
      <c r="C34" s="153" t="s">
        <v>13310</v>
      </c>
      <c r="D34" s="153" t="s">
        <v>13</v>
      </c>
      <c r="E34" s="153" t="s">
        <v>13026</v>
      </c>
      <c r="F34" s="153" t="s">
        <v>13311</v>
      </c>
      <c r="G34" s="153" t="s">
        <v>13307</v>
      </c>
      <c r="H34" s="153" t="s">
        <v>13312</v>
      </c>
      <c r="I34" s="153" t="s">
        <v>14</v>
      </c>
      <c r="J34" s="153" t="s">
        <v>1852</v>
      </c>
    </row>
    <row r="35" spans="1:10" ht="28.8" x14ac:dyDescent="0.3">
      <c r="A35" s="153" t="s">
        <v>13313</v>
      </c>
      <c r="B35" s="153" t="s">
        <v>13299</v>
      </c>
      <c r="C35" s="153" t="s">
        <v>13314</v>
      </c>
      <c r="D35" s="153" t="s">
        <v>13</v>
      </c>
      <c r="E35" s="153" t="s">
        <v>13315</v>
      </c>
      <c r="F35" s="153" t="s">
        <v>13316</v>
      </c>
      <c r="G35" s="153" t="s">
        <v>13317</v>
      </c>
      <c r="H35" s="153" t="s">
        <v>13318</v>
      </c>
      <c r="I35" s="153" t="s">
        <v>13319</v>
      </c>
      <c r="J35" s="153" t="s">
        <v>1868</v>
      </c>
    </row>
    <row r="36" spans="1:10" ht="28.8" x14ac:dyDescent="0.3">
      <c r="A36" s="153" t="s">
        <v>13326</v>
      </c>
      <c r="B36" s="153" t="s">
        <v>13327</v>
      </c>
      <c r="C36" s="153" t="s">
        <v>13328</v>
      </c>
      <c r="D36" s="153" t="s">
        <v>13</v>
      </c>
      <c r="E36" s="153" t="s">
        <v>13322</v>
      </c>
      <c r="F36" s="153" t="s">
        <v>13329</v>
      </c>
      <c r="G36" s="153" t="s">
        <v>13330</v>
      </c>
      <c r="H36" s="153" t="s">
        <v>13331</v>
      </c>
      <c r="I36" s="153" t="s">
        <v>14</v>
      </c>
      <c r="J36" s="153" t="s">
        <v>1852</v>
      </c>
    </row>
    <row r="37" spans="1:10" ht="28.8" x14ac:dyDescent="0.3">
      <c r="A37" s="153" t="s">
        <v>13332</v>
      </c>
      <c r="B37" s="153" t="s">
        <v>13327</v>
      </c>
      <c r="C37" s="153" t="s">
        <v>13333</v>
      </c>
      <c r="D37" s="153" t="s">
        <v>13</v>
      </c>
      <c r="E37" s="153" t="s">
        <v>13322</v>
      </c>
      <c r="F37" s="153" t="s">
        <v>13334</v>
      </c>
      <c r="G37" s="153" t="s">
        <v>13335</v>
      </c>
      <c r="H37" s="153" t="s">
        <v>13336</v>
      </c>
      <c r="I37" s="153" t="s">
        <v>14</v>
      </c>
      <c r="J37" s="153" t="s">
        <v>1852</v>
      </c>
    </row>
    <row r="38" spans="1:10" x14ac:dyDescent="0.3">
      <c r="A38" s="153" t="s">
        <v>13337</v>
      </c>
      <c r="B38" s="153" t="s">
        <v>13327</v>
      </c>
      <c r="C38" s="153" t="s">
        <v>13338</v>
      </c>
      <c r="D38" s="153" t="s">
        <v>13</v>
      </c>
      <c r="E38" s="153" t="s">
        <v>13322</v>
      </c>
      <c r="F38" s="153" t="s">
        <v>13339</v>
      </c>
      <c r="G38" s="153" t="s">
        <v>13340</v>
      </c>
      <c r="H38" s="153" t="s">
        <v>13341</v>
      </c>
      <c r="I38" s="153" t="s">
        <v>14</v>
      </c>
      <c r="J38" s="153" t="s">
        <v>1868</v>
      </c>
    </row>
    <row r="39" spans="1:10" ht="28.8" x14ac:dyDescent="0.3">
      <c r="A39" s="153" t="s">
        <v>13342</v>
      </c>
      <c r="B39" s="153" t="s">
        <v>13327</v>
      </c>
      <c r="C39" s="153" t="s">
        <v>13343</v>
      </c>
      <c r="D39" s="153" t="s">
        <v>13</v>
      </c>
      <c r="E39" s="153" t="s">
        <v>13322</v>
      </c>
      <c r="F39" s="153" t="s">
        <v>13154</v>
      </c>
      <c r="G39" s="153" t="s">
        <v>13344</v>
      </c>
      <c r="H39" s="153" t="s">
        <v>13345</v>
      </c>
      <c r="I39" s="153" t="s">
        <v>14</v>
      </c>
      <c r="J39" s="153" t="s">
        <v>1868</v>
      </c>
    </row>
    <row r="40" spans="1:10" x14ac:dyDescent="0.3">
      <c r="A40" s="153" t="s">
        <v>13346</v>
      </c>
      <c r="B40" s="153" t="s">
        <v>13327</v>
      </c>
      <c r="C40" s="153" t="s">
        <v>13347</v>
      </c>
      <c r="D40" s="153" t="s">
        <v>13</v>
      </c>
      <c r="E40" s="153" t="s">
        <v>13322</v>
      </c>
      <c r="F40" s="153" t="s">
        <v>13348</v>
      </c>
      <c r="G40" s="153" t="s">
        <v>13349</v>
      </c>
      <c r="H40" s="153" t="s">
        <v>13350</v>
      </c>
      <c r="I40" s="153" t="s">
        <v>14</v>
      </c>
      <c r="J40" s="153" t="s">
        <v>1868</v>
      </c>
    </row>
    <row r="41" spans="1:10" x14ac:dyDescent="0.3">
      <c r="A41" s="153" t="s">
        <v>13351</v>
      </c>
      <c r="B41" s="153" t="s">
        <v>13327</v>
      </c>
      <c r="C41" s="153" t="s">
        <v>13352</v>
      </c>
      <c r="D41" s="153" t="s">
        <v>10</v>
      </c>
      <c r="E41" s="153" t="s">
        <v>13353</v>
      </c>
      <c r="F41" s="153" t="s">
        <v>13232</v>
      </c>
      <c r="G41" s="153" t="s">
        <v>13354</v>
      </c>
      <c r="H41" s="153" t="s">
        <v>13355</v>
      </c>
      <c r="I41" s="153" t="s">
        <v>14</v>
      </c>
      <c r="J41" s="153" t="s">
        <v>1852</v>
      </c>
    </row>
    <row r="42" spans="1:10" ht="28.8" x14ac:dyDescent="0.3">
      <c r="A42" s="153" t="s">
        <v>13356</v>
      </c>
      <c r="B42" s="153" t="s">
        <v>13327</v>
      </c>
      <c r="C42" s="153" t="s">
        <v>13357</v>
      </c>
      <c r="D42" s="153" t="s">
        <v>10</v>
      </c>
      <c r="E42" s="153" t="s">
        <v>13358</v>
      </c>
      <c r="F42" s="153" t="s">
        <v>13159</v>
      </c>
      <c r="G42" s="153" t="s">
        <v>13359</v>
      </c>
      <c r="H42" s="153" t="s">
        <v>13360</v>
      </c>
      <c r="I42" s="153" t="s">
        <v>13361</v>
      </c>
      <c r="J42" s="153" t="s">
        <v>1852</v>
      </c>
    </row>
    <row r="43" spans="1:10" x14ac:dyDescent="0.3">
      <c r="A43" s="153" t="s">
        <v>13367</v>
      </c>
      <c r="B43" s="153" t="s">
        <v>13368</v>
      </c>
      <c r="C43" s="153" t="s">
        <v>13369</v>
      </c>
      <c r="D43" s="153" t="s">
        <v>13</v>
      </c>
      <c r="E43" s="153" t="s">
        <v>13362</v>
      </c>
      <c r="F43" s="153" t="s">
        <v>13159</v>
      </c>
      <c r="G43" s="153" t="s">
        <v>13370</v>
      </c>
      <c r="H43" s="153" t="s">
        <v>13371</v>
      </c>
      <c r="I43" s="153" t="s">
        <v>13372</v>
      </c>
      <c r="J43" s="153" t="s">
        <v>1852</v>
      </c>
    </row>
    <row r="44" spans="1:10" ht="28.8" x14ac:dyDescent="0.3">
      <c r="A44" s="153" t="s">
        <v>13373</v>
      </c>
      <c r="B44" s="153" t="s">
        <v>13368</v>
      </c>
      <c r="C44" s="153" t="s">
        <v>13374</v>
      </c>
      <c r="D44" s="153" t="s">
        <v>13</v>
      </c>
      <c r="E44" s="153" t="s">
        <v>13362</v>
      </c>
      <c r="F44" s="153" t="s">
        <v>13375</v>
      </c>
      <c r="G44" s="153" t="s">
        <v>13376</v>
      </c>
      <c r="H44" s="153" t="s">
        <v>13377</v>
      </c>
      <c r="I44" s="153" t="s">
        <v>14</v>
      </c>
      <c r="J44" s="153" t="s">
        <v>1868</v>
      </c>
    </row>
    <row r="45" spans="1:10" ht="28.8" x14ac:dyDescent="0.3">
      <c r="A45" s="153" t="s">
        <v>13378</v>
      </c>
      <c r="B45" s="153" t="s">
        <v>13368</v>
      </c>
      <c r="C45" s="153" t="s">
        <v>13379</v>
      </c>
      <c r="D45" s="153" t="s">
        <v>13</v>
      </c>
      <c r="E45" s="153" t="s">
        <v>13362</v>
      </c>
      <c r="F45" s="153" t="s">
        <v>13375</v>
      </c>
      <c r="G45" s="153" t="s">
        <v>13380</v>
      </c>
      <c r="H45" s="153" t="s">
        <v>13381</v>
      </c>
      <c r="I45" s="153" t="s">
        <v>14</v>
      </c>
      <c r="J45" s="153" t="s">
        <v>1868</v>
      </c>
    </row>
    <row r="46" spans="1:10" x14ac:dyDescent="0.3">
      <c r="A46" s="153" t="s">
        <v>13382</v>
      </c>
      <c r="B46" s="153" t="s">
        <v>13368</v>
      </c>
      <c r="C46" s="153" t="s">
        <v>13383</v>
      </c>
      <c r="D46" s="153" t="s">
        <v>13</v>
      </c>
      <c r="E46" s="153" t="s">
        <v>13362</v>
      </c>
      <c r="F46" s="153" t="s">
        <v>13384</v>
      </c>
      <c r="G46" s="153" t="s">
        <v>62</v>
      </c>
      <c r="H46" s="153" t="s">
        <v>13385</v>
      </c>
      <c r="I46" s="153" t="s">
        <v>14</v>
      </c>
      <c r="J46" s="153" t="s">
        <v>1852</v>
      </c>
    </row>
    <row r="47" spans="1:10" x14ac:dyDescent="0.3">
      <c r="A47" s="153" t="s">
        <v>13386</v>
      </c>
      <c r="B47" s="153" t="s">
        <v>13368</v>
      </c>
      <c r="C47" s="153" t="s">
        <v>13387</v>
      </c>
      <c r="D47" s="153" t="s">
        <v>13</v>
      </c>
      <c r="E47" s="153" t="s">
        <v>13362</v>
      </c>
      <c r="F47" s="153" t="s">
        <v>13375</v>
      </c>
      <c r="G47" s="153" t="s">
        <v>13388</v>
      </c>
      <c r="H47" s="153" t="s">
        <v>13389</v>
      </c>
      <c r="I47" s="153" t="s">
        <v>13390</v>
      </c>
      <c r="J47" s="153" t="s">
        <v>1852</v>
      </c>
    </row>
    <row r="48" spans="1:10" ht="28.8" x14ac:dyDescent="0.3">
      <c r="A48" s="153" t="s">
        <v>13391</v>
      </c>
      <c r="B48" s="153" t="s">
        <v>13368</v>
      </c>
      <c r="C48" s="153" t="s">
        <v>13392</v>
      </c>
      <c r="D48" s="153" t="s">
        <v>10</v>
      </c>
      <c r="E48" s="153" t="s">
        <v>13362</v>
      </c>
      <c r="F48" s="153" t="s">
        <v>13375</v>
      </c>
      <c r="G48" s="153" t="s">
        <v>13393</v>
      </c>
      <c r="H48" s="153" t="s">
        <v>13394</v>
      </c>
      <c r="I48" s="153" t="s">
        <v>14</v>
      </c>
      <c r="J48" s="153" t="s">
        <v>1868</v>
      </c>
    </row>
    <row r="50" spans="1:2" ht="43.2" x14ac:dyDescent="0.3">
      <c r="A50" s="153" t="s">
        <v>13320</v>
      </c>
    </row>
    <row r="52" spans="1:2" x14ac:dyDescent="0.3">
      <c r="A52" s="153" t="s">
        <v>5883</v>
      </c>
      <c r="B52">
        <f>COUNTIF(A2:A48,"OL-TC-*")</f>
        <v>47</v>
      </c>
    </row>
    <row r="54" spans="1:2" x14ac:dyDescent="0.3">
      <c r="A54" t="s">
        <v>5884</v>
      </c>
    </row>
    <row r="55" spans="1:2" x14ac:dyDescent="0.3">
      <c r="A55" t="s">
        <v>5885</v>
      </c>
      <c r="B55">
        <f>COUNTIF(D2:D48,"P")</f>
        <v>35</v>
      </c>
    </row>
    <row r="56" spans="1:2" x14ac:dyDescent="0.3">
      <c r="A56" t="s">
        <v>5886</v>
      </c>
      <c r="B56">
        <f>COUNTIF(D2:D48,"N")</f>
        <v>12</v>
      </c>
    </row>
    <row r="57" spans="1:2" x14ac:dyDescent="0.3">
      <c r="A57" t="s">
        <v>5887</v>
      </c>
      <c r="B57">
        <f>COUNTIF(D2:D48,"E")</f>
        <v>0</v>
      </c>
    </row>
    <row r="59" spans="1:2" x14ac:dyDescent="0.3">
      <c r="A59" t="s">
        <v>5888</v>
      </c>
    </row>
    <row r="60" spans="1:2" x14ac:dyDescent="0.3">
      <c r="A60" t="s">
        <v>1852</v>
      </c>
      <c r="B60">
        <f>COUNTIF(J2:J48,"P1")</f>
        <v>29</v>
      </c>
    </row>
    <row r="61" spans="1:2" x14ac:dyDescent="0.3">
      <c r="A61" t="s">
        <v>1868</v>
      </c>
      <c r="B61">
        <f>COUNTIF(J2:J48,"P2")</f>
        <v>18</v>
      </c>
    </row>
    <row r="63" spans="1:2" x14ac:dyDescent="0.3">
      <c r="A63" t="s">
        <v>5892</v>
      </c>
    </row>
    <row r="64" spans="1:2" x14ac:dyDescent="0.3">
      <c r="A64" t="s">
        <v>13395</v>
      </c>
      <c r="B64" t="s">
        <v>5893</v>
      </c>
    </row>
    <row r="65" spans="1:2" x14ac:dyDescent="0.3">
      <c r="A65" t="s">
        <v>13396</v>
      </c>
      <c r="B65" t="s">
        <v>5893</v>
      </c>
    </row>
    <row r="66" spans="1:2" x14ac:dyDescent="0.3">
      <c r="A66" t="s">
        <v>13397</v>
      </c>
      <c r="B66" t="s">
        <v>5893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61BE-B8EF-4890-8471-43F6E5614D78}">
  <dimension ref="A1:J26"/>
  <sheetViews>
    <sheetView workbookViewId="0">
      <pane ySplit="1" topLeftCell="A2" activePane="bottomLeft" state="frozen"/>
      <selection pane="bottomLeft"/>
    </sheetView>
  </sheetViews>
  <sheetFormatPr defaultRowHeight="14.4" x14ac:dyDescent="0.3"/>
  <cols>
    <col min="1" max="1" width="14.77734375" customWidth="1"/>
    <col min="2" max="2" width="39.77734375" customWidth="1"/>
    <col min="3" max="3" width="42.5546875" customWidth="1"/>
    <col min="4" max="4" width="7.77734375" customWidth="1"/>
    <col min="5" max="5" width="17.5546875" customWidth="1"/>
    <col min="6" max="6" width="42.5546875" customWidth="1"/>
    <col min="7" max="7" width="27.77734375" customWidth="1"/>
    <col min="8" max="8" width="46.33203125" customWidth="1"/>
    <col min="9" max="9" width="31.44140625" customWidth="1"/>
    <col min="10" max="10" width="10.21875" customWidth="1"/>
  </cols>
  <sheetData>
    <row r="1" spans="1:10" x14ac:dyDescent="0.3">
      <c r="A1" s="173" t="s">
        <v>0</v>
      </c>
      <c r="B1" s="173" t="s">
        <v>9</v>
      </c>
      <c r="C1" s="173" t="s">
        <v>1840</v>
      </c>
      <c r="D1" s="173" t="s">
        <v>2</v>
      </c>
      <c r="E1" s="173" t="s">
        <v>1841</v>
      </c>
      <c r="F1" s="173" t="s">
        <v>4</v>
      </c>
      <c r="G1" s="173" t="s">
        <v>1842</v>
      </c>
      <c r="H1" s="173" t="s">
        <v>6</v>
      </c>
      <c r="I1" s="173" t="s">
        <v>6979</v>
      </c>
      <c r="J1" s="173" t="s">
        <v>1131</v>
      </c>
    </row>
    <row r="2" spans="1:10" ht="28.8" x14ac:dyDescent="0.3">
      <c r="A2" s="153" t="s">
        <v>13793</v>
      </c>
      <c r="B2" s="153" t="s">
        <v>13794</v>
      </c>
      <c r="C2" s="153" t="s">
        <v>13795</v>
      </c>
      <c r="D2" s="153" t="s">
        <v>13</v>
      </c>
      <c r="E2" s="153" t="s">
        <v>13692</v>
      </c>
      <c r="F2" s="153" t="s">
        <v>13796</v>
      </c>
      <c r="G2" s="153" t="s">
        <v>13797</v>
      </c>
      <c r="H2" s="153" t="s">
        <v>13798</v>
      </c>
      <c r="I2" s="153" t="s">
        <v>14</v>
      </c>
      <c r="J2" s="153" t="s">
        <v>1852</v>
      </c>
    </row>
    <row r="3" spans="1:10" ht="28.8" x14ac:dyDescent="0.3">
      <c r="A3" s="153" t="s">
        <v>13799</v>
      </c>
      <c r="B3" s="153" t="s">
        <v>13794</v>
      </c>
      <c r="C3" s="153" t="s">
        <v>13800</v>
      </c>
      <c r="D3" s="153" t="s">
        <v>10</v>
      </c>
      <c r="E3" s="153" t="s">
        <v>13692</v>
      </c>
      <c r="F3" s="153" t="s">
        <v>13801</v>
      </c>
      <c r="G3" s="153" t="s">
        <v>13802</v>
      </c>
      <c r="H3" s="153" t="s">
        <v>13803</v>
      </c>
      <c r="I3" s="153" t="s">
        <v>13804</v>
      </c>
      <c r="J3" s="153" t="s">
        <v>1852</v>
      </c>
    </row>
    <row r="4" spans="1:10" ht="28.8" x14ac:dyDescent="0.3">
      <c r="A4" s="153" t="s">
        <v>13805</v>
      </c>
      <c r="B4" s="153" t="s">
        <v>13794</v>
      </c>
      <c r="C4" s="153" t="s">
        <v>13806</v>
      </c>
      <c r="D4" s="153" t="s">
        <v>13</v>
      </c>
      <c r="E4" s="153" t="s">
        <v>13807</v>
      </c>
      <c r="F4" s="153" t="s">
        <v>13808</v>
      </c>
      <c r="G4" s="153" t="s">
        <v>13809</v>
      </c>
      <c r="H4" s="153" t="s">
        <v>13810</v>
      </c>
      <c r="I4" s="153" t="s">
        <v>14</v>
      </c>
      <c r="J4" s="153" t="s">
        <v>1852</v>
      </c>
    </row>
    <row r="5" spans="1:10" ht="28.8" x14ac:dyDescent="0.3">
      <c r="A5" s="153" t="s">
        <v>13811</v>
      </c>
      <c r="B5" s="153" t="s">
        <v>13794</v>
      </c>
      <c r="C5" s="153" t="s">
        <v>13812</v>
      </c>
      <c r="D5" s="153" t="s">
        <v>13</v>
      </c>
      <c r="E5" s="153" t="s">
        <v>13697</v>
      </c>
      <c r="F5" s="153" t="s">
        <v>13813</v>
      </c>
      <c r="G5" s="153" t="s">
        <v>13814</v>
      </c>
      <c r="H5" s="153" t="s">
        <v>13815</v>
      </c>
      <c r="I5" s="153" t="s">
        <v>13816</v>
      </c>
      <c r="J5" s="153" t="s">
        <v>1852</v>
      </c>
    </row>
    <row r="6" spans="1:10" ht="28.8" x14ac:dyDescent="0.3">
      <c r="A6" s="153" t="s">
        <v>13817</v>
      </c>
      <c r="B6" s="153" t="s">
        <v>13794</v>
      </c>
      <c r="C6" s="153" t="s">
        <v>13818</v>
      </c>
      <c r="D6" s="153" t="s">
        <v>10</v>
      </c>
      <c r="E6" s="153" t="s">
        <v>13692</v>
      </c>
      <c r="F6" s="153" t="s">
        <v>13819</v>
      </c>
      <c r="G6" s="153" t="s">
        <v>13820</v>
      </c>
      <c r="H6" s="153" t="s">
        <v>13821</v>
      </c>
      <c r="I6" s="153" t="s">
        <v>13822</v>
      </c>
      <c r="J6" s="153" t="s">
        <v>1852</v>
      </c>
    </row>
    <row r="7" spans="1:10" ht="28.8" x14ac:dyDescent="0.3">
      <c r="A7" s="153" t="s">
        <v>13823</v>
      </c>
      <c r="B7" s="153" t="s">
        <v>13794</v>
      </c>
      <c r="C7" s="153" t="s">
        <v>13824</v>
      </c>
      <c r="D7" s="153" t="s">
        <v>13</v>
      </c>
      <c r="E7" s="153" t="s">
        <v>13707</v>
      </c>
      <c r="F7" s="153" t="s">
        <v>13825</v>
      </c>
      <c r="G7" s="153" t="s">
        <v>13826</v>
      </c>
      <c r="H7" s="153" t="s">
        <v>13827</v>
      </c>
      <c r="I7" s="153" t="s">
        <v>14</v>
      </c>
      <c r="J7" s="153" t="s">
        <v>1868</v>
      </c>
    </row>
    <row r="8" spans="1:10" x14ac:dyDescent="0.3">
      <c r="A8" s="153" t="s">
        <v>13828</v>
      </c>
      <c r="B8" s="153" t="s">
        <v>13829</v>
      </c>
      <c r="C8" s="153" t="s">
        <v>13830</v>
      </c>
      <c r="D8" s="153" t="s">
        <v>13</v>
      </c>
      <c r="E8" s="153" t="s">
        <v>13702</v>
      </c>
      <c r="F8" s="153" t="s">
        <v>13831</v>
      </c>
      <c r="G8" s="153" t="s">
        <v>13832</v>
      </c>
      <c r="H8" s="153" t="s">
        <v>13833</v>
      </c>
      <c r="I8" s="153" t="s">
        <v>14</v>
      </c>
      <c r="J8" s="153" t="s">
        <v>1868</v>
      </c>
    </row>
    <row r="9" spans="1:10" x14ac:dyDescent="0.3">
      <c r="A9" s="153" t="s">
        <v>13834</v>
      </c>
      <c r="B9" s="153" t="s">
        <v>13829</v>
      </c>
      <c r="C9" s="153" t="s">
        <v>13835</v>
      </c>
      <c r="D9" s="153" t="s">
        <v>10</v>
      </c>
      <c r="E9" s="153" t="s">
        <v>13702</v>
      </c>
      <c r="F9" s="153" t="s">
        <v>13836</v>
      </c>
      <c r="G9" s="153" t="s">
        <v>13837</v>
      </c>
      <c r="H9" s="153" t="s">
        <v>13838</v>
      </c>
      <c r="I9" s="153" t="s">
        <v>14</v>
      </c>
      <c r="J9" s="153" t="s">
        <v>1852</v>
      </c>
    </row>
    <row r="10" spans="1:10" ht="28.8" x14ac:dyDescent="0.3">
      <c r="A10" s="153" t="s">
        <v>13839</v>
      </c>
      <c r="B10" s="153" t="s">
        <v>13829</v>
      </c>
      <c r="C10" s="153" t="s">
        <v>13840</v>
      </c>
      <c r="D10" s="153" t="s">
        <v>10</v>
      </c>
      <c r="E10" s="153" t="s">
        <v>13841</v>
      </c>
      <c r="F10" s="153" t="s">
        <v>13842</v>
      </c>
      <c r="G10" s="153" t="s">
        <v>13843</v>
      </c>
      <c r="H10" s="153" t="s">
        <v>13844</v>
      </c>
      <c r="I10" s="153" t="s">
        <v>14</v>
      </c>
      <c r="J10" s="153" t="s">
        <v>1868</v>
      </c>
    </row>
    <row r="11" spans="1:10" x14ac:dyDescent="0.3">
      <c r="A11" s="153" t="s">
        <v>13845</v>
      </c>
      <c r="B11" s="153" t="s">
        <v>13846</v>
      </c>
      <c r="C11" s="153" t="s">
        <v>13847</v>
      </c>
      <c r="D11" s="153" t="s">
        <v>13</v>
      </c>
      <c r="E11" s="153" t="s">
        <v>13712</v>
      </c>
      <c r="F11" s="153" t="s">
        <v>13848</v>
      </c>
      <c r="G11" s="153" t="s">
        <v>13797</v>
      </c>
      <c r="H11" s="153" t="s">
        <v>13849</v>
      </c>
      <c r="I11" s="153" t="s">
        <v>14</v>
      </c>
      <c r="J11" s="153" t="s">
        <v>1852</v>
      </c>
    </row>
    <row r="12" spans="1:10" ht="28.8" x14ac:dyDescent="0.3">
      <c r="A12" s="153" t="s">
        <v>13850</v>
      </c>
      <c r="B12" s="153" t="s">
        <v>13846</v>
      </c>
      <c r="C12" s="153" t="s">
        <v>13851</v>
      </c>
      <c r="D12" s="153" t="s">
        <v>13</v>
      </c>
      <c r="E12" s="153" t="s">
        <v>13712</v>
      </c>
      <c r="F12" s="153" t="s">
        <v>13852</v>
      </c>
      <c r="G12" s="153" t="s">
        <v>13797</v>
      </c>
      <c r="H12" s="153" t="s">
        <v>13853</v>
      </c>
      <c r="I12" s="153" t="s">
        <v>14</v>
      </c>
      <c r="J12" s="153" t="s">
        <v>1852</v>
      </c>
    </row>
    <row r="13" spans="1:10" x14ac:dyDescent="0.3">
      <c r="A13" s="153" t="s">
        <v>13854</v>
      </c>
      <c r="B13" s="153" t="s">
        <v>13846</v>
      </c>
      <c r="C13" s="153" t="s">
        <v>13855</v>
      </c>
      <c r="D13" s="153" t="s">
        <v>13</v>
      </c>
      <c r="E13" s="153" t="s">
        <v>13712</v>
      </c>
      <c r="F13" s="153" t="s">
        <v>13856</v>
      </c>
      <c r="G13" s="153" t="s">
        <v>13857</v>
      </c>
      <c r="H13" s="153" t="s">
        <v>13858</v>
      </c>
      <c r="I13" s="153" t="s">
        <v>14</v>
      </c>
      <c r="J13" s="153" t="s">
        <v>1868</v>
      </c>
    </row>
    <row r="15" spans="1:10" x14ac:dyDescent="0.3">
      <c r="A15" t="s">
        <v>13859</v>
      </c>
    </row>
    <row r="17" spans="1:2" x14ac:dyDescent="0.3">
      <c r="A17" t="s">
        <v>5883</v>
      </c>
      <c r="B17">
        <f>COUNTIF(A2:A13,"OC-TC-*")</f>
        <v>12</v>
      </c>
    </row>
    <row r="19" spans="1:2" x14ac:dyDescent="0.3">
      <c r="A19" t="s">
        <v>5884</v>
      </c>
    </row>
    <row r="20" spans="1:2" x14ac:dyDescent="0.3">
      <c r="A20" t="s">
        <v>5885</v>
      </c>
      <c r="B20">
        <f>COUNTIF(D2:D13,"P")</f>
        <v>8</v>
      </c>
    </row>
    <row r="21" spans="1:2" x14ac:dyDescent="0.3">
      <c r="A21" t="s">
        <v>5886</v>
      </c>
      <c r="B21">
        <f>COUNTIF(D2:D13,"N")</f>
        <v>4</v>
      </c>
    </row>
    <row r="22" spans="1:2" x14ac:dyDescent="0.3">
      <c r="A22" t="s">
        <v>5887</v>
      </c>
      <c r="B22">
        <f>COUNTIF(D2:D13,"E")</f>
        <v>0</v>
      </c>
    </row>
    <row r="24" spans="1:2" x14ac:dyDescent="0.3">
      <c r="A24" t="s">
        <v>5892</v>
      </c>
    </row>
    <row r="25" spans="1:2" x14ac:dyDescent="0.3">
      <c r="A25" t="s">
        <v>13860</v>
      </c>
      <c r="B25" t="s">
        <v>5893</v>
      </c>
    </row>
    <row r="26" spans="1:2" x14ac:dyDescent="0.3">
      <c r="A26" t="s">
        <v>13861</v>
      </c>
      <c r="B26" t="s">
        <v>5893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Release Desk Theme</vt:lpstr>
      <vt:lpstr>Notes for Development</vt:lpstr>
      <vt:lpstr>Signal Classification</vt:lpstr>
      <vt:lpstr>Change Log</vt:lpstr>
      <vt:lpstr>RD Functional improvements</vt:lpstr>
      <vt:lpstr>Missing Edge Cases</vt:lpstr>
      <vt:lpstr>Rule Gap Register</vt:lpstr>
      <vt:lpstr>Rules Specification</vt:lpstr>
      <vt:lpstr>Entity Classification</vt:lpstr>
      <vt:lpstr>Reference Data</vt:lpstr>
      <vt:lpstr>Status Lifecycles</vt:lpstr>
      <vt:lpstr>Release Fields</vt:lpstr>
      <vt:lpstr>LC_Releases</vt:lpstr>
      <vt:lpstr>LC_Blockers</vt:lpstr>
      <vt:lpstr>LC_Incidents</vt:lpstr>
      <vt:lpstr>LC_Approvals</vt:lpstr>
      <vt:lpstr>LC_Sign-Offs</vt:lpstr>
      <vt:lpstr>LC_Risk</vt:lpstr>
      <vt:lpstr>LC_Dependency</vt:lpstr>
      <vt:lpstr>LC_Conflict</vt:lpstr>
      <vt:lpstr>LC_Alerts</vt:lpstr>
      <vt:lpstr>LC_Drift</vt:lpstr>
      <vt:lpstr>System Mapping</vt:lpstr>
      <vt:lpstr>Applications</vt:lpstr>
      <vt:lpstr>Users</vt:lpstr>
      <vt:lpstr>Super Admins</vt:lpstr>
      <vt:lpstr>Admin (Release Managers)</vt:lpstr>
      <vt:lpstr>Risk Factors</vt:lpstr>
      <vt:lpstr>Releases</vt:lpstr>
      <vt:lpstr>Blockers</vt:lpstr>
      <vt:lpstr>Override Log</vt:lpstr>
      <vt:lpstr>Approvals</vt:lpstr>
      <vt:lpstr>Sign-Offs</vt:lpstr>
      <vt:lpstr>Risk</vt:lpstr>
      <vt:lpstr>Dependencies</vt:lpstr>
      <vt:lpstr>Environment Conflicts</vt:lpstr>
      <vt:lpstr>Drift</vt:lpstr>
      <vt:lpstr>Incidents</vt:lpstr>
      <vt:lpstr>Monitoring Alerts</vt:lpstr>
      <vt:lpstr>Calendar</vt:lpstr>
      <vt:lpstr>Maintenance Windows</vt:lpstr>
      <vt:lpstr>Env booking</vt:lpstr>
      <vt:lpstr>Leave Calendar</vt:lpstr>
      <vt:lpstr>Application Status</vt:lpstr>
      <vt:lpstr>Versions</vt:lpstr>
      <vt:lpstr>Release Test Suite</vt:lpstr>
      <vt:lpstr>CAB Approvals Test Suite</vt:lpstr>
      <vt:lpstr>Sign-Off Test Suite</vt:lpstr>
      <vt:lpstr>Risk Test Suite</vt:lpstr>
      <vt:lpstr>Dependencies Test Suite</vt:lpstr>
      <vt:lpstr>Conflicts Test Suite</vt:lpstr>
      <vt:lpstr>Drift Test Suite</vt:lpstr>
      <vt:lpstr>Incident Test Suite</vt:lpstr>
      <vt:lpstr>Alerts Test Suite</vt:lpstr>
      <vt:lpstr>Blockers Test Suite</vt:lpstr>
      <vt:lpstr>Leave Records Test Suite</vt:lpstr>
      <vt:lpstr>Maintenance Windows Test Suite</vt:lpstr>
      <vt:lpstr>Environment Booking Test Suite</vt:lpstr>
      <vt:lpstr>Ownership &amp; Linking Test Suite</vt:lpstr>
      <vt:lpstr>Override &amp; Config 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Goddumuri</dc:creator>
  <cp:lastModifiedBy>Guru Goddumuri</cp:lastModifiedBy>
  <dcterms:created xsi:type="dcterms:W3CDTF">2026-07-19T13:53:57Z</dcterms:created>
  <dcterms:modified xsi:type="dcterms:W3CDTF">2026-08-06T14:21:30Z</dcterms:modified>
</cp:coreProperties>
</file>